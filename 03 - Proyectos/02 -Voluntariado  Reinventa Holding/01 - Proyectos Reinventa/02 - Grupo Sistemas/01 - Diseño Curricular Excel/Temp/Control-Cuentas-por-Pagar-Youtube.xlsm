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b98e41fc05090364/Ofimatica Empresarial/PLANTILLAS YOUTUBE/CUENTAS POR PAGAR/"/>
    </mc:Choice>
  </mc:AlternateContent>
  <xr:revisionPtr revIDLastSave="69" documentId="113_{44DE5C51-7988-456F-9289-F957B8E9C194}" xr6:coauthVersionLast="43" xr6:coauthVersionMax="45" xr10:uidLastSave="{905F549D-9C28-426A-A546-C6EB01D6985E}"/>
  <bookViews>
    <workbookView xWindow="-108" yWindow="-108" windowWidth="23256" windowHeight="12576" xr2:uid="{00000000-000D-0000-FFFF-FFFF00000000}"/>
  </bookViews>
  <sheets>
    <sheet name="Inicio" sheetId="5" r:id="rId1"/>
    <sheet name="Proveedor" sheetId="2" r:id="rId2"/>
    <sheet name="Base" sheetId="1" r:id="rId3"/>
    <sheet name="Antiguedad" sheetId="4" r:id="rId4"/>
    <sheet name="Antig-Resumen" sheetId="6" r:id="rId5"/>
    <sheet name="Pagos" sheetId="7" r:id="rId6"/>
    <sheet name="Calculos" sheetId="3" state="veryHidden" r:id="rId7"/>
  </sheets>
  <definedNames>
    <definedName name="Correlativo">Calculos!$C$3</definedName>
  </definedNames>
  <calcPr calcId="191029"/>
  <pivotCaches>
    <pivotCache cacheId="9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7" i="5" l="1"/>
  <c r="C3" i="3"/>
</calcChain>
</file>

<file path=xl/sharedStrings.xml><?xml version="1.0" encoding="utf-8"?>
<sst xmlns="http://schemas.openxmlformats.org/spreadsheetml/2006/main" count="55" uniqueCount="37">
  <si>
    <t>FECHA</t>
  </si>
  <si>
    <t>COD. PROVEEDOR</t>
  </si>
  <si>
    <t>NOMBRE PROVEEDOR</t>
  </si>
  <si>
    <t>DOCUMENTO</t>
  </si>
  <si>
    <t>FECHA A PAGAR</t>
  </si>
  <si>
    <t>MEDIO DE PAGO</t>
  </si>
  <si>
    <t>REF#</t>
  </si>
  <si>
    <t>VALOR A PAGAR</t>
  </si>
  <si>
    <t>VALOR PAGADO</t>
  </si>
  <si>
    <t>#</t>
  </si>
  <si>
    <t>SALDO</t>
  </si>
  <si>
    <t>Corrativo</t>
  </si>
  <si>
    <t>COMENTARIO</t>
  </si>
  <si>
    <t>IDSALDO</t>
  </si>
  <si>
    <t>VENCIMIENTO</t>
  </si>
  <si>
    <t>DIASVENCIMIENTO</t>
  </si>
  <si>
    <t>Total general</t>
  </si>
  <si>
    <t xml:space="preserve">SALDO </t>
  </si>
  <si>
    <t>BASE DE DATOS DE CUENTAS POR PAGAR</t>
  </si>
  <si>
    <t>CODIGO</t>
  </si>
  <si>
    <t>PROVEEDOR</t>
  </si>
  <si>
    <t xml:space="preserve"> SALDO</t>
  </si>
  <si>
    <t>ANTIGÜEDAD DE SALDOS DE CUENTAS POR PAGAR DETALLADO</t>
  </si>
  <si>
    <t>ANTIGÜEDAD DE SALDOS POR PROVEEDOR</t>
  </si>
  <si>
    <t xml:space="preserve"> VALOR PAGADO </t>
  </si>
  <si>
    <t xml:space="preserve">PAGOS REALIZADOS A PROVEEDORES </t>
  </si>
  <si>
    <t>CONTROL DE CUENTAS POR PAGAR</t>
  </si>
  <si>
    <t>Saldo Pendiente de Pago</t>
  </si>
  <si>
    <t>COLEGIUM SA</t>
  </si>
  <si>
    <t>AURORA DEL CARMEN NANJARI LOPEZ</t>
  </si>
  <si>
    <t>ROLAND VORWERK Y COMPAÑÍA LTDA</t>
  </si>
  <si>
    <t>ASESORIA COMPUTACIONAL Y TECNOLOGICA ACYTEC LIMITADA</t>
  </si>
  <si>
    <t>SOCIEDAD CONCESIONARIA COSTANERA NORTE SA</t>
  </si>
  <si>
    <t>DISTRIBUIDORA DIAZOL SA</t>
  </si>
  <si>
    <t>SALA CUNA Y JARDIN INFANTIL CHIRIMOYA ALEGRE SPA</t>
  </si>
  <si>
    <t>efectivo</t>
  </si>
  <si>
    <t>Total SALA CUNA Y JARDIN INFANTIL CHIRIMOYA ALEGRE SPA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</si>
</sst>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164" formatCode="dd/mm/yyyy;@"/>
    <numFmt numFmtId="165" formatCode="dd/mmm/yyyy;@"/>
    <numFmt numFmtId="166" formatCode="[$$-540A]#,##0.00"/>
    <numFmt numFmtId="167" formatCode="[$$-540A]#,##0"/>
    <numFmt numFmtId="168" formatCode="_-&quot;$&quot;* #,##0.00_-;\-&quot;$&quot;* #,##0.00_-;_-&quot;$&quot;* &quot;-&quot;_-;_-@_-"/>
  </numFmts>
  <fonts count="13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b/>
      <sz val="20"/>
      <color theme="4"/>
      <name val="Segoe U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25"/>
      <color theme="4"/>
      <name val="Calibri"/>
      <family val="2"/>
    </font>
    <font>
      <b/>
      <sz val="18"/>
      <color theme="1"/>
      <name val="Calibri"/>
      <family val="2"/>
    </font>
    <font>
      <b/>
      <sz val="17"/>
      <color theme="1"/>
      <name val="Calibri"/>
      <family val="2"/>
    </font>
    <font>
      <b/>
      <sz val="10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C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0" fontId="3" fillId="0" borderId="2" xfId="0" applyFont="1" applyBorder="1"/>
    <xf numFmtId="0" fontId="4" fillId="0" borderId="0" xfId="0" applyFont="1" applyFill="1" applyAlignment="1"/>
    <xf numFmtId="0" fontId="5" fillId="0" borderId="0" xfId="0" applyFont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166" fontId="8" fillId="0" borderId="0" xfId="0" applyNumberFormat="1" applyFont="1" applyAlignment="1" applyProtection="1">
      <alignment horizontal="right"/>
      <protection locked="0"/>
    </xf>
    <xf numFmtId="0" fontId="9" fillId="0" borderId="2" xfId="0" applyFont="1" applyBorder="1" applyAlignment="1" applyProtection="1">
      <alignment horizontal="left" indent="1"/>
      <protection locked="0"/>
    </xf>
    <xf numFmtId="167" fontId="8" fillId="0" borderId="0" xfId="0" applyNumberFormat="1" applyFont="1" applyProtection="1">
      <protection locked="0"/>
    </xf>
    <xf numFmtId="0" fontId="8" fillId="0" borderId="0" xfId="0" applyFont="1" applyAlignment="1">
      <alignment horizontal="center"/>
    </xf>
    <xf numFmtId="166" fontId="8" fillId="0" borderId="0" xfId="0" applyNumberFormat="1" applyFont="1" applyAlignment="1">
      <alignment horizontal="center"/>
    </xf>
    <xf numFmtId="44" fontId="8" fillId="0" borderId="0" xfId="0" applyNumberFormat="1" applyFont="1" applyAlignment="1">
      <alignment horizontal="center"/>
    </xf>
    <xf numFmtId="0" fontId="8" fillId="0" borderId="0" xfId="0" applyFont="1" applyAlignment="1" applyProtection="1">
      <alignment horizontal="center"/>
      <protection hidden="1"/>
    </xf>
    <xf numFmtId="164" fontId="8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left"/>
      <protection locked="0"/>
    </xf>
    <xf numFmtId="44" fontId="8" fillId="0" borderId="0" xfId="1" applyFont="1" applyAlignment="1" applyProtection="1">
      <alignment horizontal="right"/>
      <protection locked="0"/>
    </xf>
    <xf numFmtId="49" fontId="8" fillId="0" borderId="0" xfId="0" applyNumberFormat="1" applyFont="1" applyAlignment="1" applyProtection="1">
      <alignment horizontal="left"/>
      <protection locked="0"/>
    </xf>
    <xf numFmtId="44" fontId="8" fillId="3" borderId="0" xfId="1" applyNumberFormat="1" applyFont="1" applyFill="1" applyAlignment="1">
      <alignment horizontal="center"/>
    </xf>
    <xf numFmtId="0" fontId="8" fillId="3" borderId="0" xfId="0" applyNumberFormat="1" applyFont="1" applyFill="1" applyAlignment="1">
      <alignment horizontal="center"/>
    </xf>
    <xf numFmtId="0" fontId="8" fillId="0" borderId="0" xfId="0" applyNumberFormat="1" applyFont="1" applyAlignment="1" applyProtection="1">
      <alignment horizontal="center"/>
      <protection hidden="1"/>
    </xf>
    <xf numFmtId="0" fontId="8" fillId="0" borderId="0" xfId="0" applyFont="1"/>
    <xf numFmtId="166" fontId="8" fillId="0" borderId="0" xfId="0" applyNumberFormat="1" applyFont="1" applyAlignment="1">
      <alignment horizontal="right"/>
    </xf>
    <xf numFmtId="0" fontId="8" fillId="0" borderId="0" xfId="0" applyFont="1" applyProtection="1">
      <protection hidden="1"/>
    </xf>
    <xf numFmtId="166" fontId="8" fillId="0" borderId="0" xfId="0" applyNumberFormat="1" applyFont="1" applyFill="1" applyAlignment="1" applyProtection="1">
      <alignment horizontal="right"/>
      <protection locked="0"/>
    </xf>
    <xf numFmtId="0" fontId="8" fillId="0" borderId="0" xfId="0" applyFont="1" applyFill="1" applyBorder="1" applyAlignment="1" applyProtection="1">
      <alignment horizontal="left" indent="1"/>
      <protection locked="0"/>
    </xf>
    <xf numFmtId="0" fontId="8" fillId="0" borderId="0" xfId="0" applyFont="1" applyBorder="1" applyProtection="1">
      <protection locked="0"/>
    </xf>
    <xf numFmtId="0" fontId="8" fillId="0" borderId="2" xfId="0" applyFont="1" applyBorder="1" applyProtection="1">
      <protection locked="0"/>
    </xf>
    <xf numFmtId="166" fontId="8" fillId="0" borderId="2" xfId="0" applyNumberFormat="1" applyFont="1" applyBorder="1" applyAlignment="1" applyProtection="1">
      <alignment horizontal="right"/>
      <protection locked="0"/>
    </xf>
    <xf numFmtId="0" fontId="7" fillId="4" borderId="0" xfId="0" applyFont="1" applyFill="1"/>
    <xf numFmtId="0" fontId="10" fillId="4" borderId="2" xfId="0" applyFont="1" applyFill="1" applyBorder="1" applyAlignment="1">
      <alignment horizontal="left" indent="1"/>
    </xf>
    <xf numFmtId="0" fontId="7" fillId="4" borderId="2" xfId="0" applyFont="1" applyFill="1" applyBorder="1"/>
    <xf numFmtId="0" fontId="11" fillId="0" borderId="2" xfId="0" applyFont="1" applyBorder="1" applyAlignment="1">
      <alignment horizontal="left" indent="1"/>
    </xf>
    <xf numFmtId="0" fontId="7" fillId="0" borderId="2" xfId="0" applyFont="1" applyBorder="1" applyAlignment="1">
      <alignment horizontal="left"/>
    </xf>
    <xf numFmtId="0" fontId="11" fillId="4" borderId="2" xfId="0" applyFont="1" applyFill="1" applyBorder="1" applyAlignment="1">
      <alignment horizontal="left" indent="1"/>
    </xf>
    <xf numFmtId="0" fontId="7" fillId="4" borderId="2" xfId="0" applyFont="1" applyFill="1" applyBorder="1" applyAlignment="1">
      <alignment horizontal="left"/>
    </xf>
    <xf numFmtId="0" fontId="12" fillId="0" borderId="0" xfId="0" pivotButton="1" applyFont="1" applyAlignment="1">
      <alignment horizontal="center"/>
    </xf>
    <xf numFmtId="0" fontId="8" fillId="0" borderId="0" xfId="0" pivotButton="1" applyFont="1" applyAlignment="1">
      <alignment horizontal="center"/>
    </xf>
    <xf numFmtId="0" fontId="8" fillId="0" borderId="0" xfId="0" pivotButton="1" applyFont="1"/>
    <xf numFmtId="0" fontId="12" fillId="0" borderId="0" xfId="0" applyFont="1" applyAlignment="1">
      <alignment horizontal="center"/>
    </xf>
    <xf numFmtId="44" fontId="7" fillId="0" borderId="0" xfId="0" applyNumberFormat="1" applyFont="1"/>
    <xf numFmtId="0" fontId="7" fillId="0" borderId="0" xfId="0" pivotButton="1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pivotButton="1" applyFont="1"/>
    <xf numFmtId="165" fontId="7" fillId="0" borderId="0" xfId="0" applyNumberFormat="1" applyFont="1" applyAlignment="1">
      <alignment horizontal="center"/>
    </xf>
    <xf numFmtId="168" fontId="2" fillId="0" borderId="1" xfId="0" applyNumberFormat="1" applyFont="1" applyBorder="1"/>
    <xf numFmtId="0" fontId="5" fillId="0" borderId="2" xfId="0" applyFont="1" applyBorder="1" applyAlignment="1">
      <alignment horizontal="center"/>
    </xf>
    <xf numFmtId="0" fontId="4" fillId="2" borderId="0" xfId="0" applyFont="1" applyFill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</cellXfs>
  <cellStyles count="2">
    <cellStyle name="Moneda" xfId="1" builtinId="4"/>
    <cellStyle name="Normal" xfId="0" builtinId="0"/>
  </cellStyles>
  <dxfs count="90">
    <dxf>
      <numFmt numFmtId="34" formatCode="_-&quot;$&quot;* #,##0.00_-;\-&quot;$&quot;* #,##0.00_-;_-&quot;$&quot;* &quot;-&quot;??_-;_-@_-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65" formatCode="dd/mmm/yyyy;@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$&quot;* #,##0.00_-;\-&quot;$&quot;* #,##0.00_-;_-&quot;$&quot;* &quot;-&quot;??_-;_-@_-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alignment horizontal="center"/>
    </dxf>
    <dxf>
      <alignment horizontal="center"/>
    </dxf>
    <dxf>
      <numFmt numFmtId="34" formatCode="_-&quot;$&quot;* #,##0.00_-;\-&quot;$&quot;* #,##0.00_-;_-&quot;$&quot;* &quot;-&quot;??_-;_-@_-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theme="3" tint="0.79998168889431442"/>
        </patternFill>
      </fill>
    </dxf>
    <dxf>
      <font>
        <b/>
      </font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fill>
        <patternFill>
          <bgColor rgb="FFFF9F9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2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2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4" formatCode="_-&quot;$&quot;* #,##0.00_-;\-&quot;$&quot;* #,##0.00_-;_-&quot;$&quot;* &quot;-&quot;??_-;_-@_-"/>
      <fill>
        <patternFill patternType="solid">
          <fgColor indexed="64"/>
          <bgColor theme="2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dd/mm/yyyy;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dd/mm/yyyy;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rgb="FFFFFF9F"/>
        </patternFill>
      </fill>
    </dxf>
    <dxf>
      <fill>
        <patternFill>
          <bgColor rgb="FFFF8F8F"/>
        </patternFill>
      </fill>
    </dxf>
  </dxfs>
  <tableStyles count="0" defaultTableStyle="TableStyleMedium2" defaultPivotStyle="PivotStyleLight16"/>
  <colors>
    <mruColors>
      <color rgb="FFFF9F9F"/>
      <color rgb="FFFF8F8F"/>
      <color rgb="FFFFF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Proveedor!A1"/><Relationship Id="rId5" Type="http://schemas.openxmlformats.org/officeDocument/2006/relationships/image" Target="../media/image4.png"/><Relationship Id="rId4" Type="http://schemas.openxmlformats.org/officeDocument/2006/relationships/hyperlink" Target="#Base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jpg"/><Relationship Id="rId1" Type="http://schemas.openxmlformats.org/officeDocument/2006/relationships/hyperlink" Target="#Inicio!A1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hyperlink" Target="#Inicio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10</xdr:row>
      <xdr:rowOff>161925</xdr:rowOff>
    </xdr:from>
    <xdr:to>
      <xdr:col>2</xdr:col>
      <xdr:colOff>348702</xdr:colOff>
      <xdr:row>16</xdr:row>
      <xdr:rowOff>190992</xdr:rowOff>
    </xdr:to>
    <xdr:pic macro="[0]!ActualiarAntiguedad">
      <xdr:nvPicPr>
        <xdr:cNvPr id="5" name="Imagen 4">
          <a:extLst>
            <a:ext uri="{FF2B5EF4-FFF2-40B4-BE49-F238E27FC236}">
              <a16:creationId xmlns:a16="http://schemas.microsoft.com/office/drawing/2014/main" id="{B6E1AF57-81FC-4040-BCCC-76ADEF939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475" y="2457450"/>
          <a:ext cx="1005927" cy="1286367"/>
        </a:xfrm>
        <a:prstGeom prst="rect">
          <a:avLst/>
        </a:prstGeom>
      </xdr:spPr>
    </xdr:pic>
    <xdr:clientData/>
  </xdr:twoCellAnchor>
  <xdr:twoCellAnchor editAs="oneCell">
    <xdr:from>
      <xdr:col>5</xdr:col>
      <xdr:colOff>619124</xdr:colOff>
      <xdr:row>10</xdr:row>
      <xdr:rowOff>190213</xdr:rowOff>
    </xdr:from>
    <xdr:to>
      <xdr:col>6</xdr:col>
      <xdr:colOff>590549</xdr:colOff>
      <xdr:row>16</xdr:row>
      <xdr:rowOff>72865</xdr:rowOff>
    </xdr:to>
    <xdr:pic macro="[0]!ActualizarPagos">
      <xdr:nvPicPr>
        <xdr:cNvPr id="8" name="Imagen 7">
          <a:extLst>
            <a:ext uri="{FF2B5EF4-FFF2-40B4-BE49-F238E27FC236}">
              <a16:creationId xmlns:a16="http://schemas.microsoft.com/office/drawing/2014/main" id="{EAA7D61E-7090-4293-85E6-5B51777BB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43424" y="2485738"/>
          <a:ext cx="809625" cy="1139952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381001</xdr:colOff>
      <xdr:row>10</xdr:row>
      <xdr:rowOff>114300</xdr:rowOff>
    </xdr:from>
    <xdr:to>
      <xdr:col>4</xdr:col>
      <xdr:colOff>391675</xdr:colOff>
      <xdr:row>16</xdr:row>
      <xdr:rowOff>200156</xdr:rowOff>
    </xdr:to>
    <xdr:pic macro="[0]!ActualizarAntigResumen">
      <xdr:nvPicPr>
        <xdr:cNvPr id="11" name="Imagen 10">
          <a:extLst>
            <a:ext uri="{FF2B5EF4-FFF2-40B4-BE49-F238E27FC236}">
              <a16:creationId xmlns:a16="http://schemas.microsoft.com/office/drawing/2014/main" id="{6609D8D1-3623-4B15-BB79-2864204BB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28901" y="2409825"/>
          <a:ext cx="848874" cy="1343156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762001</xdr:colOff>
      <xdr:row>4</xdr:row>
      <xdr:rowOff>38101</xdr:rowOff>
    </xdr:from>
    <xdr:to>
      <xdr:col>5</xdr:col>
      <xdr:colOff>438151</xdr:colOff>
      <xdr:row>9</xdr:row>
      <xdr:rowOff>135455</xdr:rowOff>
    </xdr:to>
    <xdr:pic>
      <xdr:nvPicPr>
        <xdr:cNvPr id="14" name="Imagen 13">
          <a:hlinkClick xmlns:r="http://schemas.openxmlformats.org/officeDocument/2006/relationships" r:id="rId4" tooltip="Registros Creditos y Abonos"/>
          <a:extLst>
            <a:ext uri="{FF2B5EF4-FFF2-40B4-BE49-F238E27FC236}">
              <a16:creationId xmlns:a16="http://schemas.microsoft.com/office/drawing/2014/main" id="{2B5F9052-332B-4140-8134-51FB4F8A67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4432" r="5260" b="4175"/>
        <a:stretch/>
      </xdr:blipFill>
      <xdr:spPr>
        <a:xfrm>
          <a:off x="3009901" y="1076326"/>
          <a:ext cx="1352550" cy="1145104"/>
        </a:xfrm>
        <a:prstGeom prst="rect">
          <a:avLst/>
        </a:prstGeom>
      </xdr:spPr>
    </xdr:pic>
    <xdr:clientData/>
  </xdr:twoCellAnchor>
  <xdr:twoCellAnchor editAs="oneCell">
    <xdr:from>
      <xdr:col>1</xdr:col>
      <xdr:colOff>800100</xdr:colOff>
      <xdr:row>3</xdr:row>
      <xdr:rowOff>161925</xdr:rowOff>
    </xdr:from>
    <xdr:to>
      <xdr:col>3</xdr:col>
      <xdr:colOff>257175</xdr:colOff>
      <xdr:row>8</xdr:row>
      <xdr:rowOff>208756</xdr:rowOff>
    </xdr:to>
    <xdr:pic>
      <xdr:nvPicPr>
        <xdr:cNvPr id="17" name="Imagen 16">
          <a:hlinkClick xmlns:r="http://schemas.openxmlformats.org/officeDocument/2006/relationships" r:id="rId6" tooltip="Proveedores"/>
          <a:extLst>
            <a:ext uri="{FF2B5EF4-FFF2-40B4-BE49-F238E27FC236}">
              <a16:creationId xmlns:a16="http://schemas.microsoft.com/office/drawing/2014/main" id="{261B19C4-E692-418E-A573-CD4BC8FDA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1600" y="981075"/>
          <a:ext cx="1133475" cy="1094581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6</xdr:row>
      <xdr:rowOff>19730</xdr:rowOff>
    </xdr:from>
    <xdr:to>
      <xdr:col>10</xdr:col>
      <xdr:colOff>676275</xdr:colOff>
      <xdr:row>13</xdr:row>
      <xdr:rowOff>66675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E1D9425E-81C7-4024-B83B-35815B4C7D0B}"/>
            </a:ext>
          </a:extLst>
        </xdr:cNvPr>
        <xdr:cNvGrpSpPr/>
      </xdr:nvGrpSpPr>
      <xdr:grpSpPr>
        <a:xfrm>
          <a:off x="6513195" y="1231310"/>
          <a:ext cx="2423160" cy="1540465"/>
          <a:chOff x="6715126" y="1353230"/>
          <a:chExt cx="1802652" cy="1795875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50862CA8-FCA7-442C-8CE4-1A68D11567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715126" y="1353230"/>
            <a:ext cx="1802652" cy="1795875"/>
          </a:xfrm>
          <a:prstGeom prst="rect">
            <a:avLst/>
          </a:prstGeom>
        </xdr:spPr>
      </xdr:pic>
      <xdr:sp macro="" textlink="$J$7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400AE67C-EDA6-4C21-9852-048F88468218}"/>
              </a:ext>
            </a:extLst>
          </xdr:cNvPr>
          <xdr:cNvSpPr/>
        </xdr:nvSpPr>
        <xdr:spPr>
          <a:xfrm>
            <a:off x="7037412" y="2450455"/>
            <a:ext cx="1154088" cy="483495"/>
          </a:xfrm>
          <a:custGeom>
            <a:avLst/>
            <a:gdLst>
              <a:gd name="connsiteX0" fmla="*/ 0 w 990600"/>
              <a:gd name="connsiteY0" fmla="*/ 85727 h 514350"/>
              <a:gd name="connsiteX1" fmla="*/ 85727 w 990600"/>
              <a:gd name="connsiteY1" fmla="*/ 0 h 514350"/>
              <a:gd name="connsiteX2" fmla="*/ 904873 w 990600"/>
              <a:gd name="connsiteY2" fmla="*/ 0 h 514350"/>
              <a:gd name="connsiteX3" fmla="*/ 990600 w 990600"/>
              <a:gd name="connsiteY3" fmla="*/ 85727 h 514350"/>
              <a:gd name="connsiteX4" fmla="*/ 990600 w 990600"/>
              <a:gd name="connsiteY4" fmla="*/ 428623 h 514350"/>
              <a:gd name="connsiteX5" fmla="*/ 904873 w 990600"/>
              <a:gd name="connsiteY5" fmla="*/ 514350 h 514350"/>
              <a:gd name="connsiteX6" fmla="*/ 85727 w 990600"/>
              <a:gd name="connsiteY6" fmla="*/ 514350 h 514350"/>
              <a:gd name="connsiteX7" fmla="*/ 0 w 990600"/>
              <a:gd name="connsiteY7" fmla="*/ 428623 h 514350"/>
              <a:gd name="connsiteX8" fmla="*/ 0 w 990600"/>
              <a:gd name="connsiteY8" fmla="*/ 85727 h 514350"/>
              <a:gd name="connsiteX0" fmla="*/ 0 w 990600"/>
              <a:gd name="connsiteY0" fmla="*/ 85727 h 514350"/>
              <a:gd name="connsiteX1" fmla="*/ 85727 w 990600"/>
              <a:gd name="connsiteY1" fmla="*/ 0 h 514350"/>
              <a:gd name="connsiteX2" fmla="*/ 904873 w 990600"/>
              <a:gd name="connsiteY2" fmla="*/ 0 h 514350"/>
              <a:gd name="connsiteX3" fmla="*/ 990600 w 990600"/>
              <a:gd name="connsiteY3" fmla="*/ 85727 h 514350"/>
              <a:gd name="connsiteX4" fmla="*/ 971550 w 990600"/>
              <a:gd name="connsiteY4" fmla="*/ 342898 h 514350"/>
              <a:gd name="connsiteX5" fmla="*/ 904873 w 990600"/>
              <a:gd name="connsiteY5" fmla="*/ 514350 h 514350"/>
              <a:gd name="connsiteX6" fmla="*/ 85727 w 990600"/>
              <a:gd name="connsiteY6" fmla="*/ 514350 h 514350"/>
              <a:gd name="connsiteX7" fmla="*/ 0 w 990600"/>
              <a:gd name="connsiteY7" fmla="*/ 428623 h 514350"/>
              <a:gd name="connsiteX8" fmla="*/ 0 w 990600"/>
              <a:gd name="connsiteY8" fmla="*/ 85727 h 514350"/>
              <a:gd name="connsiteX0" fmla="*/ 0 w 990600"/>
              <a:gd name="connsiteY0" fmla="*/ 85727 h 514350"/>
              <a:gd name="connsiteX1" fmla="*/ 85727 w 990600"/>
              <a:gd name="connsiteY1" fmla="*/ 0 h 514350"/>
              <a:gd name="connsiteX2" fmla="*/ 904873 w 990600"/>
              <a:gd name="connsiteY2" fmla="*/ 0 h 514350"/>
              <a:gd name="connsiteX3" fmla="*/ 990600 w 990600"/>
              <a:gd name="connsiteY3" fmla="*/ 85727 h 514350"/>
              <a:gd name="connsiteX4" fmla="*/ 971550 w 990600"/>
              <a:gd name="connsiteY4" fmla="*/ 342898 h 514350"/>
              <a:gd name="connsiteX5" fmla="*/ 771523 w 990600"/>
              <a:gd name="connsiteY5" fmla="*/ 428625 h 514350"/>
              <a:gd name="connsiteX6" fmla="*/ 85727 w 990600"/>
              <a:gd name="connsiteY6" fmla="*/ 514350 h 514350"/>
              <a:gd name="connsiteX7" fmla="*/ 0 w 990600"/>
              <a:gd name="connsiteY7" fmla="*/ 428623 h 514350"/>
              <a:gd name="connsiteX8" fmla="*/ 0 w 990600"/>
              <a:gd name="connsiteY8" fmla="*/ 85727 h 514350"/>
              <a:gd name="connsiteX0" fmla="*/ 0 w 990600"/>
              <a:gd name="connsiteY0" fmla="*/ 85727 h 452455"/>
              <a:gd name="connsiteX1" fmla="*/ 85727 w 990600"/>
              <a:gd name="connsiteY1" fmla="*/ 0 h 452455"/>
              <a:gd name="connsiteX2" fmla="*/ 904873 w 990600"/>
              <a:gd name="connsiteY2" fmla="*/ 0 h 452455"/>
              <a:gd name="connsiteX3" fmla="*/ 990600 w 990600"/>
              <a:gd name="connsiteY3" fmla="*/ 85727 h 452455"/>
              <a:gd name="connsiteX4" fmla="*/ 971550 w 990600"/>
              <a:gd name="connsiteY4" fmla="*/ 342898 h 452455"/>
              <a:gd name="connsiteX5" fmla="*/ 771523 w 990600"/>
              <a:gd name="connsiteY5" fmla="*/ 428625 h 452455"/>
              <a:gd name="connsiteX6" fmla="*/ 123827 w 990600"/>
              <a:gd name="connsiteY6" fmla="*/ 438150 h 452455"/>
              <a:gd name="connsiteX7" fmla="*/ 0 w 990600"/>
              <a:gd name="connsiteY7" fmla="*/ 428623 h 452455"/>
              <a:gd name="connsiteX8" fmla="*/ 0 w 990600"/>
              <a:gd name="connsiteY8" fmla="*/ 85727 h 452455"/>
              <a:gd name="connsiteX0" fmla="*/ 0 w 990600"/>
              <a:gd name="connsiteY0" fmla="*/ 85727 h 438150"/>
              <a:gd name="connsiteX1" fmla="*/ 85727 w 990600"/>
              <a:gd name="connsiteY1" fmla="*/ 0 h 438150"/>
              <a:gd name="connsiteX2" fmla="*/ 904873 w 990600"/>
              <a:gd name="connsiteY2" fmla="*/ 0 h 438150"/>
              <a:gd name="connsiteX3" fmla="*/ 990600 w 990600"/>
              <a:gd name="connsiteY3" fmla="*/ 85727 h 438150"/>
              <a:gd name="connsiteX4" fmla="*/ 971550 w 990600"/>
              <a:gd name="connsiteY4" fmla="*/ 342898 h 438150"/>
              <a:gd name="connsiteX5" fmla="*/ 771523 w 990600"/>
              <a:gd name="connsiteY5" fmla="*/ 428625 h 438150"/>
              <a:gd name="connsiteX6" fmla="*/ 123827 w 990600"/>
              <a:gd name="connsiteY6" fmla="*/ 438150 h 438150"/>
              <a:gd name="connsiteX7" fmla="*/ 57150 w 990600"/>
              <a:gd name="connsiteY7" fmla="*/ 352423 h 438150"/>
              <a:gd name="connsiteX8" fmla="*/ 0 w 990600"/>
              <a:gd name="connsiteY8" fmla="*/ 85727 h 438150"/>
              <a:gd name="connsiteX0" fmla="*/ 0 w 990600"/>
              <a:gd name="connsiteY0" fmla="*/ 85727 h 428625"/>
              <a:gd name="connsiteX1" fmla="*/ 85727 w 990600"/>
              <a:gd name="connsiteY1" fmla="*/ 0 h 428625"/>
              <a:gd name="connsiteX2" fmla="*/ 904873 w 990600"/>
              <a:gd name="connsiteY2" fmla="*/ 0 h 428625"/>
              <a:gd name="connsiteX3" fmla="*/ 990600 w 990600"/>
              <a:gd name="connsiteY3" fmla="*/ 85727 h 428625"/>
              <a:gd name="connsiteX4" fmla="*/ 971550 w 990600"/>
              <a:gd name="connsiteY4" fmla="*/ 342898 h 428625"/>
              <a:gd name="connsiteX5" fmla="*/ 771523 w 990600"/>
              <a:gd name="connsiteY5" fmla="*/ 428625 h 428625"/>
              <a:gd name="connsiteX6" fmla="*/ 171452 w 990600"/>
              <a:gd name="connsiteY6" fmla="*/ 409575 h 428625"/>
              <a:gd name="connsiteX7" fmla="*/ 57150 w 990600"/>
              <a:gd name="connsiteY7" fmla="*/ 352423 h 428625"/>
              <a:gd name="connsiteX8" fmla="*/ 0 w 990600"/>
              <a:gd name="connsiteY8" fmla="*/ 85727 h 428625"/>
              <a:gd name="connsiteX0" fmla="*/ 0 w 990600"/>
              <a:gd name="connsiteY0" fmla="*/ 85727 h 428625"/>
              <a:gd name="connsiteX1" fmla="*/ 142877 w 990600"/>
              <a:gd name="connsiteY1" fmla="*/ 19050 h 428625"/>
              <a:gd name="connsiteX2" fmla="*/ 904873 w 990600"/>
              <a:gd name="connsiteY2" fmla="*/ 0 h 428625"/>
              <a:gd name="connsiteX3" fmla="*/ 990600 w 990600"/>
              <a:gd name="connsiteY3" fmla="*/ 85727 h 428625"/>
              <a:gd name="connsiteX4" fmla="*/ 971550 w 990600"/>
              <a:gd name="connsiteY4" fmla="*/ 342898 h 428625"/>
              <a:gd name="connsiteX5" fmla="*/ 771523 w 990600"/>
              <a:gd name="connsiteY5" fmla="*/ 428625 h 428625"/>
              <a:gd name="connsiteX6" fmla="*/ 171452 w 990600"/>
              <a:gd name="connsiteY6" fmla="*/ 409575 h 428625"/>
              <a:gd name="connsiteX7" fmla="*/ 57150 w 990600"/>
              <a:gd name="connsiteY7" fmla="*/ 352423 h 428625"/>
              <a:gd name="connsiteX8" fmla="*/ 0 w 990600"/>
              <a:gd name="connsiteY8" fmla="*/ 85727 h 428625"/>
              <a:gd name="connsiteX0" fmla="*/ 9525 w 933450"/>
              <a:gd name="connsiteY0" fmla="*/ 114302 h 428625"/>
              <a:gd name="connsiteX1" fmla="*/ 85727 w 933450"/>
              <a:gd name="connsiteY1" fmla="*/ 19050 h 428625"/>
              <a:gd name="connsiteX2" fmla="*/ 847723 w 933450"/>
              <a:gd name="connsiteY2" fmla="*/ 0 h 428625"/>
              <a:gd name="connsiteX3" fmla="*/ 933450 w 933450"/>
              <a:gd name="connsiteY3" fmla="*/ 85727 h 428625"/>
              <a:gd name="connsiteX4" fmla="*/ 914400 w 933450"/>
              <a:gd name="connsiteY4" fmla="*/ 342898 h 428625"/>
              <a:gd name="connsiteX5" fmla="*/ 714373 w 933450"/>
              <a:gd name="connsiteY5" fmla="*/ 428625 h 428625"/>
              <a:gd name="connsiteX6" fmla="*/ 114302 w 933450"/>
              <a:gd name="connsiteY6" fmla="*/ 409575 h 428625"/>
              <a:gd name="connsiteX7" fmla="*/ 0 w 933450"/>
              <a:gd name="connsiteY7" fmla="*/ 352423 h 428625"/>
              <a:gd name="connsiteX8" fmla="*/ 9525 w 933450"/>
              <a:gd name="connsiteY8" fmla="*/ 114302 h 428625"/>
              <a:gd name="connsiteX0" fmla="*/ 9525 w 933450"/>
              <a:gd name="connsiteY0" fmla="*/ 133352 h 447675"/>
              <a:gd name="connsiteX1" fmla="*/ 85727 w 933450"/>
              <a:gd name="connsiteY1" fmla="*/ 38100 h 447675"/>
              <a:gd name="connsiteX2" fmla="*/ 733423 w 933450"/>
              <a:gd name="connsiteY2" fmla="*/ 0 h 447675"/>
              <a:gd name="connsiteX3" fmla="*/ 933450 w 933450"/>
              <a:gd name="connsiteY3" fmla="*/ 104777 h 447675"/>
              <a:gd name="connsiteX4" fmla="*/ 914400 w 933450"/>
              <a:gd name="connsiteY4" fmla="*/ 361948 h 447675"/>
              <a:gd name="connsiteX5" fmla="*/ 714373 w 933450"/>
              <a:gd name="connsiteY5" fmla="*/ 447675 h 447675"/>
              <a:gd name="connsiteX6" fmla="*/ 114302 w 933450"/>
              <a:gd name="connsiteY6" fmla="*/ 428625 h 447675"/>
              <a:gd name="connsiteX7" fmla="*/ 0 w 933450"/>
              <a:gd name="connsiteY7" fmla="*/ 371473 h 447675"/>
              <a:gd name="connsiteX8" fmla="*/ 9525 w 933450"/>
              <a:gd name="connsiteY8" fmla="*/ 133352 h 447675"/>
              <a:gd name="connsiteX0" fmla="*/ 9525 w 914400"/>
              <a:gd name="connsiteY0" fmla="*/ 133352 h 447675"/>
              <a:gd name="connsiteX1" fmla="*/ 85727 w 914400"/>
              <a:gd name="connsiteY1" fmla="*/ 38100 h 447675"/>
              <a:gd name="connsiteX2" fmla="*/ 733423 w 914400"/>
              <a:gd name="connsiteY2" fmla="*/ 0 h 447675"/>
              <a:gd name="connsiteX3" fmla="*/ 895350 w 914400"/>
              <a:gd name="connsiteY3" fmla="*/ 114302 h 447675"/>
              <a:gd name="connsiteX4" fmla="*/ 914400 w 914400"/>
              <a:gd name="connsiteY4" fmla="*/ 361948 h 447675"/>
              <a:gd name="connsiteX5" fmla="*/ 714373 w 914400"/>
              <a:gd name="connsiteY5" fmla="*/ 447675 h 447675"/>
              <a:gd name="connsiteX6" fmla="*/ 114302 w 914400"/>
              <a:gd name="connsiteY6" fmla="*/ 428625 h 447675"/>
              <a:gd name="connsiteX7" fmla="*/ 0 w 914400"/>
              <a:gd name="connsiteY7" fmla="*/ 371473 h 447675"/>
              <a:gd name="connsiteX8" fmla="*/ 9525 w 914400"/>
              <a:gd name="connsiteY8" fmla="*/ 133352 h 447675"/>
              <a:gd name="connsiteX0" fmla="*/ 76200 w 981075"/>
              <a:gd name="connsiteY0" fmla="*/ 133352 h 447675"/>
              <a:gd name="connsiteX1" fmla="*/ 152402 w 981075"/>
              <a:gd name="connsiteY1" fmla="*/ 38100 h 447675"/>
              <a:gd name="connsiteX2" fmla="*/ 800098 w 981075"/>
              <a:gd name="connsiteY2" fmla="*/ 0 h 447675"/>
              <a:gd name="connsiteX3" fmla="*/ 962025 w 981075"/>
              <a:gd name="connsiteY3" fmla="*/ 114302 h 447675"/>
              <a:gd name="connsiteX4" fmla="*/ 981075 w 981075"/>
              <a:gd name="connsiteY4" fmla="*/ 361948 h 447675"/>
              <a:gd name="connsiteX5" fmla="*/ 781048 w 981075"/>
              <a:gd name="connsiteY5" fmla="*/ 447675 h 447675"/>
              <a:gd name="connsiteX6" fmla="*/ 180977 w 981075"/>
              <a:gd name="connsiteY6" fmla="*/ 428625 h 447675"/>
              <a:gd name="connsiteX7" fmla="*/ 0 w 981075"/>
              <a:gd name="connsiteY7" fmla="*/ 371473 h 447675"/>
              <a:gd name="connsiteX8" fmla="*/ 76200 w 981075"/>
              <a:gd name="connsiteY8" fmla="*/ 133352 h 447675"/>
              <a:gd name="connsiteX0" fmla="*/ 9525 w 981075"/>
              <a:gd name="connsiteY0" fmla="*/ 142877 h 447675"/>
              <a:gd name="connsiteX1" fmla="*/ 152402 w 981075"/>
              <a:gd name="connsiteY1" fmla="*/ 38100 h 447675"/>
              <a:gd name="connsiteX2" fmla="*/ 800098 w 981075"/>
              <a:gd name="connsiteY2" fmla="*/ 0 h 447675"/>
              <a:gd name="connsiteX3" fmla="*/ 962025 w 981075"/>
              <a:gd name="connsiteY3" fmla="*/ 114302 h 447675"/>
              <a:gd name="connsiteX4" fmla="*/ 981075 w 981075"/>
              <a:gd name="connsiteY4" fmla="*/ 361948 h 447675"/>
              <a:gd name="connsiteX5" fmla="*/ 781048 w 981075"/>
              <a:gd name="connsiteY5" fmla="*/ 447675 h 447675"/>
              <a:gd name="connsiteX6" fmla="*/ 180977 w 981075"/>
              <a:gd name="connsiteY6" fmla="*/ 428625 h 447675"/>
              <a:gd name="connsiteX7" fmla="*/ 0 w 981075"/>
              <a:gd name="connsiteY7" fmla="*/ 371473 h 447675"/>
              <a:gd name="connsiteX8" fmla="*/ 9525 w 981075"/>
              <a:gd name="connsiteY8" fmla="*/ 142877 h 447675"/>
              <a:gd name="connsiteX0" fmla="*/ 9525 w 1000125"/>
              <a:gd name="connsiteY0" fmla="*/ 142877 h 447675"/>
              <a:gd name="connsiteX1" fmla="*/ 152402 w 1000125"/>
              <a:gd name="connsiteY1" fmla="*/ 38100 h 447675"/>
              <a:gd name="connsiteX2" fmla="*/ 800098 w 1000125"/>
              <a:gd name="connsiteY2" fmla="*/ 0 h 447675"/>
              <a:gd name="connsiteX3" fmla="*/ 1000125 w 1000125"/>
              <a:gd name="connsiteY3" fmla="*/ 133352 h 447675"/>
              <a:gd name="connsiteX4" fmla="*/ 981075 w 1000125"/>
              <a:gd name="connsiteY4" fmla="*/ 361948 h 447675"/>
              <a:gd name="connsiteX5" fmla="*/ 781048 w 1000125"/>
              <a:gd name="connsiteY5" fmla="*/ 447675 h 447675"/>
              <a:gd name="connsiteX6" fmla="*/ 180977 w 1000125"/>
              <a:gd name="connsiteY6" fmla="*/ 428625 h 447675"/>
              <a:gd name="connsiteX7" fmla="*/ 0 w 1000125"/>
              <a:gd name="connsiteY7" fmla="*/ 371473 h 447675"/>
              <a:gd name="connsiteX8" fmla="*/ 9525 w 1000125"/>
              <a:gd name="connsiteY8" fmla="*/ 142877 h 447675"/>
              <a:gd name="connsiteX0" fmla="*/ 9525 w 1038225"/>
              <a:gd name="connsiteY0" fmla="*/ 142877 h 447675"/>
              <a:gd name="connsiteX1" fmla="*/ 152402 w 1038225"/>
              <a:gd name="connsiteY1" fmla="*/ 38100 h 447675"/>
              <a:gd name="connsiteX2" fmla="*/ 800098 w 1038225"/>
              <a:gd name="connsiteY2" fmla="*/ 0 h 447675"/>
              <a:gd name="connsiteX3" fmla="*/ 1000125 w 1038225"/>
              <a:gd name="connsiteY3" fmla="*/ 133352 h 447675"/>
              <a:gd name="connsiteX4" fmla="*/ 1038225 w 1038225"/>
              <a:gd name="connsiteY4" fmla="*/ 361948 h 447675"/>
              <a:gd name="connsiteX5" fmla="*/ 781048 w 1038225"/>
              <a:gd name="connsiteY5" fmla="*/ 447675 h 447675"/>
              <a:gd name="connsiteX6" fmla="*/ 180977 w 1038225"/>
              <a:gd name="connsiteY6" fmla="*/ 428625 h 447675"/>
              <a:gd name="connsiteX7" fmla="*/ 0 w 1038225"/>
              <a:gd name="connsiteY7" fmla="*/ 371473 h 447675"/>
              <a:gd name="connsiteX8" fmla="*/ 9525 w 1038225"/>
              <a:gd name="connsiteY8" fmla="*/ 142877 h 447675"/>
              <a:gd name="connsiteX0" fmla="*/ 9525 w 1038225"/>
              <a:gd name="connsiteY0" fmla="*/ 142877 h 447675"/>
              <a:gd name="connsiteX1" fmla="*/ 152402 w 1038225"/>
              <a:gd name="connsiteY1" fmla="*/ 0 h 447675"/>
              <a:gd name="connsiteX2" fmla="*/ 800098 w 1038225"/>
              <a:gd name="connsiteY2" fmla="*/ 0 h 447675"/>
              <a:gd name="connsiteX3" fmla="*/ 1000125 w 1038225"/>
              <a:gd name="connsiteY3" fmla="*/ 133352 h 447675"/>
              <a:gd name="connsiteX4" fmla="*/ 1038225 w 1038225"/>
              <a:gd name="connsiteY4" fmla="*/ 361948 h 447675"/>
              <a:gd name="connsiteX5" fmla="*/ 781048 w 1038225"/>
              <a:gd name="connsiteY5" fmla="*/ 447675 h 447675"/>
              <a:gd name="connsiteX6" fmla="*/ 180977 w 1038225"/>
              <a:gd name="connsiteY6" fmla="*/ 428625 h 447675"/>
              <a:gd name="connsiteX7" fmla="*/ 0 w 1038225"/>
              <a:gd name="connsiteY7" fmla="*/ 371473 h 447675"/>
              <a:gd name="connsiteX8" fmla="*/ 9525 w 1038225"/>
              <a:gd name="connsiteY8" fmla="*/ 142877 h 447675"/>
              <a:gd name="connsiteX0" fmla="*/ 9525 w 1038225"/>
              <a:gd name="connsiteY0" fmla="*/ 142877 h 457200"/>
              <a:gd name="connsiteX1" fmla="*/ 152402 w 1038225"/>
              <a:gd name="connsiteY1" fmla="*/ 0 h 457200"/>
              <a:gd name="connsiteX2" fmla="*/ 800098 w 1038225"/>
              <a:gd name="connsiteY2" fmla="*/ 0 h 457200"/>
              <a:gd name="connsiteX3" fmla="*/ 1000125 w 1038225"/>
              <a:gd name="connsiteY3" fmla="*/ 133352 h 457200"/>
              <a:gd name="connsiteX4" fmla="*/ 1038225 w 1038225"/>
              <a:gd name="connsiteY4" fmla="*/ 361948 h 457200"/>
              <a:gd name="connsiteX5" fmla="*/ 781048 w 1038225"/>
              <a:gd name="connsiteY5" fmla="*/ 447675 h 457200"/>
              <a:gd name="connsiteX6" fmla="*/ 238127 w 1038225"/>
              <a:gd name="connsiteY6" fmla="*/ 457200 h 457200"/>
              <a:gd name="connsiteX7" fmla="*/ 0 w 1038225"/>
              <a:gd name="connsiteY7" fmla="*/ 371473 h 457200"/>
              <a:gd name="connsiteX8" fmla="*/ 9525 w 1038225"/>
              <a:gd name="connsiteY8" fmla="*/ 142877 h 457200"/>
              <a:gd name="connsiteX0" fmla="*/ 9525 w 1038225"/>
              <a:gd name="connsiteY0" fmla="*/ 142877 h 466976"/>
              <a:gd name="connsiteX1" fmla="*/ 152402 w 1038225"/>
              <a:gd name="connsiteY1" fmla="*/ 0 h 466976"/>
              <a:gd name="connsiteX2" fmla="*/ 800098 w 1038225"/>
              <a:gd name="connsiteY2" fmla="*/ 0 h 466976"/>
              <a:gd name="connsiteX3" fmla="*/ 1000125 w 1038225"/>
              <a:gd name="connsiteY3" fmla="*/ 133352 h 466976"/>
              <a:gd name="connsiteX4" fmla="*/ 1038225 w 1038225"/>
              <a:gd name="connsiteY4" fmla="*/ 361948 h 466976"/>
              <a:gd name="connsiteX5" fmla="*/ 781048 w 1038225"/>
              <a:gd name="connsiteY5" fmla="*/ 447675 h 466976"/>
              <a:gd name="connsiteX6" fmla="*/ 238127 w 1038225"/>
              <a:gd name="connsiteY6" fmla="*/ 457200 h 466976"/>
              <a:gd name="connsiteX7" fmla="*/ 0 w 1038225"/>
              <a:gd name="connsiteY7" fmla="*/ 371473 h 466976"/>
              <a:gd name="connsiteX8" fmla="*/ 9525 w 1038225"/>
              <a:gd name="connsiteY8" fmla="*/ 142877 h 466976"/>
              <a:gd name="connsiteX0" fmla="*/ 9525 w 1038225"/>
              <a:gd name="connsiteY0" fmla="*/ 142877 h 466976"/>
              <a:gd name="connsiteX1" fmla="*/ 152402 w 1038225"/>
              <a:gd name="connsiteY1" fmla="*/ 0 h 466976"/>
              <a:gd name="connsiteX2" fmla="*/ 800098 w 1038225"/>
              <a:gd name="connsiteY2" fmla="*/ 0 h 466976"/>
              <a:gd name="connsiteX3" fmla="*/ 1000125 w 1038225"/>
              <a:gd name="connsiteY3" fmla="*/ 133352 h 466976"/>
              <a:gd name="connsiteX4" fmla="*/ 1038225 w 1038225"/>
              <a:gd name="connsiteY4" fmla="*/ 361948 h 466976"/>
              <a:gd name="connsiteX5" fmla="*/ 876298 w 1038225"/>
              <a:gd name="connsiteY5" fmla="*/ 447675 h 466976"/>
              <a:gd name="connsiteX6" fmla="*/ 238127 w 1038225"/>
              <a:gd name="connsiteY6" fmla="*/ 457200 h 466976"/>
              <a:gd name="connsiteX7" fmla="*/ 0 w 1038225"/>
              <a:gd name="connsiteY7" fmla="*/ 371473 h 466976"/>
              <a:gd name="connsiteX8" fmla="*/ 9525 w 1038225"/>
              <a:gd name="connsiteY8" fmla="*/ 142877 h 466976"/>
              <a:gd name="connsiteX0" fmla="*/ 9525 w 1038225"/>
              <a:gd name="connsiteY0" fmla="*/ 142877 h 466976"/>
              <a:gd name="connsiteX1" fmla="*/ 152402 w 1038225"/>
              <a:gd name="connsiteY1" fmla="*/ 0 h 466976"/>
              <a:gd name="connsiteX2" fmla="*/ 800098 w 1038225"/>
              <a:gd name="connsiteY2" fmla="*/ 0 h 466976"/>
              <a:gd name="connsiteX3" fmla="*/ 1019175 w 1038225"/>
              <a:gd name="connsiteY3" fmla="*/ 152402 h 466976"/>
              <a:gd name="connsiteX4" fmla="*/ 1038225 w 1038225"/>
              <a:gd name="connsiteY4" fmla="*/ 361948 h 466976"/>
              <a:gd name="connsiteX5" fmla="*/ 876298 w 1038225"/>
              <a:gd name="connsiteY5" fmla="*/ 447675 h 466976"/>
              <a:gd name="connsiteX6" fmla="*/ 238127 w 1038225"/>
              <a:gd name="connsiteY6" fmla="*/ 457200 h 466976"/>
              <a:gd name="connsiteX7" fmla="*/ 0 w 1038225"/>
              <a:gd name="connsiteY7" fmla="*/ 371473 h 466976"/>
              <a:gd name="connsiteX8" fmla="*/ 9525 w 1038225"/>
              <a:gd name="connsiteY8" fmla="*/ 142877 h 4669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038225" h="466976">
                <a:moveTo>
                  <a:pt x="9525" y="142877"/>
                </a:moveTo>
                <a:cubicBezTo>
                  <a:pt x="9525" y="95531"/>
                  <a:pt x="105056" y="0"/>
                  <a:pt x="152402" y="0"/>
                </a:cubicBezTo>
                <a:lnTo>
                  <a:pt x="800098" y="0"/>
                </a:lnTo>
                <a:cubicBezTo>
                  <a:pt x="847444" y="0"/>
                  <a:pt x="1019175" y="105056"/>
                  <a:pt x="1019175" y="152402"/>
                </a:cubicBezTo>
                <a:cubicBezTo>
                  <a:pt x="1019175" y="266701"/>
                  <a:pt x="1038225" y="247649"/>
                  <a:pt x="1038225" y="361948"/>
                </a:cubicBezTo>
                <a:cubicBezTo>
                  <a:pt x="1038225" y="409294"/>
                  <a:pt x="923644" y="447675"/>
                  <a:pt x="876298" y="447675"/>
                </a:cubicBezTo>
                <a:cubicBezTo>
                  <a:pt x="695324" y="450850"/>
                  <a:pt x="495301" y="482600"/>
                  <a:pt x="238127" y="457200"/>
                </a:cubicBezTo>
                <a:cubicBezTo>
                  <a:pt x="190781" y="457200"/>
                  <a:pt x="0" y="418819"/>
                  <a:pt x="0" y="371473"/>
                </a:cubicBezTo>
                <a:lnTo>
                  <a:pt x="9525" y="142877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2805534-740E-4C70-BBB0-F19C04A84A97}" type="TxLink">
              <a:rPr lang="en-US" sz="1300" b="1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 $- </a:t>
            </a:fld>
            <a:endParaRPr lang="en-US" sz="13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323850</xdr:colOff>
      <xdr:row>0</xdr:row>
      <xdr:rowOff>171450</xdr:rowOff>
    </xdr:from>
    <xdr:to>
      <xdr:col>7</xdr:col>
      <xdr:colOff>0</xdr:colOff>
      <xdr:row>4</xdr:row>
      <xdr:rowOff>124640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7D324D65-EC4B-47BD-89B0-0E05E0317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171450"/>
          <a:ext cx="514350" cy="6694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3</xdr:row>
      <xdr:rowOff>93133</xdr:rowOff>
    </xdr:from>
    <xdr:to>
      <xdr:col>2</xdr:col>
      <xdr:colOff>161925</xdr:colOff>
      <xdr:row>4</xdr:row>
      <xdr:rowOff>203502</xdr:rowOff>
    </xdr:to>
    <xdr:pic>
      <xdr:nvPicPr>
        <xdr:cNvPr id="3" name="Imagen 2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72EAD6C6-F4D0-4990-9D9B-260BBC1F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342" y="93133"/>
          <a:ext cx="450850" cy="533702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2</xdr:col>
      <xdr:colOff>338666</xdr:colOff>
      <xdr:row>3</xdr:row>
      <xdr:rowOff>50801</xdr:rowOff>
    </xdr:from>
    <xdr:to>
      <xdr:col>3</xdr:col>
      <xdr:colOff>194734</xdr:colOff>
      <xdr:row>4</xdr:row>
      <xdr:rowOff>211668</xdr:rowOff>
    </xdr:to>
    <xdr:pic macro="[0]!EliminarFilas">
      <xdr:nvPicPr>
        <xdr:cNvPr id="7" name="Imagen 6">
          <a:extLst>
            <a:ext uri="{FF2B5EF4-FFF2-40B4-BE49-F238E27FC236}">
              <a16:creationId xmlns:a16="http://schemas.microsoft.com/office/drawing/2014/main" id="{45876C13-BC58-43D7-B70D-F9D54C4880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773" r="6169" b="7379"/>
        <a:stretch/>
      </xdr:blipFill>
      <xdr:spPr>
        <a:xfrm>
          <a:off x="778933" y="50801"/>
          <a:ext cx="694268" cy="584200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3</xdr:col>
      <xdr:colOff>343959</xdr:colOff>
      <xdr:row>3</xdr:row>
      <xdr:rowOff>16934</xdr:rowOff>
    </xdr:from>
    <xdr:to>
      <xdr:col>3</xdr:col>
      <xdr:colOff>917668</xdr:colOff>
      <xdr:row>4</xdr:row>
      <xdr:rowOff>258282</xdr:rowOff>
    </xdr:to>
    <xdr:pic macro="[0]!MostrarFormCreditos">
      <xdr:nvPicPr>
        <xdr:cNvPr id="14" name="Imagen 13">
          <a:extLst>
            <a:ext uri="{FF2B5EF4-FFF2-40B4-BE49-F238E27FC236}">
              <a16:creationId xmlns:a16="http://schemas.microsoft.com/office/drawing/2014/main" id="{FF4AD965-F36D-4DB4-8F9E-CC2B1ECE0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2426" y="16934"/>
          <a:ext cx="573709" cy="664681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3</xdr:col>
      <xdr:colOff>1020234</xdr:colOff>
      <xdr:row>3</xdr:row>
      <xdr:rowOff>16934</xdr:rowOff>
    </xdr:from>
    <xdr:to>
      <xdr:col>4</xdr:col>
      <xdr:colOff>456142</xdr:colOff>
      <xdr:row>4</xdr:row>
      <xdr:rowOff>266304</xdr:rowOff>
    </xdr:to>
    <xdr:pic macro="[0]!MostrarFormPagos">
      <xdr:nvPicPr>
        <xdr:cNvPr id="15" name="Imagen 14">
          <a:extLst>
            <a:ext uri="{FF2B5EF4-FFF2-40B4-BE49-F238E27FC236}">
              <a16:creationId xmlns:a16="http://schemas.microsoft.com/office/drawing/2014/main" id="{B94707BA-3C68-4669-9EC6-5B1AC360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98701" y="16934"/>
          <a:ext cx="536575" cy="672703"/>
        </a:xfrm>
        <a:prstGeom prst="rect">
          <a:avLst/>
        </a:prstGeom>
      </xdr:spPr>
    </xdr:pic>
    <xdr:clientData fLocksWithSheet="0"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66339</xdr:colOff>
      <xdr:row>0</xdr:row>
      <xdr:rowOff>124883</xdr:rowOff>
    </xdr:from>
    <xdr:to>
      <xdr:col>7</xdr:col>
      <xdr:colOff>522082</xdr:colOff>
      <xdr:row>3</xdr:row>
      <xdr:rowOff>53975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CF3ABC31-8499-4616-8B77-D461FC520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6606" y="124883"/>
          <a:ext cx="455743" cy="606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0</xdr:row>
      <xdr:rowOff>104775</xdr:rowOff>
    </xdr:from>
    <xdr:to>
      <xdr:col>3</xdr:col>
      <xdr:colOff>470559</xdr:colOff>
      <xdr:row>2</xdr:row>
      <xdr:rowOff>268817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B74F08D8-DCC0-4186-8180-4674792AE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104775"/>
          <a:ext cx="461034" cy="6000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1152525</xdr:colOff>
      <xdr:row>0</xdr:row>
      <xdr:rowOff>135467</xdr:rowOff>
    </xdr:from>
    <xdr:to>
      <xdr:col>6</xdr:col>
      <xdr:colOff>308634</xdr:colOff>
      <xdr:row>3</xdr:row>
      <xdr:rowOff>124884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EB549ECB-3C24-47AF-8C14-5A98EA3C1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7792" y="135467"/>
          <a:ext cx="459975" cy="590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790574</xdr:colOff>
      <xdr:row>2</xdr:row>
      <xdr:rowOff>0</xdr:rowOff>
    </xdr:from>
    <xdr:to>
      <xdr:col>5</xdr:col>
      <xdr:colOff>609599</xdr:colOff>
      <xdr:row>6</xdr:row>
      <xdr:rowOff>17234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6BBC1044-930A-4246-8FFC-33BA02E67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419100"/>
          <a:ext cx="657225" cy="85543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Torres" refreshedDate="44544.954793865742" missingItemsLimit="0" createdVersion="5" refreshedVersion="6" minRefreshableVersion="3" recordCount="2" xr:uid="{00000000-000A-0000-FFFF-FFFF12000000}">
  <cacheSource type="worksheet">
    <worksheetSource name="tblBase"/>
  </cacheSource>
  <cacheFields count="15">
    <cacheField name="#" numFmtId="0">
      <sharedItems containsSemiMixedTypes="0" containsString="0" containsNumber="1" containsInteger="1" minValue="1" maxValue="1"/>
    </cacheField>
    <cacheField name="FECHA" numFmtId="164">
      <sharedItems containsSemiMixedTypes="0" containsNonDate="0" containsDate="1" containsString="0" minDate="2021-12-14T00:00:00" maxDate="2021-12-15T00:00:00" count="1">
        <d v="2021-12-14T00:00:00"/>
      </sharedItems>
    </cacheField>
    <cacheField name="COD. PROVEEDOR" numFmtId="0">
      <sharedItems containsSemiMixedTypes="0" containsString="0" containsNumber="1" containsInteger="1" minValue="110" maxValue="110"/>
    </cacheField>
    <cacheField name="NOMBRE PROVEEDOR" numFmtId="0">
      <sharedItems count="1">
        <s v="SALA CUNA Y JARDIN INFANTIL CHIRIMOYA ALEGRE SPA"/>
      </sharedItems>
    </cacheField>
    <cacheField name="DOCUMENTO" numFmtId="0">
      <sharedItems containsSemiMixedTypes="0" containsString="0" containsNumber="1" containsInteger="1" minValue="154" maxValue="154" count="1">
        <n v="154"/>
      </sharedItems>
    </cacheField>
    <cacheField name="FECHA A PAGAR" numFmtId="164">
      <sharedItems containsDate="1" containsMixedTypes="1" minDate="2021-12-15T00:00:00" maxDate="2021-12-16T00:00:00" count="2">
        <s v="-"/>
        <d v="2021-12-15T00:00:00"/>
      </sharedItems>
    </cacheField>
    <cacheField name="MEDIO DE PAGO" numFmtId="0">
      <sharedItems count="2">
        <s v="efectivo"/>
        <s v="-"/>
      </sharedItems>
    </cacheField>
    <cacheField name="REF#" numFmtId="0">
      <sharedItems containsMixedTypes="1" containsNumber="1" containsInteger="1" minValue="6454" maxValue="6454" count="2">
        <n v="6454"/>
        <s v="-"/>
      </sharedItems>
    </cacheField>
    <cacheField name="VALOR PAGADO" numFmtId="0">
      <sharedItems containsSemiMixedTypes="0" containsString="0" containsNumber="1" containsInteger="1" minValue="0" maxValue="1500"/>
    </cacheField>
    <cacheField name="VALOR A PAGAR" numFmtId="44">
      <sharedItems containsSemiMixedTypes="0" containsString="0" containsNumber="1" containsInteger="1" minValue="0" maxValue="1500"/>
    </cacheField>
    <cacheField name="COMENTARIO" numFmtId="49">
      <sharedItems/>
    </cacheField>
    <cacheField name="SALDO" numFmtId="44">
      <sharedItems containsSemiMixedTypes="0" containsString="0" containsNumber="1" containsInteger="1" minValue="0" maxValue="0"/>
    </cacheField>
    <cacheField name="IDSALDO" numFmtId="0">
      <sharedItems containsSemiMixedTypes="0" containsString="0" containsNumber="1" containsInteger="1" minValue="0" maxValue="2" count="2">
        <n v="0"/>
        <n v="2"/>
      </sharedItems>
    </cacheField>
    <cacheField name="DIASVENCIMIENTO" numFmtId="0">
      <sharedItems containsMixedTypes="1" containsNumber="1" containsInteger="1" minValue="1" maxValue="1" count="2">
        <s v=""/>
        <n v="1"/>
      </sharedItems>
    </cacheField>
    <cacheField name="VENCIMIENTO" numFmtId="0">
      <sharedItems count="1"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x v="0"/>
    <n v="110"/>
    <x v="0"/>
    <x v="0"/>
    <x v="0"/>
    <x v="0"/>
    <x v="0"/>
    <n v="1500"/>
    <n v="0"/>
    <s v="pago"/>
    <n v="0"/>
    <x v="0"/>
    <x v="0"/>
    <x v="0"/>
  </r>
  <r>
    <n v="1"/>
    <x v="0"/>
    <n v="110"/>
    <x v="0"/>
    <x v="0"/>
    <x v="1"/>
    <x v="1"/>
    <x v="1"/>
    <n v="0"/>
    <n v="1500"/>
    <s v="kgjh"/>
    <n v="0"/>
    <x v="1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dAntiguedad" cacheId="90" applyNumberFormats="0" applyBorderFormats="0" applyFontFormats="0" applyPatternFormats="0" applyAlignmentFormats="0" applyWidthHeightFormats="1" dataCaption="Valores" updatedVersion="6" minRefreshableVersion="3" showDrill="0" itemPrintTitles="1" createdVersion="5" indent="0" compact="0" compactData="0" multipleFieldFilters="0">
  <location ref="A7:H8" firstHeaderRow="1" firstDataRow="1" firstDataCol="7"/>
  <pivotFields count="15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3"/>
    <field x="1"/>
    <field x="4"/>
    <field x="5"/>
    <field x="14"/>
    <field x="12"/>
    <field x="13"/>
  </rowFields>
  <rowItems count="1">
    <i t="grand">
      <x/>
    </i>
  </rowItems>
  <colItems count="1">
    <i/>
  </colItems>
  <dataFields count="1">
    <dataField name="SALDO " fld="11" baseField="13" baseItem="14" numFmtId="44"/>
  </dataFields>
  <formats count="41">
    <format dxfId="69">
      <pivotArea dataOnly="0" labelOnly="1" outline="0" fieldPosition="0">
        <references count="1">
          <reference field="5" count="0"/>
        </references>
      </pivotArea>
    </format>
    <format dxfId="68">
      <pivotArea field="3" type="button" dataOnly="0" labelOnly="1" outline="0" axis="axisRow" fieldPosition="0"/>
    </format>
    <format dxfId="67">
      <pivotArea field="5" type="button" dataOnly="0" labelOnly="1" outline="0" axis="axisRow" fieldPosition="3"/>
    </format>
    <format dxfId="66">
      <pivotArea field="14" type="button" dataOnly="0" labelOnly="1" outline="0" axis="axisRow" fieldPosition="4"/>
    </format>
    <format dxfId="65">
      <pivotArea field="14" type="button" dataOnly="0" labelOnly="1" outline="0" axis="axisRow" fieldPosition="4"/>
    </format>
    <format dxfId="64">
      <pivotArea field="5" type="button" dataOnly="0" labelOnly="1" outline="0" axis="axisRow" fieldPosition="3"/>
    </format>
    <format dxfId="63">
      <pivotArea field="12" type="button" dataOnly="0" labelOnly="1" outline="0" axis="axisRow" fieldPosition="5"/>
    </format>
    <format dxfId="62">
      <pivotArea dataOnly="0" labelOnly="1" outline="0" axis="axisValues" fieldPosition="0"/>
    </format>
    <format dxfId="61">
      <pivotArea dataOnly="0" labelOnly="1" outline="0" axis="axisValues" fieldPosition="0"/>
    </format>
    <format dxfId="60">
      <pivotArea dataOnly="0" outline="0" fieldPosition="0">
        <references count="1">
          <reference field="3" count="0" defaultSubtotal="1"/>
        </references>
      </pivotArea>
    </format>
    <format dxfId="59">
      <pivotArea field="3" type="button" dataOnly="0" labelOnly="1" outline="0" axis="axisRow" fieldPosition="0"/>
    </format>
    <format dxfId="58">
      <pivotArea dataOnly="0" labelOnly="1" outline="0" fieldPosition="0">
        <references count="1">
          <reference field="4" count="0"/>
        </references>
      </pivotArea>
    </format>
    <format dxfId="57">
      <pivotArea field="4" type="button" dataOnly="0" labelOnly="1" outline="0" axis="axisRow" fieldPosition="2"/>
    </format>
    <format dxfId="56">
      <pivotArea field="12" type="button" dataOnly="0" labelOnly="1" outline="0" axis="axisRow" fieldPosition="5"/>
    </format>
    <format dxfId="55">
      <pivotArea dataOnly="0" labelOnly="1" outline="0" fieldPosition="0">
        <references count="1">
          <reference field="12" count="0"/>
        </references>
      </pivotArea>
    </format>
    <format dxfId="54">
      <pivotArea type="all" dataOnly="0" outline="0" fieldPosition="0"/>
    </format>
    <format dxfId="53">
      <pivotArea dataOnly="0" labelOnly="1" outline="0" fieldPosition="0">
        <references count="1">
          <reference field="3" count="0"/>
        </references>
      </pivotArea>
    </format>
    <format dxfId="52">
      <pivotArea dataOnly="0" labelOnly="1" outline="0" fieldPosition="0">
        <references count="1">
          <reference field="3" count="0" defaultSubtotal="1"/>
        </references>
      </pivotArea>
    </format>
    <format dxfId="51">
      <pivotArea dataOnly="0" labelOnly="1" outline="0" fieldPosition="0">
        <references count="1">
          <reference field="1" count="0"/>
        </references>
      </pivotArea>
    </format>
    <format dxfId="50">
      <pivotArea field="1" type="button" dataOnly="0" labelOnly="1" outline="0" axis="axisRow" fieldPosition="1"/>
    </format>
    <format dxfId="49">
      <pivotArea dataOnly="0" labelOnly="1" outline="0" fieldPosition="0">
        <references count="1">
          <reference field="13" count="0"/>
        </references>
      </pivotArea>
    </format>
    <format dxfId="48">
      <pivotArea field="3" type="button" dataOnly="0" labelOnly="1" outline="0" axis="axisRow" fieldPosition="0"/>
    </format>
    <format dxfId="47">
      <pivotArea field="1" type="button" dataOnly="0" labelOnly="1" outline="0" axis="axisRow" fieldPosition="1"/>
    </format>
    <format dxfId="46">
      <pivotArea field="4" type="button" dataOnly="0" labelOnly="1" outline="0" axis="axisRow" fieldPosition="2"/>
    </format>
    <format dxfId="45">
      <pivotArea field="5" type="button" dataOnly="0" labelOnly="1" outline="0" axis="axisRow" fieldPosition="3"/>
    </format>
    <format dxfId="44">
      <pivotArea field="14" type="button" dataOnly="0" labelOnly="1" outline="0" axis="axisRow" fieldPosition="4"/>
    </format>
    <format dxfId="43">
      <pivotArea field="12" type="button" dataOnly="0" labelOnly="1" outline="0" axis="axisRow" fieldPosition="5"/>
    </format>
    <format dxfId="42">
      <pivotArea field="13" type="button" dataOnly="0" labelOnly="1" outline="0" axis="axisRow" fieldPosition="6"/>
    </format>
    <format dxfId="41">
      <pivotArea dataOnly="0" labelOnly="1" outline="0" axis="axisValues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3" type="button" dataOnly="0" labelOnly="1" outline="0" axis="axisRow" fieldPosition="0"/>
    </format>
    <format dxfId="37">
      <pivotArea field="1" type="button" dataOnly="0" labelOnly="1" outline="0" axis="axisRow" fieldPosition="1"/>
    </format>
    <format dxfId="36">
      <pivotArea field="4" type="button" dataOnly="0" labelOnly="1" outline="0" axis="axisRow" fieldPosition="2"/>
    </format>
    <format dxfId="35">
      <pivotArea field="5" type="button" dataOnly="0" labelOnly="1" outline="0" axis="axisRow" fieldPosition="3"/>
    </format>
    <format dxfId="34">
      <pivotArea field="14" type="button" dataOnly="0" labelOnly="1" outline="0" axis="axisRow" fieldPosition="4"/>
    </format>
    <format dxfId="33">
      <pivotArea field="12" type="button" dataOnly="0" labelOnly="1" outline="0" axis="axisRow" fieldPosition="5"/>
    </format>
    <format dxfId="32">
      <pivotArea field="13" type="button" dataOnly="0" labelOnly="1" outline="0" axis="axisRow" fieldPosition="6"/>
    </format>
    <format dxfId="31">
      <pivotArea dataOnly="0" labelOnly="1" grandRow="1" outline="0" fieldPosition="0"/>
    </format>
    <format dxfId="30">
      <pivotArea dataOnly="0" labelOnly="1" outline="0" axis="axisValues" fieldPosition="0"/>
    </format>
    <format dxfId="2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9" showRowHeaders="0" showColHeaders="1" showRowStripes="1" showColStripes="1" showLastColumn="1"/>
  <filters count="1">
    <filter fld="12" type="captionEqual" evalOrder="-1" id="2" stringValue1="1">
      <autoFilter ref="A1">
        <filterColumn colId="0">
          <customFilters>
            <customFilter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384566-CBC0-4ED5-9949-E10843027F64}" name="tdAntgResumen" cacheId="9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rowHeaderCaption="PROVEEDOR">
  <location ref="A5:B7" firstHeaderRow="1" firstDataRow="1" firstDataCol="1"/>
  <pivotFields count="15">
    <pivotField showAll="0"/>
    <pivotField numFmtId="164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Items count="1">
    <i/>
  </colItems>
  <dataFields count="1">
    <dataField name=" SALDO" fld="11" baseField="3" baseItem="0" numFmtId="44"/>
  </dataFields>
  <formats count="9">
    <format dxfId="28">
      <pivotArea dataOnly="0" labelOnly="1" outline="0" axis="axisValues" fieldPosition="0"/>
    </format>
    <format dxfId="27">
      <pivotArea field="3" type="button" dataOnly="0" labelOnly="1" outline="0" axis="axisRow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3" type="button" dataOnly="0" labelOnly="1" outline="0" axis="axisRow" fieldPosition="0"/>
    </format>
    <format dxfId="23">
      <pivotArea dataOnly="0" labelOnly="1" fieldPosition="0">
        <references count="1">
          <reference field="3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2F53BF-0EC9-478D-AA3C-2463FA77A432}" name="tdPagos" cacheId="90" applyNumberFormats="0" applyBorderFormats="0" applyFontFormats="0" applyPatternFormats="0" applyAlignmentFormats="0" applyWidthHeightFormats="1" dataCaption="Valores" updatedVersion="6" minRefreshableVersion="3" showDrill="0" itemPrintTitles="1" createdVersion="5" indent="0" compact="0" compactData="0" multipleFieldFilters="0">
  <location ref="A5:G8" firstHeaderRow="1" firstDataRow="1" firstDataCol="6"/>
  <pivotFields count="15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3"/>
    <field x="1"/>
    <field x="6"/>
    <field x="7"/>
    <field x="4"/>
    <field x="12"/>
  </rowFields>
  <rowItems count="3">
    <i>
      <x/>
      <x/>
      <x v="1"/>
      <x v="1"/>
      <x/>
      <x/>
    </i>
    <i t="default">
      <x/>
    </i>
    <i t="grand">
      <x/>
    </i>
  </rowItems>
  <colItems count="1">
    <i/>
  </colItems>
  <dataFields count="1">
    <dataField name=" VALOR PAGADO " fld="8" baseField="0" baseItem="0" numFmtId="44"/>
  </dataFields>
  <formats count="20">
    <format dxfId="19">
      <pivotArea dataOnly="0" labelOnly="1" outline="0" fieldPosition="0">
        <references count="1">
          <reference field="4" count="0"/>
        </references>
      </pivotArea>
    </format>
    <format dxfId="18">
      <pivotArea field="4" type="button" dataOnly="0" labelOnly="1" outline="0" axis="axisRow" fieldPosition="4"/>
    </format>
    <format dxfId="17">
      <pivotArea dataOnly="0" labelOnly="1" outline="0" axis="axisValues" fieldPosition="0"/>
    </format>
    <format dxfId="16">
      <pivotArea dataOnly="0" labelOnly="1" outline="0" fieldPosition="0">
        <references count="1">
          <reference field="1" count="0"/>
        </references>
      </pivotArea>
    </format>
    <format dxfId="15">
      <pivotArea field="1" type="button" dataOnly="0" labelOnly="1" outline="0" axis="axisRow" fieldPosition="1"/>
    </format>
    <format dxfId="14">
      <pivotArea field="7" type="button" dataOnly="0" labelOnly="1" outline="0" axis="axisRow" fieldPosition="3"/>
    </format>
    <format dxfId="13">
      <pivotArea dataOnly="0" labelOnly="1" outline="0" fieldPosition="0">
        <references count="1">
          <reference field="7" count="0"/>
        </references>
      </pivotArea>
    </format>
    <format dxfId="12">
      <pivotArea field="6" type="button" dataOnly="0" labelOnly="1" outline="0" axis="axisRow" fieldPosition="2"/>
    </format>
    <format dxfId="11">
      <pivotArea dataOnly="0" labelOnly="1" outline="0" fieldPosition="0">
        <references count="1">
          <reference field="1" count="0"/>
        </references>
      </pivotArea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field="3" type="button" dataOnly="0" labelOnly="1" outline="0" axis="axisRow" fieldPosition="0"/>
    </format>
    <format dxfId="7">
      <pivotArea field="1" type="button" dataOnly="0" labelOnly="1" outline="0" axis="axisRow" fieldPosition="1"/>
    </format>
    <format dxfId="6">
      <pivotArea field="6" type="button" dataOnly="0" labelOnly="1" outline="0" axis="axisRow" fieldPosition="2"/>
    </format>
    <format dxfId="5">
      <pivotArea field="7" type="button" dataOnly="0" labelOnly="1" outline="0" axis="axisRow" fieldPosition="3"/>
    </format>
    <format dxfId="4">
      <pivotArea field="4" type="button" dataOnly="0" labelOnly="1" outline="0" axis="axisRow" fieldPosition="4"/>
    </format>
    <format dxfId="3">
      <pivotArea field="12" type="button" dataOnly="0" labelOnly="1" outline="0" axis="axisRow" fieldPosition="5"/>
    </format>
    <format dxfId="2">
      <pivotArea dataOnly="0" labelOnly="1" grandRow="1" outline="0" fieldPosition="0"/>
    </format>
    <format dxfId="1">
      <pivotArea dataOnly="0" labelOnly="1" outline="0" axis="axisValues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9" showRowHeaders="0" showColHeaders="1" showRowStripes="1" showColStripes="1" showLastColumn="1"/>
  <filters count="1">
    <filter fld="12" type="captionEqual" evalOrder="-1" id="2" stringValue1="0">
      <autoFilter ref="A1">
        <filterColumn colId="0">
          <customFilters>
            <customFilter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Base" displayName="tblBase" ref="B7:P8" insertRow="1" totalsRowShown="0" headerRowDxfId="87" dataDxfId="86">
  <autoFilter ref="B7:P8" xr:uid="{F36A55C7-4F0F-4E3E-B516-0A18028BE88B}"/>
  <tableColumns count="15">
    <tableColumn id="1" xr3:uid="{00000000-0010-0000-0000-000001000000}" name="#" dataDxfId="85"/>
    <tableColumn id="11" xr3:uid="{00000000-0010-0000-0000-00000B000000}" name="FECHA" dataDxfId="84"/>
    <tableColumn id="2" xr3:uid="{00000000-0010-0000-0000-000002000000}" name="COD. PROVEEDOR" dataDxfId="83"/>
    <tableColumn id="3" xr3:uid="{00000000-0010-0000-0000-000003000000}" name="NOMBRE PROVEEDOR" dataDxfId="82"/>
    <tableColumn id="4" xr3:uid="{00000000-0010-0000-0000-000004000000}" name="DOCUMENTO" dataDxfId="81"/>
    <tableColumn id="5" xr3:uid="{00000000-0010-0000-0000-000005000000}" name="FECHA A PAGAR" dataDxfId="80"/>
    <tableColumn id="7" xr3:uid="{00000000-0010-0000-0000-000007000000}" name="MEDIO DE PAGO" dataDxfId="79"/>
    <tableColumn id="8" xr3:uid="{00000000-0010-0000-0000-000008000000}" name="REF#" dataDxfId="78"/>
    <tableColumn id="10" xr3:uid="{00000000-0010-0000-0000-00000A000000}" name="VALOR PAGADO" dataDxfId="77" dataCellStyle="Moneda"/>
    <tableColumn id="9" xr3:uid="{00000000-0010-0000-0000-000009000000}" name="VALOR A PAGAR" dataDxfId="76" dataCellStyle="Moneda"/>
    <tableColumn id="6" xr3:uid="{00000000-0010-0000-0000-000006000000}" name="COMENTARIO" dataDxfId="75"/>
    <tableColumn id="12" xr3:uid="{00000000-0010-0000-0000-00000C000000}" name="SALDO" dataDxfId="74" dataCellStyle="Moneda">
      <calculatedColumnFormula>IF(tblBase[VALOR A PAGAR]&gt;0,-SUMIFS(J:J,B:B,tblBase['#])+SUMIFS(K:K,B:B,tblBase['#]),0)</calculatedColumnFormula>
    </tableColumn>
    <tableColumn id="13" xr3:uid="{00000000-0010-0000-0000-00000D000000}" name="IDSALDO" dataDxfId="73">
      <calculatedColumnFormula>IF(tblBase[[#This Row],[SALDO]]&gt;0,1,IF(tblBase[[#This Row],[VALOR PAGADO]]=0,2,0))</calculatedColumnFormula>
    </tableColumn>
    <tableColumn id="14" xr3:uid="{00000000-0010-0000-0000-00000E000000}" name="DIASVENCIMIENTO" dataDxfId="72">
      <calculatedColumnFormula>IFERROR(IF(tblBase[[#This Row],[FECHA A PAGAR]]&lt;&gt;"",tblBase[[#This Row],[FECHA A PAGAR]]-TODAY(),""),"")</calculatedColumnFormula>
    </tableColumn>
    <tableColumn id="15" xr3:uid="{00000000-0010-0000-0000-00000F000000}" name="VENCIMIENTO" dataDxfId="71">
      <calculatedColumnFormula>IFERROR(IF(AND(tblBase[[#This Row],[DIASVENCIMIENTO]]&lt;&gt;"",tblBase[[#This Row],[IDSALDO]]=1),IF(tblBase[[#This Row],[DIASVENCIMIENTO]]&gt;=0,"Vence en "&amp;tblBase[[#This Row],[DIASVENCIMIENTO]]&amp;" Días","Venció hace "&amp;-tblBase[[#This Row],[DIASVENCIMIENTO]]&amp;" Días"),""),"")</calculatedColumnFormula>
    </tableColumn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49835-87AE-411D-8B0F-7017E3E349E2}">
  <sheetPr codeName="Hoja5"/>
  <dimension ref="B1:M19"/>
  <sheetViews>
    <sheetView showGridLines="0" tabSelected="1" workbookViewId="0"/>
  </sheetViews>
  <sheetFormatPr baseColWidth="10" defaultColWidth="11" defaultRowHeight="16.8" x14ac:dyDescent="0.4"/>
  <cols>
    <col min="1" max="1" width="7.5" style="1" customWidth="1"/>
    <col min="2" max="7" width="11" style="1"/>
    <col min="8" max="8" width="6.09765625" style="1" customWidth="1"/>
    <col min="9" max="9" width="12.69921875" style="1" customWidth="1"/>
    <col min="10" max="10" width="16.09765625" style="1" customWidth="1"/>
    <col min="11" max="16384" width="11" style="1"/>
  </cols>
  <sheetData>
    <row r="1" spans="2:13" ht="9" customHeight="1" x14ac:dyDescent="0.4"/>
    <row r="2" spans="2:13" ht="30" thickBot="1" x14ac:dyDescent="0.7">
      <c r="B2" s="51" t="s">
        <v>26</v>
      </c>
      <c r="C2" s="51"/>
      <c r="D2" s="51"/>
      <c r="E2" s="51"/>
      <c r="F2" s="51"/>
      <c r="G2" s="51"/>
    </row>
    <row r="3" spans="2:13" ht="6" customHeight="1" thickTop="1" x14ac:dyDescent="0.65">
      <c r="B3" s="6"/>
      <c r="C3" s="6"/>
      <c r="D3" s="6"/>
      <c r="E3" s="6"/>
      <c r="F3" s="6"/>
      <c r="G3" s="6"/>
    </row>
    <row r="5" spans="2:13" x14ac:dyDescent="0.4">
      <c r="J5" s="52" t="s">
        <v>27</v>
      </c>
      <c r="K5" s="5"/>
    </row>
    <row r="6" spans="2:13" x14ac:dyDescent="0.4">
      <c r="J6" s="53"/>
    </row>
    <row r="7" spans="2:13" x14ac:dyDescent="0.4">
      <c r="J7" s="50">
        <f>SUM(tblBase[SALDO])</f>
        <v>0</v>
      </c>
    </row>
    <row r="9" spans="2:13" x14ac:dyDescent="0.4">
      <c r="M9"/>
    </row>
    <row r="10" spans="2:13" x14ac:dyDescent="0.4">
      <c r="H10"/>
    </row>
    <row r="12" spans="2:13" x14ac:dyDescent="0.4">
      <c r="J12"/>
    </row>
    <row r="18" spans="2:7" ht="17.399999999999999" thickBot="1" x14ac:dyDescent="0.45">
      <c r="B18" s="4"/>
      <c r="C18" s="4"/>
      <c r="D18" s="4"/>
      <c r="E18" s="4"/>
      <c r="F18" s="4"/>
      <c r="G18" s="4"/>
    </row>
    <row r="19" spans="2:7" ht="17.399999999999999" thickTop="1" x14ac:dyDescent="0.4"/>
  </sheetData>
  <mergeCells count="2">
    <mergeCell ref="B2:G2"/>
    <mergeCell ref="J5:J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B1:C8"/>
  <sheetViews>
    <sheetView workbookViewId="0"/>
  </sheetViews>
  <sheetFormatPr baseColWidth="10" defaultColWidth="11" defaultRowHeight="14.4" x14ac:dyDescent="0.3"/>
  <cols>
    <col min="1" max="1" width="1.59765625" style="8" customWidth="1"/>
    <col min="2" max="2" width="11.8984375" style="9" bestFit="1" customWidth="1"/>
    <col min="3" max="3" width="66" style="8" bestFit="1" customWidth="1"/>
    <col min="4" max="16384" width="11" style="8"/>
  </cols>
  <sheetData>
    <row r="1" spans="2:3" x14ac:dyDescent="0.3">
      <c r="B1" s="7" t="s">
        <v>19</v>
      </c>
      <c r="C1" s="7" t="s">
        <v>20</v>
      </c>
    </row>
    <row r="2" spans="2:3" x14ac:dyDescent="0.3">
      <c r="B2" s="9">
        <v>110</v>
      </c>
      <c r="C2" s="8" t="s">
        <v>34</v>
      </c>
    </row>
    <row r="3" spans="2:3" x14ac:dyDescent="0.3">
      <c r="B3" s="9">
        <v>111</v>
      </c>
      <c r="C3" s="8" t="s">
        <v>33</v>
      </c>
    </row>
    <row r="4" spans="2:3" x14ac:dyDescent="0.3">
      <c r="B4" s="9">
        <v>112</v>
      </c>
      <c r="C4" s="8" t="s">
        <v>30</v>
      </c>
    </row>
    <row r="5" spans="2:3" x14ac:dyDescent="0.3">
      <c r="B5" s="9">
        <v>113</v>
      </c>
      <c r="C5" s="8" t="s">
        <v>28</v>
      </c>
    </row>
    <row r="6" spans="2:3" x14ac:dyDescent="0.3">
      <c r="B6" s="9">
        <v>114</v>
      </c>
      <c r="C6" s="8" t="s">
        <v>32</v>
      </c>
    </row>
    <row r="7" spans="2:3" x14ac:dyDescent="0.3">
      <c r="B7" s="9">
        <v>115</v>
      </c>
      <c r="C7" s="8" t="s">
        <v>29</v>
      </c>
    </row>
    <row r="8" spans="2:3" x14ac:dyDescent="0.3">
      <c r="B8" s="9">
        <v>116</v>
      </c>
      <c r="C8" s="8" t="s">
        <v>31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P9"/>
  <sheetViews>
    <sheetView showGridLines="0" topLeftCell="B4" zoomScale="90" zoomScaleNormal="90" workbookViewId="0"/>
  </sheetViews>
  <sheetFormatPr baseColWidth="10" defaultColWidth="11" defaultRowHeight="13.8" x14ac:dyDescent="0.3"/>
  <cols>
    <col min="1" max="1" width="1.09765625" style="26" hidden="1" customWidth="1"/>
    <col min="2" max="2" width="4.69921875" style="15" bestFit="1" customWidth="1"/>
    <col min="3" max="3" width="11" style="26"/>
    <col min="4" max="4" width="14.3984375" style="26" customWidth="1"/>
    <col min="5" max="5" width="33.59765625" style="26" customWidth="1"/>
    <col min="6" max="6" width="11.796875" style="26" customWidth="1"/>
    <col min="7" max="7" width="12.796875" style="26" customWidth="1"/>
    <col min="8" max="8" width="14.296875" style="26" customWidth="1"/>
    <col min="9" max="9" width="12.69921875" style="26" customWidth="1"/>
    <col min="10" max="10" width="15.296875" style="27" customWidth="1"/>
    <col min="11" max="11" width="15.59765625" style="27" customWidth="1"/>
    <col min="12" max="12" width="26.8984375" style="26" customWidth="1"/>
    <col min="13" max="14" width="12" style="26" hidden="1" customWidth="1"/>
    <col min="15" max="15" width="16" style="26" hidden="1" customWidth="1"/>
    <col min="16" max="16" width="26" style="28" customWidth="1"/>
    <col min="17" max="16384" width="11" style="26"/>
  </cols>
  <sheetData>
    <row r="1" spans="2:16" s="11" customFormat="1" hidden="1" x14ac:dyDescent="0.3">
      <c r="B1" s="10"/>
      <c r="J1" s="12"/>
      <c r="K1" s="12"/>
    </row>
    <row r="2" spans="2:16" s="11" customFormat="1" hidden="1" x14ac:dyDescent="0.3">
      <c r="B2" s="10"/>
      <c r="F2" s="30"/>
      <c r="G2" s="30"/>
      <c r="H2" s="30"/>
      <c r="I2" s="30"/>
      <c r="J2" s="29"/>
      <c r="K2" s="12"/>
    </row>
    <row r="3" spans="2:16" s="11" customFormat="1" hidden="1" x14ac:dyDescent="0.3">
      <c r="B3" s="10"/>
      <c r="F3" s="31"/>
      <c r="G3" s="31"/>
      <c r="H3" s="31"/>
      <c r="I3" s="31"/>
      <c r="J3" s="12"/>
      <c r="K3" s="12"/>
    </row>
    <row r="4" spans="2:16" s="11" customFormat="1" ht="33" thickBot="1" x14ac:dyDescent="0.65">
      <c r="B4" s="10"/>
      <c r="F4" s="13" t="s">
        <v>18</v>
      </c>
      <c r="G4" s="32"/>
      <c r="H4" s="32"/>
      <c r="I4" s="32"/>
      <c r="J4" s="33"/>
      <c r="K4" s="12"/>
      <c r="M4" s="14"/>
    </row>
    <row r="5" spans="2:16" s="11" customFormat="1" ht="22.8" customHeight="1" thickTop="1" x14ac:dyDescent="0.3">
      <c r="B5" s="10"/>
      <c r="J5" s="12"/>
      <c r="K5" s="12"/>
    </row>
    <row r="6" spans="2:16" s="11" customFormat="1" hidden="1" x14ac:dyDescent="0.3">
      <c r="B6" s="10"/>
      <c r="J6" s="12"/>
      <c r="K6" s="12"/>
    </row>
    <row r="7" spans="2:16" s="15" customFormat="1" x14ac:dyDescent="0.3">
      <c r="B7" s="15" t="s">
        <v>9</v>
      </c>
      <c r="C7" s="15" t="s">
        <v>0</v>
      </c>
      <c r="D7" s="15" t="s">
        <v>1</v>
      </c>
      <c r="E7" s="15" t="s">
        <v>2</v>
      </c>
      <c r="F7" s="15" t="s">
        <v>3</v>
      </c>
      <c r="G7" s="15" t="s">
        <v>4</v>
      </c>
      <c r="H7" s="15" t="s">
        <v>5</v>
      </c>
      <c r="I7" s="15" t="s">
        <v>6</v>
      </c>
      <c r="J7" s="16" t="s">
        <v>8</v>
      </c>
      <c r="K7" s="16" t="s">
        <v>7</v>
      </c>
      <c r="L7" s="17" t="s">
        <v>12</v>
      </c>
      <c r="M7" s="15" t="s">
        <v>10</v>
      </c>
      <c r="N7" s="15" t="s">
        <v>13</v>
      </c>
      <c r="O7" s="15" t="s">
        <v>15</v>
      </c>
      <c r="P7" s="18" t="s">
        <v>14</v>
      </c>
    </row>
    <row r="8" spans="2:16" s="15" customFormat="1" x14ac:dyDescent="0.3">
      <c r="B8" s="10"/>
      <c r="C8" s="19"/>
      <c r="D8" s="10"/>
      <c r="E8" s="20"/>
      <c r="F8" s="10"/>
      <c r="G8" s="19"/>
      <c r="H8" s="10"/>
      <c r="I8" s="10"/>
      <c r="J8" s="21"/>
      <c r="K8" s="21"/>
      <c r="L8" s="22"/>
      <c r="M8" s="23"/>
      <c r="N8" s="24"/>
      <c r="O8" s="24"/>
      <c r="P8" s="25"/>
    </row>
    <row r="9" spans="2:16" s="15" customFormat="1" x14ac:dyDescent="0.3">
      <c r="C9" s="26"/>
      <c r="D9" s="26"/>
      <c r="E9" s="26"/>
      <c r="F9" s="26"/>
      <c r="G9" s="26"/>
      <c r="H9" s="26"/>
      <c r="I9" s="26"/>
      <c r="J9" s="27"/>
      <c r="K9" s="27"/>
      <c r="L9" s="26"/>
      <c r="M9" s="26"/>
      <c r="P9" s="18"/>
    </row>
  </sheetData>
  <sheetProtection algorithmName="SHA-512" hashValue="K9JEkemdo2Oox2ENBRt1y40xLiVWVs5eMTIBm1Qnt78+KLXAkbwdLK1AlDr1vsTuHYwE1tj1s5fgh60QEz5Djg==" saltValue="fQgK6377ru3KYCuPO303Pw==" spinCount="100000" sheet="1" objects="1" scenarios="1" formatCells="0" formatColumns="0" formatRows="0" autoFilter="0"/>
  <conditionalFormatting sqref="P8">
    <cfRule type="expression" dxfId="89" priority="1">
      <formula>AND($N8=1,$O8&lt;0)</formula>
    </cfRule>
    <cfRule type="expression" dxfId="88" priority="2">
      <formula>AND($N8=1,$O8&gt;=0)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H16"/>
  <sheetViews>
    <sheetView zoomScale="90" zoomScaleNormal="90" workbookViewId="0">
      <selection activeCell="H8" sqref="H8"/>
    </sheetView>
  </sheetViews>
  <sheetFormatPr baseColWidth="10" defaultColWidth="11" defaultRowHeight="14.4" x14ac:dyDescent="0.3"/>
  <cols>
    <col min="1" max="1" width="73.09765625" style="8" customWidth="1"/>
    <col min="2" max="2" width="10.3984375" style="8" bestFit="1" customWidth="1"/>
    <col min="3" max="3" width="15.3984375" style="8" bestFit="1" customWidth="1"/>
    <col min="4" max="4" width="17.5" style="8" bestFit="1" customWidth="1"/>
    <col min="5" max="5" width="22.59765625" style="8" customWidth="1"/>
    <col min="6" max="6" width="12" style="8" hidden="1" customWidth="1"/>
    <col min="7" max="7" width="16.69921875" style="8" hidden="1" customWidth="1"/>
    <col min="8" max="8" width="19" style="8" customWidth="1"/>
    <col min="9" max="16384" width="11" style="8"/>
  </cols>
  <sheetData>
    <row r="1" spans="1:8" x14ac:dyDescent="0.3">
      <c r="A1" s="34"/>
      <c r="B1" s="34"/>
      <c r="C1" s="34"/>
      <c r="D1" s="34"/>
      <c r="E1" s="34"/>
      <c r="F1" s="34"/>
      <c r="G1" s="34"/>
      <c r="H1" s="34"/>
    </row>
    <row r="2" spans="1:8" x14ac:dyDescent="0.3">
      <c r="A2" s="34"/>
      <c r="B2" s="34"/>
      <c r="C2" s="34"/>
      <c r="D2" s="34"/>
      <c r="E2" s="34"/>
      <c r="F2" s="34"/>
      <c r="G2" s="34"/>
      <c r="H2" s="34"/>
    </row>
    <row r="3" spans="1:8" ht="24" thickBot="1" x14ac:dyDescent="0.5">
      <c r="A3" s="35" t="s">
        <v>22</v>
      </c>
      <c r="B3" s="36"/>
      <c r="C3" s="36"/>
      <c r="D3" s="36"/>
      <c r="E3" s="34"/>
      <c r="F3" s="34"/>
      <c r="G3" s="34"/>
      <c r="H3" s="34"/>
    </row>
    <row r="4" spans="1:8" ht="15" thickTop="1" x14ac:dyDescent="0.3">
      <c r="A4" s="34"/>
      <c r="B4" s="34"/>
      <c r="C4" s="34"/>
      <c r="D4" s="34"/>
      <c r="E4" s="34"/>
      <c r="F4" s="34"/>
      <c r="G4" s="34"/>
      <c r="H4" s="34"/>
    </row>
    <row r="5" spans="1:8" hidden="1" x14ac:dyDescent="0.3"/>
    <row r="6" spans="1:8" hidden="1" x14ac:dyDescent="0.3"/>
    <row r="7" spans="1:8" x14ac:dyDescent="0.3">
      <c r="A7" s="41" t="s">
        <v>2</v>
      </c>
      <c r="B7" s="42" t="s">
        <v>0</v>
      </c>
      <c r="C7" s="42" t="s">
        <v>3</v>
      </c>
      <c r="D7" s="41" t="s">
        <v>4</v>
      </c>
      <c r="E7" s="41" t="s">
        <v>14</v>
      </c>
      <c r="F7" s="41" t="s">
        <v>13</v>
      </c>
      <c r="G7" s="43" t="s">
        <v>15</v>
      </c>
      <c r="H7" s="44" t="s">
        <v>17</v>
      </c>
    </row>
    <row r="8" spans="1:8" x14ac:dyDescent="0.3">
      <c r="A8" s="8" t="s">
        <v>16</v>
      </c>
      <c r="H8" s="45"/>
    </row>
    <row r="9" spans="1:8" x14ac:dyDescent="0.3">
      <c r="A9"/>
      <c r="B9"/>
      <c r="C9"/>
      <c r="D9"/>
      <c r="E9"/>
      <c r="F9"/>
      <c r="G9"/>
      <c r="H9"/>
    </row>
    <row r="10" spans="1:8" x14ac:dyDescent="0.3">
      <c r="A10"/>
      <c r="B10"/>
      <c r="C10"/>
      <c r="D10"/>
      <c r="E10"/>
      <c r="F10"/>
      <c r="G10"/>
      <c r="H10"/>
    </row>
    <row r="11" spans="1:8" x14ac:dyDescent="0.3">
      <c r="A11"/>
      <c r="B11"/>
      <c r="C11"/>
      <c r="D11"/>
      <c r="E11"/>
      <c r="F11"/>
      <c r="G11"/>
      <c r="H11"/>
    </row>
    <row r="12" spans="1:8" x14ac:dyDescent="0.3">
      <c r="A12"/>
      <c r="B12"/>
      <c r="C12"/>
      <c r="D12"/>
      <c r="E12"/>
      <c r="F12"/>
      <c r="G12"/>
      <c r="H12"/>
    </row>
    <row r="13" spans="1:8" x14ac:dyDescent="0.3">
      <c r="A13"/>
      <c r="B13"/>
      <c r="C13"/>
      <c r="D13"/>
      <c r="E13"/>
      <c r="F13"/>
      <c r="G13"/>
      <c r="H13"/>
    </row>
    <row r="14" spans="1:8" x14ac:dyDescent="0.3">
      <c r="A14"/>
      <c r="B14"/>
      <c r="C14"/>
      <c r="D14"/>
      <c r="E14"/>
      <c r="F14"/>
      <c r="G14"/>
      <c r="H14"/>
    </row>
    <row r="15" spans="1:8" x14ac:dyDescent="0.3">
      <c r="A15"/>
      <c r="B15"/>
      <c r="C15"/>
      <c r="D15"/>
      <c r="E15"/>
      <c r="F15"/>
      <c r="G15"/>
      <c r="H15"/>
    </row>
    <row r="16" spans="1:8" x14ac:dyDescent="0.3">
      <c r="A16"/>
      <c r="B16"/>
      <c r="C16"/>
      <c r="D16"/>
      <c r="E16"/>
      <c r="F16"/>
      <c r="G16"/>
      <c r="H16"/>
    </row>
  </sheetData>
  <conditionalFormatting sqref="E7:E1048576">
    <cfRule type="expression" dxfId="70" priority="1">
      <formula>AND($F7=1,$G7&lt;0)</formula>
    </cfRule>
  </conditionalFormatting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D1A98-651E-476A-82CD-67F386E9E67A}">
  <sheetPr codeName="Hoja6"/>
  <dimension ref="A3:B16"/>
  <sheetViews>
    <sheetView showGridLines="0" zoomScale="90" zoomScaleNormal="90" workbookViewId="0">
      <selection activeCell="B6" sqref="B6"/>
    </sheetView>
  </sheetViews>
  <sheetFormatPr baseColWidth="10" defaultRowHeight="14.4" x14ac:dyDescent="0.3"/>
  <cols>
    <col min="1" max="1" width="60.59765625" style="8" customWidth="1"/>
    <col min="2" max="2" width="18.3984375" style="8" customWidth="1"/>
    <col min="3" max="16384" width="11.19921875" style="8"/>
  </cols>
  <sheetData>
    <row r="3" spans="1:2" ht="22.8" thickBot="1" x14ac:dyDescent="0.5">
      <c r="A3" s="37" t="s">
        <v>23</v>
      </c>
      <c r="B3" s="38"/>
    </row>
    <row r="4" spans="1:2" ht="15" thickTop="1" x14ac:dyDescent="0.3"/>
    <row r="5" spans="1:2" x14ac:dyDescent="0.3">
      <c r="A5" s="46" t="s">
        <v>20</v>
      </c>
      <c r="B5" s="9" t="s">
        <v>21</v>
      </c>
    </row>
    <row r="6" spans="1:2" x14ac:dyDescent="0.3">
      <c r="A6" s="47" t="s">
        <v>34</v>
      </c>
      <c r="B6" s="45">
        <v>0</v>
      </c>
    </row>
    <row r="7" spans="1:2" x14ac:dyDescent="0.3">
      <c r="A7" s="47" t="s">
        <v>16</v>
      </c>
      <c r="B7" s="45">
        <v>0</v>
      </c>
    </row>
    <row r="8" spans="1:2" x14ac:dyDescent="0.3">
      <c r="A8"/>
      <c r="B8"/>
    </row>
    <row r="9" spans="1:2" x14ac:dyDescent="0.3">
      <c r="A9"/>
      <c r="B9"/>
    </row>
    <row r="10" spans="1:2" x14ac:dyDescent="0.3">
      <c r="A10"/>
      <c r="B10"/>
    </row>
    <row r="11" spans="1:2" x14ac:dyDescent="0.3">
      <c r="A11"/>
      <c r="B11"/>
    </row>
    <row r="12" spans="1:2" x14ac:dyDescent="0.3">
      <c r="A12"/>
      <c r="B12"/>
    </row>
    <row r="13" spans="1:2" x14ac:dyDescent="0.3">
      <c r="A13"/>
      <c r="B13"/>
    </row>
    <row r="14" spans="1:2" x14ac:dyDescent="0.3">
      <c r="A14"/>
      <c r="B14"/>
    </row>
    <row r="15" spans="1:2" x14ac:dyDescent="0.3">
      <c r="A15"/>
      <c r="B15"/>
    </row>
    <row r="16" spans="1:2" x14ac:dyDescent="0.3">
      <c r="A16"/>
      <c r="B16"/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241C0-601F-4FCC-8D11-5FD908B47DD5}">
  <sheetPr codeName="Hoja7"/>
  <dimension ref="A1:G20"/>
  <sheetViews>
    <sheetView zoomScale="90" zoomScaleNormal="90" workbookViewId="0">
      <selection activeCell="E13" sqref="E13"/>
    </sheetView>
  </sheetViews>
  <sheetFormatPr baseColWidth="10" defaultRowHeight="14.4" x14ac:dyDescent="0.3"/>
  <cols>
    <col min="1" max="1" width="59.09765625" style="8" customWidth="1"/>
    <col min="2" max="2" width="18.3984375" style="8" customWidth="1"/>
    <col min="3" max="3" width="19.3984375" style="8" customWidth="1"/>
    <col min="4" max="5" width="17.09765625" style="8" bestFit="1" customWidth="1"/>
    <col min="6" max="6" width="11" style="8" hidden="1" customWidth="1"/>
    <col min="7" max="7" width="18.69921875" style="8" customWidth="1"/>
    <col min="8" max="16384" width="11.19921875" style="8"/>
  </cols>
  <sheetData>
    <row r="1" spans="1:7" x14ac:dyDescent="0.3">
      <c r="A1" s="34"/>
      <c r="B1" s="34"/>
      <c r="C1" s="34"/>
      <c r="D1" s="34"/>
      <c r="E1" s="34"/>
      <c r="F1" s="34"/>
      <c r="G1" s="34"/>
    </row>
    <row r="2" spans="1:7" ht="10.5" customHeight="1" x14ac:dyDescent="0.3">
      <c r="A2" s="34"/>
      <c r="B2" s="34"/>
      <c r="C2" s="34"/>
      <c r="D2" s="34"/>
      <c r="E2" s="34"/>
      <c r="F2" s="34"/>
      <c r="G2" s="34"/>
    </row>
    <row r="3" spans="1:7" ht="22.8" thickBot="1" x14ac:dyDescent="0.5">
      <c r="A3" s="39" t="s">
        <v>25</v>
      </c>
      <c r="B3" s="40"/>
      <c r="C3" s="34"/>
      <c r="D3" s="34"/>
      <c r="E3" s="34"/>
      <c r="F3" s="34"/>
      <c r="G3" s="34"/>
    </row>
    <row r="4" spans="1:7" ht="15" thickTop="1" x14ac:dyDescent="0.3">
      <c r="A4" s="34"/>
      <c r="B4" s="34"/>
      <c r="C4" s="34"/>
      <c r="D4" s="34"/>
      <c r="E4" s="34"/>
      <c r="F4" s="34"/>
      <c r="G4" s="34"/>
    </row>
    <row r="5" spans="1:7" x14ac:dyDescent="0.3">
      <c r="A5" s="48" t="s">
        <v>2</v>
      </c>
      <c r="B5" s="46" t="s">
        <v>0</v>
      </c>
      <c r="C5" s="46" t="s">
        <v>5</v>
      </c>
      <c r="D5" s="46" t="s">
        <v>6</v>
      </c>
      <c r="E5" s="46" t="s">
        <v>3</v>
      </c>
      <c r="F5" s="48" t="s">
        <v>13</v>
      </c>
      <c r="G5" s="9" t="s">
        <v>24</v>
      </c>
    </row>
    <row r="6" spans="1:7" x14ac:dyDescent="0.3">
      <c r="A6" s="8" t="s">
        <v>34</v>
      </c>
      <c r="B6" s="49">
        <v>44544</v>
      </c>
      <c r="C6" s="8" t="s">
        <v>35</v>
      </c>
      <c r="D6" s="9">
        <v>6454</v>
      </c>
      <c r="E6" s="9">
        <v>154</v>
      </c>
      <c r="F6" s="8">
        <v>0</v>
      </c>
      <c r="G6" s="45">
        <v>1500</v>
      </c>
    </row>
    <row r="7" spans="1:7" x14ac:dyDescent="0.3">
      <c r="A7" s="8" t="s">
        <v>36</v>
      </c>
      <c r="G7" s="45">
        <v>1500</v>
      </c>
    </row>
    <row r="8" spans="1:7" x14ac:dyDescent="0.3">
      <c r="A8" s="8" t="s">
        <v>16</v>
      </c>
      <c r="G8" s="45">
        <v>1500</v>
      </c>
    </row>
    <row r="9" spans="1:7" x14ac:dyDescent="0.3">
      <c r="A9"/>
      <c r="B9"/>
      <c r="C9"/>
      <c r="D9"/>
      <c r="E9"/>
      <c r="F9"/>
      <c r="G9"/>
    </row>
    <row r="10" spans="1:7" x14ac:dyDescent="0.3">
      <c r="A10"/>
      <c r="B10"/>
      <c r="C10"/>
      <c r="D10"/>
      <c r="E10"/>
      <c r="F10"/>
      <c r="G10"/>
    </row>
    <row r="11" spans="1:7" x14ac:dyDescent="0.3">
      <c r="A11"/>
      <c r="B11"/>
      <c r="C11"/>
      <c r="D11"/>
      <c r="E11"/>
      <c r="F11"/>
      <c r="G11"/>
    </row>
    <row r="12" spans="1:7" x14ac:dyDescent="0.3">
      <c r="A12"/>
      <c r="B12"/>
      <c r="C12"/>
      <c r="D12"/>
      <c r="E12"/>
      <c r="F12"/>
      <c r="G12"/>
    </row>
    <row r="13" spans="1:7" x14ac:dyDescent="0.3">
      <c r="A13"/>
      <c r="B13"/>
      <c r="C13"/>
      <c r="D13"/>
      <c r="E13"/>
      <c r="F13"/>
      <c r="G13"/>
    </row>
    <row r="14" spans="1:7" x14ac:dyDescent="0.3">
      <c r="A14"/>
      <c r="B14"/>
      <c r="C14"/>
      <c r="D14"/>
      <c r="E14"/>
      <c r="F14"/>
      <c r="G14"/>
    </row>
    <row r="15" spans="1:7" x14ac:dyDescent="0.3">
      <c r="A15"/>
      <c r="B15"/>
      <c r="C15"/>
      <c r="D15"/>
      <c r="E15"/>
      <c r="F15"/>
      <c r="G15"/>
    </row>
    <row r="16" spans="1:7" x14ac:dyDescent="0.3">
      <c r="A16"/>
      <c r="B16"/>
      <c r="C16"/>
      <c r="D16"/>
      <c r="E16"/>
      <c r="F16"/>
      <c r="G16"/>
    </row>
    <row r="17" spans="1:7" x14ac:dyDescent="0.3">
      <c r="A17"/>
      <c r="B17"/>
      <c r="C17"/>
      <c r="D17"/>
      <c r="E17"/>
      <c r="F17"/>
      <c r="G17"/>
    </row>
    <row r="18" spans="1:7" x14ac:dyDescent="0.3">
      <c r="A18"/>
      <c r="B18"/>
      <c r="C18"/>
      <c r="D18"/>
      <c r="E18"/>
      <c r="F18"/>
      <c r="G18"/>
    </row>
    <row r="19" spans="1:7" x14ac:dyDescent="0.3">
      <c r="A19"/>
      <c r="B19"/>
      <c r="C19"/>
      <c r="D19"/>
      <c r="E19"/>
      <c r="F19"/>
      <c r="G19"/>
    </row>
    <row r="20" spans="1:7" x14ac:dyDescent="0.3">
      <c r="A20"/>
      <c r="B20"/>
      <c r="C20"/>
      <c r="D20"/>
      <c r="E20"/>
      <c r="F20"/>
      <c r="G20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3:C3"/>
  <sheetViews>
    <sheetView workbookViewId="0">
      <selection activeCell="C3" sqref="C3"/>
    </sheetView>
  </sheetViews>
  <sheetFormatPr baseColWidth="10" defaultColWidth="11" defaultRowHeight="16.8" x14ac:dyDescent="0.4"/>
  <cols>
    <col min="1" max="1" width="3.59765625" style="1" customWidth="1"/>
    <col min="2" max="16384" width="11" style="1"/>
  </cols>
  <sheetData>
    <row r="3" spans="2:3" x14ac:dyDescent="0.4">
      <c r="B3" s="2" t="s">
        <v>11</v>
      </c>
      <c r="C3" s="3">
        <f>MAX(Base!B:B)+1</f>
        <v>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Inicio</vt:lpstr>
      <vt:lpstr>Proveedor</vt:lpstr>
      <vt:lpstr>Base</vt:lpstr>
      <vt:lpstr>Antiguedad</vt:lpstr>
      <vt:lpstr>Antig-Resumen</vt:lpstr>
      <vt:lpstr>Pagos</vt:lpstr>
      <vt:lpstr>Correlativo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dcterms:created xsi:type="dcterms:W3CDTF">2020-04-13T14:33:36Z</dcterms:created>
  <dcterms:modified xsi:type="dcterms:W3CDTF">2021-12-15T03:57:34Z</dcterms:modified>
</cp:coreProperties>
</file>