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workbookPr filterPrivacy="1"/>
  <bookViews>
    <workbookView xWindow="930" yWindow="0" windowWidth="28800" windowHeight="12195"/>
  </bookViews>
  <sheets>
    <sheet name="Hitos" sheetId="1" r:id="rId1"/>
    <sheet name="Plan de desarrollo" sheetId="4" r:id="rId2"/>
    <sheet name="Información" sheetId="2" r:id="rId3"/>
    <sheet name="Datos del gráfico" sheetId="5" state="hidden" r:id="rId4"/>
  </sheets>
  <definedNames>
    <definedName name="AñoGráfico">YEAR('Datos del gráfico'!$B$4)</definedName>
    <definedName name="_xlnm.Print_Titles" localSheetId="0">Hitos!$2:$2</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1" l="1"/>
  <c r="B4" i="1"/>
  <c r="B5" i="1"/>
  <c r="B6" i="1"/>
  <c r="B7" i="1"/>
  <c r="B8" i="1"/>
  <c r="B9" i="1"/>
  <c r="B10" i="1"/>
  <c r="B11" i="1"/>
  <c r="B12" i="1"/>
  <c r="B13" i="1"/>
  <c r="B14" i="1"/>
  <c r="B15" i="1"/>
  <c r="B16" i="1"/>
  <c r="B17" i="1"/>
  <c r="B18" i="1"/>
  <c r="B19" i="1"/>
  <c r="B20" i="1"/>
  <c r="B21" i="1"/>
  <c r="B22" i="1"/>
  <c r="B23" i="1"/>
  <c r="B24" i="1"/>
  <c r="B25" i="1"/>
  <c r="B26" i="1"/>
  <c r="D3" i="1"/>
  <c r="C11" i="5" l="1"/>
  <c r="D11" i="5"/>
  <c r="C7" i="5"/>
  <c r="D7" i="5"/>
  <c r="C10" i="5"/>
  <c r="D10" i="5"/>
  <c r="C13" i="5"/>
  <c r="D13" i="5"/>
  <c r="C9" i="5"/>
  <c r="D9" i="5"/>
  <c r="C12" i="5"/>
  <c r="D12" i="5"/>
  <c r="C8" i="5"/>
  <c r="D8" i="5"/>
  <c r="C4" i="5"/>
  <c r="D4" i="5"/>
  <c r="C6" i="5"/>
  <c r="D6" i="5"/>
  <c r="C5" i="5"/>
  <c r="D5" i="5"/>
  <c r="D4" i="1"/>
  <c r="D5" i="1" l="1"/>
  <c r="D6" i="1" l="1"/>
  <c r="D7" i="1" l="1"/>
  <c r="D8" i="1" l="1"/>
  <c r="D9" i="1" l="1"/>
  <c r="D10" i="1" l="1"/>
  <c r="D11" i="1" l="1"/>
  <c r="D12" i="1" l="1"/>
  <c r="D13" i="1" l="1"/>
  <c r="B4" i="5" l="1"/>
  <c r="D14" i="1"/>
  <c r="B5" i="5" l="1"/>
  <c r="B20" i="5"/>
  <c r="B3" i="4" s="1"/>
  <c r="C24" i="5"/>
  <c r="D15" i="1"/>
  <c r="B6" i="5" l="1"/>
  <c r="D16" i="1"/>
  <c r="B7" i="5" l="1"/>
  <c r="D17" i="1"/>
  <c r="B8" i="5" s="1"/>
  <c r="D18" i="1" l="1"/>
  <c r="B9" i="5" s="1"/>
  <c r="B21" i="5" l="1"/>
  <c r="C3" i="4" s="1"/>
  <c r="C25" i="5"/>
  <c r="D19" i="1"/>
  <c r="B10" i="5" s="1"/>
  <c r="D20" i="1" l="1"/>
  <c r="B11" i="5" s="1"/>
  <c r="D21" i="1" l="1"/>
  <c r="D22" i="1" l="1"/>
  <c r="B12" i="5"/>
  <c r="D23" i="1" l="1"/>
  <c r="D24" i="1" s="1"/>
  <c r="D25" i="1" s="1"/>
  <c r="D26" i="1" s="1"/>
  <c r="B13" i="5"/>
  <c r="C26" i="5" l="1"/>
  <c r="B22" i="5"/>
  <c r="D3" i="4" s="1"/>
</calcChain>
</file>

<file path=xl/sharedStrings.xml><?xml version="1.0" encoding="utf-8"?>
<sst xmlns="http://schemas.openxmlformats.org/spreadsheetml/2006/main" count="60" uniqueCount="55">
  <si>
    <t>Cree un plan de desarrollo especificando los hitos y las actividades importantes en esta hoja de cálculo.
El título de esta hoja de cálculo se encuentra en la celda C1. 
Para obtener información sobre cómo usar esta hoja de cálculo, incluidas las instrucciones para lectores de pantalla, consulte la hoja de cálculo Información.
Desplácese hacia abajo por la columna A para obtener más instrucciones.</t>
  </si>
  <si>
    <t>Para agregar más filas a la tabla de hitos del plan de desarrollo, simplemente inserte una nueva fila encima de esta.
No hay más instrucciones en esta hoja de cálculo.</t>
  </si>
  <si>
    <t>N.º</t>
  </si>
  <si>
    <t>Hitos</t>
  </si>
  <si>
    <t>Posición</t>
  </si>
  <si>
    <t>Para agregar más hitos, inserte filas nuevas encima de esta línea.</t>
  </si>
  <si>
    <t>Fecha</t>
  </si>
  <si>
    <t>Hito</t>
  </si>
  <si>
    <t>Inicio</t>
  </si>
  <si>
    <t>Análisis de problemas
actividad 1</t>
  </si>
  <si>
    <t>Desarrollar la oportunidad de negocio
actividad 1
actividad 2</t>
  </si>
  <si>
    <t>Revisar la presentación</t>
  </si>
  <si>
    <t>Ejecución de la puesta en marcha
actividad 1
actividad 2</t>
  </si>
  <si>
    <t>Ejecución de la alineación
actividad 1
actividad 2
actividad 3</t>
  </si>
  <si>
    <t>Aprobación de las partes interesadas</t>
  </si>
  <si>
    <t>Selección de recursos</t>
  </si>
  <si>
    <t xml:space="preserve">Creación de equipo
actividad 1 </t>
  </si>
  <si>
    <t>Puesta en marcha del equipo
actividad 1 
actividad 2
actividad 3
actividad 4</t>
  </si>
  <si>
    <t>Iniciar la recolección de datos</t>
  </si>
  <si>
    <t>Análisis de datos</t>
  </si>
  <si>
    <t>Diseño</t>
  </si>
  <si>
    <t>Prueba de concepto</t>
  </si>
  <si>
    <t>Prueba y análisis</t>
  </si>
  <si>
    <t>Rediseño</t>
  </si>
  <si>
    <t>Reformulación</t>
  </si>
  <si>
    <t>Prueba final</t>
  </si>
  <si>
    <t>Prueba beta</t>
  </si>
  <si>
    <t>Revisión</t>
  </si>
  <si>
    <t>Comercialización</t>
  </si>
  <si>
    <t>En esta hoja de cálculo se encuentra un gráfico que muestra los hitos de hoja de cálculo Hitos. 
Los años se indican en las celdas B2, C2 y D2 y tienen el estilo Título 3.
Siempre se muestran 10 hitos. 
Use la barra de desplazamiento en las celdas de B4 a D4 para desplazarse por el plan de desarrollo.
Los años de la escala de tiempo se encuentran en las celdas de B3 a D3.
No hay más instrucciones en esta hoja de cálculo.</t>
  </si>
  <si>
    <t>Información acerca de este libro</t>
  </si>
  <si>
    <t>Instrucciones para lectores de pantalla</t>
  </si>
  <si>
    <t xml:space="preserve">Hay cuatro hojas de cálculo en este libro. 
Hitos
Plan de desarrollo
Información
Datos del gráfico (oculto)
Las instrucciones de las hojas de cálculo se encuentran en la columna A de cada hoja, a partir de la celda A1. Están escritas con texto oculto. Cada paso le guiará a través de la información de esa fila. Los pasos posteriores continúan en la celda A2, A3, y así sucesivamente, a menos que se indique de forma explícita. Por ejemplo, el texto de una instrucción podría ser “Vaya a la celda A6” para continuar con el siguiente paso. 
El texto oculto no se imprimirá.
Para quitar las instrucciones de cualquier hoja de cálculo, basta con eliminar la columna A.
</t>
  </si>
  <si>
    <t xml:space="preserve">Este plan de desarrollo usa las posiciones para representar los hitos y actividades. Las posiciones pueden usarse para agregar importancia a un hito o a una actividad. Ajuste simplemente los valores según sus preferencias. Por ejemplo, el hito o la actividad 3 podría tener más importancia que el hito o la actividad 2. Para indicar esto en el gráfico, simplemente asigne un valor mayor a la posición del hito o la actividad 3 que al hito o la actividad 2.  
</t>
  </si>
  <si>
    <t>Esta es la última instrucción de esta hoja de cálculo.</t>
  </si>
  <si>
    <t>Los datos para crear el gráfico dinámico se encuentran en esta hoja de cálculo. No elimine esta hoja de cálculo.
La eliminación de esta hoja de cálculo podría afectar a la capacidad dinámica del libro.</t>
  </si>
  <si>
    <t>El título de la tabla se encuentra en la celda B2.</t>
  </si>
  <si>
    <t>Los encabezados de la tabla se encuentran en las celdas de B3 a D3. 
Esta tabla se actualiza automáticamente según el contenido de la hoja de cálculo Hitos.
Advertencia: La modificación o eliminación del contenido de esta tabla podría afectar a la capacidad de actualización dinámica del gráfico del plan de desarrollo de la hoja de cálculo Plan de desarrollo.
Vaya a la celda A15 para pasar a la instrucción siguiente.</t>
  </si>
  <si>
    <t>La capacidad de desplazamiento por el plan de desarrollo es posible con la ayuda de un valor de incremento. El título de esta capacidad se encuentra en la celda B15.
En las celdas B16 y B17 hay una tabla con un encabezado y un único valor.
Vaya a la celda A19 para pasar a la instrucción siguiente.</t>
  </si>
  <si>
    <t>Los marcadores en forma de anillos del gráfico Plan de desarrollo contienen las fechas del gráfico dinámico de esta hoja de cálculo. Estas fechas son la primera fecha, en la celda C24, la fecha intermedia, en la celda C25, y última fecha, en la celda C26.
No hay más instrucciones en esta hoja de cálculo.</t>
  </si>
  <si>
    <t>No elimine esta hoja de cálculo.</t>
  </si>
  <si>
    <t>Contenido del gráfico dinámico</t>
  </si>
  <si>
    <t>Capacidad de desplazamiento</t>
  </si>
  <si>
    <t>Incremento de la fila</t>
  </si>
  <si>
    <t>Año</t>
  </si>
  <si>
    <t>Primera fecha</t>
  </si>
  <si>
    <t>Fecha intermedia</t>
  </si>
  <si>
    <t>Última fecha</t>
  </si>
  <si>
    <t>Eventos</t>
  </si>
  <si>
    <t>&lt;-- Año de la posición inicial del plan de desarrollo.</t>
  </si>
  <si>
    <t>&lt;-- Año del período intermedio del plan de desarrollo, tenga en cuenta que puede estar en blanco si es el mismo año que el de la posición inicial del plan.</t>
  </si>
  <si>
    <t>&lt;-- Año de la última posición del plan de desarrollo, tenga en cuenta que puede estar en blanco si es el mismo año que el de la posición inicial del plan.</t>
  </si>
  <si>
    <t>El gráfico del plan de desarrollo traza los años de la escala de tiempo. Para ello, los años deben extraerse de la lista de hito. 
El título de esta sección es “Año” y se encuentra en la celda B19. 
Los valores de los años se generan de forma automática en celdas de C20 a C22.
Advertencia: La modificación o eliminación de estos años podría cambiar la precisión de la representación del gráfico Plan de desarrollo.
Vaya a la celda A24 para pasar a la instrucción siguiente.</t>
  </si>
  <si>
    <t>Los encabezados de la tabla se encuentran en las celdas de C2 a E2. Use las opciones de Ordenar y filtrar para ordenar y filtrar entradas específicas.
Escriba los hitos con sus fechas y establezca una posición para representarlos en el gráfico en la tabla que comienza en la celda C3.
Se ha ocultado la columna B. El gráfico generado a partir de estos datos con una barra de desplazamiento para ver fragmentos de la escala de tiempo. La columna B le ayuda a determinar los hitos que desea representar en el gráfico cuando se incrementa la barra de desplazamiento. 
Advertencia: La modificación o eliminación del contenido de la columna B puede afectar a la integridad del gráfico integrado en este libro.</t>
  </si>
  <si>
    <t>Especifique la posición para representar la fecha y el hito en la celda C1. Escriba un número positivo entre 1 y 3 para representar hito por encima de la escala de tiempo. Escriba un número negativo entre -1 y -3 para representar hito por debajo de la escala de tiempo.
Escriba la fecha y el hito o la actividad en las columnas D y E de la tabla.
Repita este procedimiento para cada fila nueva en la tabla de la derecha.
Los datos de ejemplo se encuentran desde la fila 3 a la 26. Edite o elimine el contenido de ejemplo para crear su propio plan de desarrollo.
Vaya a la celda A27 para pasar a la instrucción siguiente.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</si>
</sst>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2" formatCode="_(&quot;$&quot;* #,##0_);_(&quot;$&quot;* \(#,##0\);_(&quot;$&quot;* &quot;-&quot;_);_(@_)"/>
    <numFmt numFmtId="41" formatCode="_(* #,##0_);_(* \(#,##0\);_(* &quot;-&quot;_);_(@_)"/>
    <numFmt numFmtId="44" formatCode="_(&quot;$&quot;* #,##0.00_);_(&quot;$&quot;* \(#,##0.00\);_(&quot;$&quot;* &quot;-&quot;??_);_(@_)"/>
    <numFmt numFmtId="164" formatCode="[$-409]d\ mmm;@"/>
    <numFmt numFmtId="165" formatCode="[$-C0A]d&quot; de &quot;mmm;@"/>
  </numFmts>
  <fonts count="20" x14ac:knownFonts="1">
    <font>
      <sz val="11"/>
      <color theme="1"/>
      <name val="Franklin Gothic Book"/>
      <family val="2"/>
      <scheme val="minor"/>
    </font>
    <font>
      <sz val="11"/>
      <color theme="1"/>
      <name val="Franklin Gothic Book"/>
      <family val="2"/>
      <scheme val="minor"/>
    </font>
    <font>
      <sz val="11"/>
      <color theme="0"/>
      <name val="Franklin Gothic Book"/>
      <family val="2"/>
      <scheme val="minor"/>
    </font>
    <font>
      <b/>
      <sz val="12"/>
      <color theme="0"/>
      <name val="Franklin Gothic Book"/>
      <family val="2"/>
      <scheme val="minor"/>
    </font>
    <font>
      <b/>
      <sz val="18"/>
      <color theme="8"/>
      <name val="Franklin Gothic Book"/>
      <family val="2"/>
      <scheme val="minor"/>
    </font>
    <font>
      <b/>
      <sz val="12"/>
      <color theme="8"/>
      <name val="Franklin Gothic Book"/>
      <family val="2"/>
      <scheme val="minor"/>
    </font>
    <font>
      <sz val="11"/>
      <color theme="8" tint="0.79998168889431442"/>
      <name val="Franklin Gothic Book"/>
      <family val="2"/>
      <scheme val="minor"/>
    </font>
    <font>
      <sz val="18"/>
      <color theme="3"/>
      <name val="Franklin Gothic Medium"/>
      <family val="2"/>
      <scheme val="major"/>
    </font>
    <font>
      <b/>
      <sz val="11"/>
      <color theme="3"/>
      <name val="Franklin Gothic Book"/>
      <family val="2"/>
      <scheme val="minor"/>
    </font>
    <font>
      <sz val="11"/>
      <color rgb="FF006100"/>
      <name val="Franklin Gothic Book"/>
      <family val="2"/>
      <scheme val="minor"/>
    </font>
    <font>
      <sz val="11"/>
      <color rgb="FF9C0006"/>
      <name val="Franklin Gothic Book"/>
      <family val="2"/>
      <scheme val="minor"/>
    </font>
    <font>
      <sz val="11"/>
      <color rgb="FF9C5700"/>
      <name val="Franklin Gothic Book"/>
      <family val="2"/>
      <scheme val="minor"/>
    </font>
    <font>
      <sz val="11"/>
      <color rgb="FF3F3F76"/>
      <name val="Franklin Gothic Book"/>
      <family val="2"/>
      <scheme val="minor"/>
    </font>
    <font>
      <b/>
      <sz val="11"/>
      <color rgb="FF3F3F3F"/>
      <name val="Franklin Gothic Book"/>
      <family val="2"/>
      <scheme val="minor"/>
    </font>
    <font>
      <b/>
      <sz val="11"/>
      <color rgb="FFFA7D00"/>
      <name val="Franklin Gothic Book"/>
      <family val="2"/>
      <scheme val="minor"/>
    </font>
    <font>
      <sz val="11"/>
      <color rgb="FFFA7D00"/>
      <name val="Franklin Gothic Book"/>
      <family val="2"/>
      <scheme val="minor"/>
    </font>
    <font>
      <b/>
      <sz val="11"/>
      <color theme="0"/>
      <name val="Franklin Gothic Book"/>
      <family val="2"/>
      <scheme val="minor"/>
    </font>
    <font>
      <sz val="11"/>
      <color rgb="FFFF0000"/>
      <name val="Franklin Gothic Book"/>
      <family val="2"/>
      <scheme val="minor"/>
    </font>
    <font>
      <i/>
      <sz val="11"/>
      <color rgb="FF7F7F7F"/>
      <name val="Franklin Gothic Book"/>
      <family val="2"/>
      <scheme val="minor"/>
    </font>
    <font>
      <b/>
      <sz val="11"/>
      <color theme="1"/>
      <name val="Franklin Gothic Book"/>
      <family val="2"/>
      <scheme val="minor"/>
    </font>
  </fonts>
  <fills count="37">
    <fill>
      <patternFill patternType="none"/>
    </fill>
    <fill>
      <patternFill patternType="gray125"/>
    </fill>
    <fill>
      <patternFill patternType="solid">
        <fgColor theme="8" tint="0.79998168889431442"/>
        <bgColor indexed="64"/>
      </patternFill>
    </fill>
    <fill>
      <patternFill patternType="solid">
        <fgColor theme="8" tint="-0.24994659260841701"/>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7">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0" fontId="4" fillId="0" borderId="0" applyNumberFormat="0" applyFill="0" applyProtection="0">
      <alignment vertical="top"/>
    </xf>
    <xf numFmtId="0" fontId="5" fillId="0" borderId="0" applyNumberFormat="0" applyFill="0" applyAlignment="0" applyProtection="0"/>
    <xf numFmtId="3" fontId="1" fillId="0" borderId="0" applyFont="0" applyFill="0" applyBorder="0" applyProtection="0">
      <alignment horizontal="center" vertical="center"/>
    </xf>
    <xf numFmtId="0" fontId="3" fillId="3" borderId="0" applyNumberFormat="0" applyProtection="0">
      <alignment horizontal="right" vertical="top" indent="1"/>
    </xf>
    <xf numFmtId="14" fontId="1" fillId="0" borderId="0" applyFont="0" applyFill="0" applyBorder="0">
      <alignment horizontal="center" vertical="center" wrapText="1"/>
    </xf>
    <xf numFmtId="0" fontId="2" fillId="0" borderId="0"/>
    <xf numFmtId="0" fontId="6" fillId="2" borderId="0">
      <alignment wrapText="1"/>
    </xf>
    <xf numFmtId="41"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9" fillId="6" borderId="0" applyNumberFormat="0" applyBorder="0" applyAlignment="0" applyProtection="0"/>
    <xf numFmtId="0" fontId="10" fillId="7" borderId="0" applyNumberFormat="0" applyBorder="0" applyAlignment="0" applyProtection="0"/>
    <xf numFmtId="0" fontId="11" fillId="8" borderId="0" applyNumberFormat="0" applyBorder="0" applyAlignment="0" applyProtection="0"/>
    <xf numFmtId="0" fontId="12" fillId="9" borderId="1" applyNumberFormat="0" applyAlignment="0" applyProtection="0"/>
    <xf numFmtId="0" fontId="13" fillId="10" borderId="2" applyNumberFormat="0" applyAlignment="0" applyProtection="0"/>
    <xf numFmtId="0" fontId="14" fillId="10" borderId="1" applyNumberFormat="0" applyAlignment="0" applyProtection="0"/>
    <xf numFmtId="0" fontId="15" fillId="0" borderId="3" applyNumberFormat="0" applyFill="0" applyAlignment="0" applyProtection="0"/>
    <xf numFmtId="0" fontId="16" fillId="11" borderId="4" applyNumberFormat="0" applyAlignment="0" applyProtection="0"/>
    <xf numFmtId="0" fontId="17" fillId="0" borderId="0" applyNumberFormat="0" applyFill="0" applyBorder="0" applyAlignment="0" applyProtection="0"/>
    <xf numFmtId="0" fontId="1" fillId="12" borderId="5" applyNumberFormat="0" applyFont="0" applyAlignment="0" applyProtection="0"/>
    <xf numFmtId="0" fontId="18" fillId="0" borderId="0" applyNumberFormat="0" applyFill="0" applyBorder="0" applyAlignment="0" applyProtection="0"/>
    <xf numFmtId="0" fontId="19" fillId="0" borderId="6" applyNumberFormat="0" applyFill="0" applyAlignment="0" applyProtection="0"/>
    <xf numFmtId="0" fontId="2"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2"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2"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2"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2"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cellStyleXfs>
  <cellXfs count="23">
    <xf numFmtId="0" fontId="0" fillId="0" borderId="0" xfId="0"/>
    <xf numFmtId="0" fontId="4" fillId="0" borderId="0" xfId="1" applyAlignment="1">
      <alignment vertical="center"/>
    </xf>
    <xf numFmtId="0" fontId="5" fillId="0" borderId="0" xfId="2" applyAlignment="1"/>
    <xf numFmtId="0" fontId="0" fillId="0" borderId="0" xfId="0" applyAlignment="1">
      <alignment wrapText="1"/>
    </xf>
    <xf numFmtId="0" fontId="5" fillId="0" borderId="0" xfId="2"/>
    <xf numFmtId="0" fontId="0" fillId="0" borderId="0" xfId="0" applyFont="1" applyFill="1" applyBorder="1" applyAlignment="1">
      <alignment wrapText="1"/>
    </xf>
    <xf numFmtId="0" fontId="0" fillId="0" borderId="0" xfId="0" applyNumberFormat="1"/>
    <xf numFmtId="164" fontId="0" fillId="0" borderId="0" xfId="0" applyNumberFormat="1"/>
    <xf numFmtId="0" fontId="5" fillId="0" borderId="0" xfId="2" applyNumberFormat="1"/>
    <xf numFmtId="14" fontId="0" fillId="0" borderId="0" xfId="0" applyNumberFormat="1" applyAlignment="1">
      <alignment horizontal="center"/>
    </xf>
    <xf numFmtId="0" fontId="0" fillId="0" borderId="0" xfId="0" applyAlignment="1">
      <alignment horizontal="center"/>
    </xf>
    <xf numFmtId="0" fontId="4" fillId="0" borderId="0" xfId="1">
      <alignment vertical="top"/>
    </xf>
    <xf numFmtId="0" fontId="3" fillId="3" borderId="0" xfId="4">
      <alignment horizontal="right" vertical="top" indent="1"/>
    </xf>
    <xf numFmtId="0" fontId="0" fillId="2" borderId="0" xfId="0" applyFill="1"/>
    <xf numFmtId="3" fontId="0" fillId="0" borderId="0" xfId="3" applyFont="1">
      <alignment horizontal="center" vertical="center"/>
    </xf>
    <xf numFmtId="0" fontId="2" fillId="0" borderId="0" xfId="6"/>
    <xf numFmtId="0" fontId="0" fillId="4" borderId="0" xfId="0" applyFill="1"/>
    <xf numFmtId="0" fontId="6" fillId="2" borderId="0" xfId="7">
      <alignment wrapText="1"/>
    </xf>
    <xf numFmtId="0" fontId="6" fillId="5" borderId="0" xfId="7" applyFill="1">
      <alignment wrapText="1"/>
    </xf>
    <xf numFmtId="0" fontId="0" fillId="0" borderId="0" xfId="0" applyNumberFormat="1" applyAlignment="1">
      <alignment wrapText="1"/>
    </xf>
    <xf numFmtId="0" fontId="2" fillId="0" borderId="0" xfId="6" applyAlignment="1">
      <alignment wrapText="1"/>
    </xf>
    <xf numFmtId="14" fontId="0" fillId="0" borderId="0" xfId="5" applyFont="1">
      <alignment horizontal="center" vertical="center" wrapText="1"/>
    </xf>
    <xf numFmtId="165" fontId="0" fillId="0" borderId="0" xfId="0" applyNumberFormat="1"/>
  </cellXfs>
  <cellStyles count="50">
    <cellStyle name="20% - Accent1" xfId="27" builtinId="30" customBuiltin="1"/>
    <cellStyle name="20% - Accent2" xfId="31" builtinId="34" customBuiltin="1"/>
    <cellStyle name="20% - Accent3" xfId="35" builtinId="38" customBuiltin="1"/>
    <cellStyle name="20% - Accent4" xfId="39" builtinId="42" customBuiltin="1"/>
    <cellStyle name="20% - Accent5" xfId="43" builtinId="46" customBuiltin="1"/>
    <cellStyle name="20% - Accent6" xfId="47" builtinId="50" customBuiltin="1"/>
    <cellStyle name="40% - Accent1" xfId="28" builtinId="31" customBuiltin="1"/>
    <cellStyle name="40% - Accent2" xfId="32" builtinId="35" customBuiltin="1"/>
    <cellStyle name="40% - Accent3" xfId="36" builtinId="39" customBuiltin="1"/>
    <cellStyle name="40% - Accent4" xfId="40" builtinId="43" customBuiltin="1"/>
    <cellStyle name="40% - Accent5" xfId="44" builtinId="47" customBuiltin="1"/>
    <cellStyle name="40% - Accent6" xfId="48" builtinId="51" customBuiltin="1"/>
    <cellStyle name="60% - Accent1" xfId="29" builtinId="32" customBuiltin="1"/>
    <cellStyle name="60% - Accent2" xfId="33" builtinId="36" customBuiltin="1"/>
    <cellStyle name="60% - Accent3" xfId="37" builtinId="40" customBuiltin="1"/>
    <cellStyle name="60% - Accent4" xfId="41" builtinId="44" customBuiltin="1"/>
    <cellStyle name="60% - Accent5" xfId="45" builtinId="48" customBuiltin="1"/>
    <cellStyle name="60% - Accent6" xfId="49" builtinId="52" customBuiltin="1"/>
    <cellStyle name="Accent1" xfId="26" builtinId="29" customBuiltin="1"/>
    <cellStyle name="Accent2" xfId="30" builtinId="33" customBuiltin="1"/>
    <cellStyle name="Accent3" xfId="34" builtinId="37" customBuiltin="1"/>
    <cellStyle name="Accent4" xfId="38" builtinId="41" customBuiltin="1"/>
    <cellStyle name="Accent5" xfId="42" builtinId="45" customBuiltin="1"/>
    <cellStyle name="Accent6" xfId="46" builtinId="49" customBuiltin="1"/>
    <cellStyle name="Bad" xfId="15" builtinId="27" customBuiltin="1"/>
    <cellStyle name="Calculation" xfId="19" builtinId="22" customBuiltin="1"/>
    <cellStyle name="Check Cell" xfId="21" builtinId="23" customBuiltin="1"/>
    <cellStyle name="Comma" xfId="3" builtinId="3" customBuiltin="1"/>
    <cellStyle name="Comma [0]" xfId="8" builtinId="6" customBuiltin="1"/>
    <cellStyle name="Currency" xfId="9" builtinId="4" customBuiltin="1"/>
    <cellStyle name="Currency [0]" xfId="10" builtinId="7" customBuiltin="1"/>
    <cellStyle name="Explanatory Text" xfId="24" builtinId="53" customBuiltin="1"/>
    <cellStyle name="Fecha" xfId="5"/>
    <cellStyle name="Good" xfId="14" builtinId="26" customBuiltin="1"/>
    <cellStyle name="Heading 1" xfId="1" builtinId="16" customBuiltin="1"/>
    <cellStyle name="Heading 2" xfId="2" builtinId="17" customBuiltin="1"/>
    <cellStyle name="Heading 3" xfId="4" builtinId="18" customBuiltin="1"/>
    <cellStyle name="Heading 4" xfId="13" builtinId="19" customBuiltin="1"/>
    <cellStyle name="Input" xfId="17" builtinId="20" customBuiltin="1"/>
    <cellStyle name="Linked Cell" xfId="20" builtinId="24" customBuiltin="1"/>
    <cellStyle name="Neutral" xfId="16" builtinId="28" customBuiltin="1"/>
    <cellStyle name="Normal" xfId="0" builtinId="0" customBuiltin="1"/>
    <cellStyle name="Note" xfId="23" builtinId="10" customBuiltin="1"/>
    <cellStyle name="Output" xfId="18" builtinId="21" customBuiltin="1"/>
    <cellStyle name="Percent" xfId="11" builtinId="5" customBuiltin="1"/>
    <cellStyle name="Title" xfId="12" builtinId="15" customBuiltin="1"/>
    <cellStyle name="Total" xfId="25" builtinId="25" customBuiltin="1"/>
    <cellStyle name="Warning Text" xfId="22" builtinId="11" customBuiltin="1"/>
    <cellStyle name="zTextoGráficoOculto" xfId="7"/>
    <cellStyle name="zTextoOculto" xfId="6"/>
  </cellStyles>
  <dxfs count="8">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alignment horizontal="general" vertical="bottom" textRotation="0" wrapText="1" indent="0" justifyLastLine="0" shrinkToFit="0" readingOrder="0"/>
    </dxf>
    <dxf>
      <numFmt numFmtId="166" formatCode="dd/mm/yyyy"/>
      <alignment horizontal="center" vertical="bottom" textRotation="0" wrapText="0" indent="0" justifyLastLine="0" shrinkToFit="0" readingOrder="0"/>
    </dxf>
    <dxf>
      <fill>
        <patternFill patternType="solid">
          <fgColor theme="5" tint="0.79992065187536243"/>
          <bgColor theme="8" tint="0.79998168889431442"/>
        </patternFill>
      </fill>
    </dxf>
    <dxf>
      <font>
        <color theme="8" tint="-0.499984740745262"/>
      </font>
      <border>
        <bottom style="thin">
          <color theme="8"/>
        </bottom>
      </border>
    </dxf>
    <dxf>
      <font>
        <b val="0"/>
        <i val="0"/>
        <color theme="8" tint="-0.499984740745262"/>
      </font>
      <border>
        <top style="thin">
          <color theme="8"/>
        </top>
        <bottom style="thin">
          <color theme="8"/>
        </bottom>
      </border>
    </dxf>
  </dxfs>
  <tableStyles count="1" defaultTableStyle="Estilo de la tabla del plan de desarrollo del producto" defaultPivotStyle="PivotStyleLight16">
    <tableStyle name="Estilo de la tabla del plan de desarrollo del producto" pivot="0" count="3">
      <tableStyleElement type="wholeTable" dxfId="7"/>
      <tableStyleElement type="headerRow" dxfId="6"/>
      <tableStyleElement type="firstRowStripe"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0.95827541318139831"/>
        </c:manualLayout>
      </c:layout>
      <c:scatterChart>
        <c:scatterStyle val="lineMarker"/>
        <c:varyColors val="0"/>
        <c:ser>
          <c:idx val="0"/>
          <c:order val="0"/>
          <c:tx>
            <c:strRef>
              <c:f>'Datos del gráfico'!$D$3</c:f>
              <c:strCache>
                <c:ptCount val="1"/>
                <c:pt idx="0">
                  <c:v>Posición</c:v>
                </c:pt>
              </c:strCache>
            </c:strRef>
          </c:tx>
          <c:spPr>
            <a:ln w="19050" cap="rnd">
              <a:noFill/>
              <a:round/>
            </a:ln>
            <a:effectLst/>
          </c:spPr>
          <c:marker>
            <c:symbol val="circle"/>
            <c:size val="5"/>
            <c:spPr>
              <a:solidFill>
                <a:schemeClr val="accent5">
                  <a:lumMod val="50000"/>
                </a:schemeClr>
              </a:solidFill>
              <a:ln w="9525">
                <a:solidFill>
                  <a:schemeClr val="accent5"/>
                </a:solidFill>
              </a:ln>
              <a:effectLst/>
            </c:spPr>
          </c:marker>
          <c:dLbls>
            <c:dLbl>
              <c:idx val="0"/>
              <c:tx>
                <c:rich>
                  <a:bodyPr/>
                  <a:lstStyle/>
                  <a:p>
                    <a:fld id="{F32CCEC8-2362-4240-A64B-AA8016CFB87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738F-4955-B7A2-9C15639C0302}"/>
                </c:ext>
              </c:extLst>
            </c:dLbl>
            <c:dLbl>
              <c:idx val="1"/>
              <c:tx>
                <c:rich>
                  <a:bodyPr/>
                  <a:lstStyle/>
                  <a:p>
                    <a:fld id="{BA7EDEEA-C73C-4389-B9A9-B417BAE0CDF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738F-4955-B7A2-9C15639C0302}"/>
                </c:ext>
              </c:extLst>
            </c:dLbl>
            <c:dLbl>
              <c:idx val="2"/>
              <c:tx>
                <c:rich>
                  <a:bodyPr/>
                  <a:lstStyle/>
                  <a:p>
                    <a:fld id="{C72DD684-8CF5-40C0-A39A-8E6062C7AC9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738F-4955-B7A2-9C15639C0302}"/>
                </c:ext>
              </c:extLst>
            </c:dLbl>
            <c:dLbl>
              <c:idx val="3"/>
              <c:tx>
                <c:rich>
                  <a:bodyPr/>
                  <a:lstStyle/>
                  <a:p>
                    <a:fld id="{8E8D050D-2F3A-4469-8147-231CBD07E97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738F-4955-B7A2-9C15639C0302}"/>
                </c:ext>
              </c:extLst>
            </c:dLbl>
            <c:dLbl>
              <c:idx val="4"/>
              <c:tx>
                <c:rich>
                  <a:bodyPr/>
                  <a:lstStyle/>
                  <a:p>
                    <a:fld id="{2370631D-5486-4B8B-9ED7-587E6118FAD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738F-4955-B7A2-9C15639C0302}"/>
                </c:ext>
              </c:extLst>
            </c:dLbl>
            <c:dLbl>
              <c:idx val="5"/>
              <c:tx>
                <c:rich>
                  <a:bodyPr/>
                  <a:lstStyle/>
                  <a:p>
                    <a:fld id="{D5984623-BD09-4A69-9AB5-B9A44BB1992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738F-4955-B7A2-9C15639C0302}"/>
                </c:ext>
              </c:extLst>
            </c:dLbl>
            <c:dLbl>
              <c:idx val="6"/>
              <c:tx>
                <c:rich>
                  <a:bodyPr/>
                  <a:lstStyle/>
                  <a:p>
                    <a:fld id="{0EE637AB-3C4B-4596-A473-C378F44FCEF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738F-4955-B7A2-9C15639C0302}"/>
                </c:ext>
              </c:extLst>
            </c:dLbl>
            <c:dLbl>
              <c:idx val="7"/>
              <c:tx>
                <c:rich>
                  <a:bodyPr/>
                  <a:lstStyle/>
                  <a:p>
                    <a:fld id="{23206086-FD33-4DB4-AC4B-DFF16DB695D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738F-4955-B7A2-9C15639C0302}"/>
                </c:ext>
              </c:extLst>
            </c:dLbl>
            <c:dLbl>
              <c:idx val="8"/>
              <c:tx>
                <c:rich>
                  <a:bodyPr/>
                  <a:lstStyle/>
                  <a:p>
                    <a:fld id="{A7C11C2F-A4D3-477A-9BD9-37C8B8B0E00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738F-4955-B7A2-9C15639C0302}"/>
                </c:ext>
              </c:extLst>
            </c:dLbl>
            <c:dLbl>
              <c:idx val="9"/>
              <c:tx>
                <c:rich>
                  <a:bodyPr/>
                  <a:lstStyle/>
                  <a:p>
                    <a:fld id="{E5315832-32DD-4F46-BFE3-EF0DC72EA6B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738F-4955-B7A2-9C15639C0302}"/>
                </c:ext>
              </c:extLst>
            </c:dLbl>
            <c:spPr>
              <a:noFill/>
              <a:ln>
                <a:noFill/>
              </a:ln>
              <a:effectLst/>
            </c:spPr>
            <c:txPr>
              <a:bodyPr rot="0" spcFirstLastPara="1" vertOverflow="ellipsis" horzOverflow="clip" vert="horz" wrap="none" lIns="38100" tIns="19050" rIns="38100" bIns="19050" anchor="ctr" anchorCtr="1">
                <a:spAutoFit/>
              </a:bodyPr>
              <a:lstStyle/>
              <a:p>
                <a:pPr>
                  <a:defRPr sz="1100" b="0" i="0" u="none" strike="noStrike" kern="1200" baseline="0">
                    <a:solidFill>
                      <a:schemeClr val="accent5">
                        <a:lumMod val="5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DataLabelsRange val="1"/>
                <c15:showLeaderLines val="0"/>
              </c:ext>
            </c:extLst>
          </c:dLbls>
          <c:errBars>
            <c:errDir val="y"/>
            <c:errBarType val="minus"/>
            <c:errValType val="percentage"/>
            <c:noEndCap val="1"/>
            <c:val val="100"/>
            <c:spPr>
              <a:noFill/>
              <a:ln w="9525" cap="rnd" cmpd="sng" algn="ctr">
                <a:solidFill>
                  <a:schemeClr val="accent5">
                    <a:lumMod val="75000"/>
                  </a:schemeClr>
                </a:solidFill>
                <a:round/>
              </a:ln>
              <a:effectLst/>
            </c:spPr>
          </c:errBars>
          <c:xVal>
            <c:multiLvlStrRef>
              <c:f>'Datos del gráfico'!$B$4:$C$13</c:f>
              <c:multiLvlStrCache>
                <c:ptCount val="10"/>
                <c:lvl>
                  <c:pt idx="0">
                    <c:v>Inicio</c:v>
                  </c:pt>
                  <c:pt idx="1">
                    <c:v>Análisis de problemas
actividad 1</c:v>
                  </c:pt>
                  <c:pt idx="2">
                    <c:v>Desarrollar la oportunidad de negocio
actividad 1
actividad 2</c:v>
                  </c:pt>
                  <c:pt idx="3">
                    <c:v>Revisar la presentación</c:v>
                  </c:pt>
                  <c:pt idx="4">
                    <c:v>Ejecución de la puesta en marcha
actividad 1
actividad 2</c:v>
                  </c:pt>
                  <c:pt idx="5">
                    <c:v>Ejecución de la alineación
actividad 1
actividad 2
actividad 3</c:v>
                  </c:pt>
                  <c:pt idx="6">
                    <c:v>Aprobación de las partes interesadas</c:v>
                  </c:pt>
                  <c:pt idx="7">
                    <c:v>Selección de recursos</c:v>
                  </c:pt>
                  <c:pt idx="8">
                    <c:v>Creación de equipo
actividad 1 </c:v>
                  </c:pt>
                  <c:pt idx="9">
                    <c:v>Puesta en marcha del equipo
actividad 1 
actividad 2
actividad 3
actividad 4</c:v>
                  </c:pt>
                </c:lvl>
                <c:lvl>
                  <c:pt idx="0">
                    <c:v>6/29/2018</c:v>
                  </c:pt>
                  <c:pt idx="1">
                    <c:v>7/9/2018</c:v>
                  </c:pt>
                  <c:pt idx="2">
                    <c:v>7/29/2018</c:v>
                  </c:pt>
                  <c:pt idx="3">
                    <c:v>8/28/2018</c:v>
                  </c:pt>
                  <c:pt idx="4">
                    <c:v>10/7/2018</c:v>
                  </c:pt>
                  <c:pt idx="5">
                    <c:v>11/26/2018</c:v>
                  </c:pt>
                  <c:pt idx="6">
                    <c:v>1/25/2019</c:v>
                  </c:pt>
                  <c:pt idx="7">
                    <c:v>4/5/2019</c:v>
                  </c:pt>
                  <c:pt idx="8">
                    <c:v>6/24/2019</c:v>
                  </c:pt>
                  <c:pt idx="9">
                    <c:v>9/22/2019</c:v>
                  </c:pt>
                </c:lvl>
              </c:multiLvlStrCache>
            </c:multiLvlStrRef>
          </c:xVal>
          <c:yVal>
            <c:numRef>
              <c:f>'Datos del gráfico'!$D$4:$D$13</c:f>
              <c:numCache>
                <c:formatCode>General</c:formatCode>
                <c:ptCount val="10"/>
                <c:pt idx="0">
                  <c:v>1</c:v>
                </c:pt>
                <c:pt idx="1">
                  <c:v>-2</c:v>
                </c:pt>
                <c:pt idx="2">
                  <c:v>1</c:v>
                </c:pt>
                <c:pt idx="3">
                  <c:v>-1</c:v>
                </c:pt>
                <c:pt idx="4">
                  <c:v>-0.5</c:v>
                </c:pt>
                <c:pt idx="5">
                  <c:v>2</c:v>
                </c:pt>
                <c:pt idx="6">
                  <c:v>0.5</c:v>
                </c:pt>
                <c:pt idx="7">
                  <c:v>-1</c:v>
                </c:pt>
                <c:pt idx="8">
                  <c:v>0.5</c:v>
                </c:pt>
                <c:pt idx="9">
                  <c:v>-2</c:v>
                </c:pt>
              </c:numCache>
            </c:numRef>
          </c:yVal>
          <c:smooth val="0"/>
          <c:extLst>
            <c:ext xmlns:c15="http://schemas.microsoft.com/office/drawing/2012/chart" uri="{02D57815-91ED-43cb-92C2-25804820EDAC}">
              <c15:datalabelsRange>
                <c15:f>'Datos del gráfico'!$C$4:$C$13</c15:f>
                <c15:dlblRangeCache>
                  <c:ptCount val="10"/>
                  <c:pt idx="0">
                    <c:v>Inicio</c:v>
                  </c:pt>
                  <c:pt idx="1">
                    <c:v>Análisis de problemas
actividad 1</c:v>
                  </c:pt>
                  <c:pt idx="2">
                    <c:v>Desarrollar la oportunidad de negocio
actividad 1
actividad 2</c:v>
                  </c:pt>
                  <c:pt idx="3">
                    <c:v>Revisar la presentación</c:v>
                  </c:pt>
                  <c:pt idx="4">
                    <c:v>Ejecución de la puesta en marcha
actividad 1
actividad 2</c:v>
                  </c:pt>
                  <c:pt idx="5">
                    <c:v>Ejecución de la alineación
actividad 1
actividad 2
actividad 3</c:v>
                  </c:pt>
                  <c:pt idx="6">
                    <c:v>Aprobación de las partes interesadas</c:v>
                  </c:pt>
                  <c:pt idx="7">
                    <c:v>Selección de recursos</c:v>
                  </c:pt>
                  <c:pt idx="8">
                    <c:v>Creación de equipo
actividad 1 </c:v>
                  </c:pt>
                  <c:pt idx="9">
                    <c:v>Puesta en marcha del equipo
actividad 1 
actividad 2
actividad 3
actividad 4</c:v>
                  </c:pt>
                </c15:dlblRangeCache>
              </c15:datalabelsRange>
            </c:ext>
            <c:ext xmlns:c16="http://schemas.microsoft.com/office/drawing/2014/chart" uri="{C3380CC4-5D6E-409C-BE32-E72D297353CC}">
              <c16:uniqueId val="{0000000A-738F-4955-B7A2-9C15639C0302}"/>
            </c:ext>
          </c:extLst>
        </c:ser>
        <c:dLbls>
          <c:showLegendKey val="0"/>
          <c:showVal val="0"/>
          <c:showCatName val="0"/>
          <c:showSerName val="0"/>
          <c:showPercent val="0"/>
          <c:showBubbleSize val="0"/>
        </c:dLbls>
        <c:axId val="966684360"/>
        <c:axId val="966683048"/>
      </c:scatterChart>
      <c:valAx>
        <c:axId val="966684360"/>
        <c:scaling>
          <c:orientation val="minMax"/>
          <c:max val="12"/>
        </c:scaling>
        <c:delete val="0"/>
        <c:axPos val="b"/>
        <c:majorTickMark val="none"/>
        <c:minorTickMark val="none"/>
        <c:tickLblPos val="none"/>
        <c:spPr>
          <a:solidFill>
            <a:schemeClr val="accent5">
              <a:lumMod val="75000"/>
            </a:schemeClr>
          </a:solidFill>
          <a:ln w="63500" cap="flat" cmpd="sng" algn="ctr">
            <a:solidFill>
              <a:schemeClr val="accent5">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6683048"/>
        <c:crosses val="autoZero"/>
        <c:crossBetween val="midCat"/>
        <c:majorUnit val="2"/>
        <c:minorUnit val="0.2"/>
      </c:valAx>
      <c:valAx>
        <c:axId val="966683048"/>
        <c:scaling>
          <c:orientation val="minMax"/>
        </c:scaling>
        <c:delete val="0"/>
        <c:axPos val="l"/>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668436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Datos del gráfico'!$B$17" horiz="1" max="10" page="4"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0</xdr:row>
      <xdr:rowOff>9526</xdr:rowOff>
    </xdr:from>
    <xdr:to>
      <xdr:col>3</xdr:col>
      <xdr:colOff>3505199</xdr:colOff>
      <xdr:row>4</xdr:row>
      <xdr:rowOff>28576</xdr:rowOff>
    </xdr:to>
    <xdr:graphicFrame macro="">
      <xdr:nvGraphicFramePr>
        <xdr:cNvPr id="2" name="Gráfico 1" descr="Gráfico de dispersión para trazar hitos encima o debajo y a lo largo de una escala de tiempo.">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9525</xdr:colOff>
          <xdr:row>2</xdr:row>
          <xdr:rowOff>209550</xdr:rowOff>
        </xdr:from>
        <xdr:to>
          <xdr:col>3</xdr:col>
          <xdr:colOff>4705350</xdr:colOff>
          <xdr:row>4</xdr:row>
          <xdr:rowOff>28575</xdr:rowOff>
        </xdr:to>
        <xdr:sp macro="" textlink="">
          <xdr:nvSpPr>
            <xdr:cNvPr id="4098" name="Barra de desplazamiento 2" descr="Scrollbar to navigate the roadmap"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absolute">
    <xdr:from>
      <xdr:col>0</xdr:col>
      <xdr:colOff>19049</xdr:colOff>
      <xdr:row>0</xdr:row>
      <xdr:rowOff>1038225</xdr:rowOff>
    </xdr:from>
    <xdr:to>
      <xdr:col>3</xdr:col>
      <xdr:colOff>4605526</xdr:colOff>
      <xdr:row>1</xdr:row>
      <xdr:rowOff>1880920</xdr:rowOff>
    </xdr:to>
    <xdr:grpSp>
      <xdr:nvGrpSpPr>
        <xdr:cNvPr id="44" name="Grupo 43" descr="Marcador de la fecha del hito en la escala de tiempo del plan de desarrollo">
          <a:extLst>
            <a:ext uri="{FF2B5EF4-FFF2-40B4-BE49-F238E27FC236}">
              <a16:creationId xmlns:a16="http://schemas.microsoft.com/office/drawing/2014/main" id="{00000000-0008-0000-0100-00002C000000}"/>
            </a:ext>
          </a:extLst>
        </xdr:cNvPr>
        <xdr:cNvGrpSpPr/>
      </xdr:nvGrpSpPr>
      <xdr:grpSpPr>
        <a:xfrm>
          <a:off x="19049" y="1038225"/>
          <a:ext cx="11815952" cy="4081195"/>
          <a:chOff x="19049" y="1247137"/>
          <a:chExt cx="11815952" cy="3902696"/>
        </a:xfrm>
      </xdr:grpSpPr>
      <xdr:grpSp>
        <xdr:nvGrpSpPr>
          <xdr:cNvPr id="35" name="Grupo 34" descr="Marcador de la fecha del hito en la escala de tiempo del plan de desarrollo">
            <a:extLst>
              <a:ext uri="{FF2B5EF4-FFF2-40B4-BE49-F238E27FC236}">
                <a16:creationId xmlns:a16="http://schemas.microsoft.com/office/drawing/2014/main" id="{00000000-0008-0000-0100-000023000000}"/>
              </a:ext>
            </a:extLst>
          </xdr:cNvPr>
          <xdr:cNvGrpSpPr/>
        </xdr:nvGrpSpPr>
        <xdr:grpSpPr>
          <a:xfrm>
            <a:off x="11039473" y="2302210"/>
            <a:ext cx="795528" cy="994205"/>
            <a:chOff x="11039473" y="2302210"/>
            <a:chExt cx="795528" cy="994205"/>
          </a:xfrm>
        </xdr:grpSpPr>
        <xdr:sp macro="" textlink="'Datos del gráfico'!C26">
          <xdr:nvSpPr>
            <xdr:cNvPr id="12" name="Círculo: Sin relleno 11" descr="Fecha del hito en un anillo.">
              <a:extLst>
                <a:ext uri="{FF2B5EF4-FFF2-40B4-BE49-F238E27FC236}">
                  <a16:creationId xmlns:a16="http://schemas.microsoft.com/office/drawing/2014/main" id="{00000000-0008-0000-0100-00000C000000}"/>
                </a:ext>
              </a:extLst>
            </xdr:cNvPr>
            <xdr:cNvSpPr/>
          </xdr:nvSpPr>
          <xdr:spPr>
            <a:xfrm>
              <a:off x="11039473" y="2302210"/>
              <a:ext cx="795528" cy="795528"/>
            </a:xfrm>
            <a:prstGeom prst="donut">
              <a:avLst>
                <a:gd name="adj" fmla="val 7296"/>
              </a:avLst>
            </a:prstGeom>
            <a:solidFill>
              <a:schemeClr val="accent5"/>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rtl="0"/>
              <a:fld id="{EDA3A338-67AB-4920-99D9-B3A1BE175CDC}" type="TxLink">
                <a:rPr lang="en-US" sz="1200" b="0" i="0" u="none" strike="noStrike">
                  <a:solidFill>
                    <a:srgbClr val="000000"/>
                  </a:solidFill>
                  <a:latin typeface="Corbel" panose="020B0503020204020204" pitchFamily="34" charset="0"/>
                </a:rPr>
                <a:pPr algn="ctr" rtl="0"/>
                <a:t>22 de sep.</a:t>
              </a:fld>
              <a:endParaRPr lang="en-US" sz="1200">
                <a:solidFill>
                  <a:schemeClr val="tx1"/>
                </a:solidFill>
                <a:latin typeface="Corbel" panose="020B0503020204020204" pitchFamily="34" charset="0"/>
              </a:endParaRPr>
            </a:p>
          </xdr:txBody>
        </xdr:sp>
        <xdr:grpSp>
          <xdr:nvGrpSpPr>
            <xdr:cNvPr id="20" name="Grupo 19" descr="Marcador de la fecha del hito en la escala de tiempo del plan de desarrollo">
              <a:extLst>
                <a:ext uri="{FF2B5EF4-FFF2-40B4-BE49-F238E27FC236}">
                  <a16:creationId xmlns:a16="http://schemas.microsoft.com/office/drawing/2014/main" id="{00000000-0008-0000-0100-000014000000}"/>
                </a:ext>
              </a:extLst>
            </xdr:cNvPr>
            <xdr:cNvGrpSpPr/>
          </xdr:nvGrpSpPr>
          <xdr:grpSpPr>
            <a:xfrm>
              <a:off x="11106150" y="3131823"/>
              <a:ext cx="683133" cy="164592"/>
              <a:chOff x="14306550" y="2374586"/>
              <a:chExt cx="683133" cy="164592"/>
            </a:xfrm>
          </xdr:grpSpPr>
          <xdr:sp macro="" textlink="">
            <xdr:nvSpPr>
              <xdr:cNvPr id="19" name="Diagrama de flujo: Conector 18" descr="Círculo decorativo">
                <a:extLst>
                  <a:ext uri="{FF2B5EF4-FFF2-40B4-BE49-F238E27FC236}">
                    <a16:creationId xmlns:a16="http://schemas.microsoft.com/office/drawing/2014/main" id="{00000000-0008-0000-0100-000013000000}"/>
                  </a:ext>
                </a:extLst>
              </xdr:cNvPr>
              <xdr:cNvSpPr/>
            </xdr:nvSpPr>
            <xdr:spPr>
              <a:xfrm>
                <a:off x="14306550" y="2423543"/>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3" name="Diagrama de flujo: Conector 22" descr="Círculo decorativo">
                <a:extLst>
                  <a:ext uri="{FF2B5EF4-FFF2-40B4-BE49-F238E27FC236}">
                    <a16:creationId xmlns:a16="http://schemas.microsoft.com/office/drawing/2014/main" id="{00000000-0008-0000-0100-000017000000}"/>
                  </a:ext>
                </a:extLst>
              </xdr:cNvPr>
              <xdr:cNvSpPr/>
            </xdr:nvSpPr>
            <xdr:spPr>
              <a:xfrm>
                <a:off x="14418564" y="2406588"/>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4" name="Diagrama de flujo: Conector 23" descr="Círculo decorativo">
                <a:extLst>
                  <a:ext uri="{FF2B5EF4-FFF2-40B4-BE49-F238E27FC236}">
                    <a16:creationId xmlns:a16="http://schemas.microsoft.com/office/drawing/2014/main" id="{00000000-0008-0000-0100-000018000000}"/>
                  </a:ext>
                </a:extLst>
              </xdr:cNvPr>
              <xdr:cNvSpPr/>
            </xdr:nvSpPr>
            <xdr:spPr>
              <a:xfrm>
                <a:off x="14567154" y="2374586"/>
                <a:ext cx="161925" cy="164592"/>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6" name="Diagrama de flujo: Conector 25" descr="Círculo decorativo">
                <a:extLst>
                  <a:ext uri="{FF2B5EF4-FFF2-40B4-BE49-F238E27FC236}">
                    <a16:creationId xmlns:a16="http://schemas.microsoft.com/office/drawing/2014/main" id="{00000000-0008-0000-0100-00001A000000}"/>
                  </a:ext>
                </a:extLst>
              </xdr:cNvPr>
              <xdr:cNvSpPr/>
            </xdr:nvSpPr>
            <xdr:spPr>
              <a:xfrm rot="10800000">
                <a:off x="14925675" y="2423543"/>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7" name="Diagrama de flujo: Conector 26" descr="Círculo decorativo">
                <a:extLst>
                  <a:ext uri="{FF2B5EF4-FFF2-40B4-BE49-F238E27FC236}">
                    <a16:creationId xmlns:a16="http://schemas.microsoft.com/office/drawing/2014/main" id="{00000000-0008-0000-0100-00001B000000}"/>
                  </a:ext>
                </a:extLst>
              </xdr:cNvPr>
              <xdr:cNvSpPr/>
            </xdr:nvSpPr>
            <xdr:spPr>
              <a:xfrm rot="10800000">
                <a:off x="14777085" y="2406589"/>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grpSp>
      <xdr:grpSp>
        <xdr:nvGrpSpPr>
          <xdr:cNvPr id="43" name="Grupo 42" descr="Marcador de la fecha del hito en la escala de tiempo del plan de desarrollo">
            <a:extLst>
              <a:ext uri="{FF2B5EF4-FFF2-40B4-BE49-F238E27FC236}">
                <a16:creationId xmlns:a16="http://schemas.microsoft.com/office/drawing/2014/main" id="{00000000-0008-0000-0100-00002B000000}"/>
              </a:ext>
            </a:extLst>
          </xdr:cNvPr>
          <xdr:cNvGrpSpPr/>
        </xdr:nvGrpSpPr>
        <xdr:grpSpPr>
          <a:xfrm>
            <a:off x="19049" y="4144038"/>
            <a:ext cx="795528" cy="1005795"/>
            <a:chOff x="19049" y="4144038"/>
            <a:chExt cx="795528" cy="1005795"/>
          </a:xfrm>
        </xdr:grpSpPr>
        <xdr:sp macro="" textlink="'Datos del gráfico'!C24">
          <xdr:nvSpPr>
            <xdr:cNvPr id="17" name="Círculo: Sin relleno 16" descr="Fecha del hito en un anillo.">
              <a:extLst>
                <a:ext uri="{FF2B5EF4-FFF2-40B4-BE49-F238E27FC236}">
                  <a16:creationId xmlns:a16="http://schemas.microsoft.com/office/drawing/2014/main" id="{00000000-0008-0000-0100-000011000000}"/>
                </a:ext>
              </a:extLst>
            </xdr:cNvPr>
            <xdr:cNvSpPr/>
          </xdr:nvSpPr>
          <xdr:spPr>
            <a:xfrm>
              <a:off x="19049" y="4354305"/>
              <a:ext cx="795528" cy="795528"/>
            </a:xfrm>
            <a:prstGeom prst="donut">
              <a:avLst>
                <a:gd name="adj" fmla="val 7296"/>
              </a:avLst>
            </a:prstGeom>
            <a:solidFill>
              <a:schemeClr val="accent5"/>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rtl="0"/>
              <a:fld id="{60C87DDA-A70A-4557-99D2-718C0DB02B25}" type="TxLink">
                <a:rPr lang="en-US" sz="1200" b="0" i="0" u="none" strike="noStrike">
                  <a:solidFill>
                    <a:srgbClr val="000000"/>
                  </a:solidFill>
                  <a:latin typeface="Corbel" panose="020B0503020204020204" pitchFamily="34" charset="0"/>
                </a:rPr>
                <a:pPr algn="ctr" rtl="0"/>
                <a:t>29 de jun.</a:t>
              </a:fld>
              <a:endParaRPr lang="en-US" sz="1200">
                <a:solidFill>
                  <a:schemeClr val="tx1"/>
                </a:solidFill>
                <a:latin typeface="Corbel" panose="020B0503020204020204" pitchFamily="34" charset="0"/>
              </a:endParaRPr>
            </a:p>
          </xdr:txBody>
        </xdr:sp>
        <xdr:grpSp>
          <xdr:nvGrpSpPr>
            <xdr:cNvPr id="29" name="Grupo 28" descr="Marcador de la fecha del hito en la escala de tiempo del plan de desarrollo">
              <a:extLst>
                <a:ext uri="{FF2B5EF4-FFF2-40B4-BE49-F238E27FC236}">
                  <a16:creationId xmlns:a16="http://schemas.microsoft.com/office/drawing/2014/main" id="{00000000-0008-0000-0100-00001D000000}"/>
                </a:ext>
              </a:extLst>
            </xdr:cNvPr>
            <xdr:cNvGrpSpPr/>
          </xdr:nvGrpSpPr>
          <xdr:grpSpPr>
            <a:xfrm>
              <a:off x="95250" y="4144038"/>
              <a:ext cx="683133" cy="164592"/>
              <a:chOff x="11610975" y="2839113"/>
              <a:chExt cx="683133" cy="164592"/>
            </a:xfrm>
          </xdr:grpSpPr>
          <xdr:sp macro="" textlink="">
            <xdr:nvSpPr>
              <xdr:cNvPr id="30" name="Diagrama de flujo: Conector 29" descr="Círculo decorativo">
                <a:extLst>
                  <a:ext uri="{FF2B5EF4-FFF2-40B4-BE49-F238E27FC236}">
                    <a16:creationId xmlns:a16="http://schemas.microsoft.com/office/drawing/2014/main" id="{00000000-0008-0000-0100-00001E000000}"/>
                  </a:ext>
                </a:extLst>
              </xdr:cNvPr>
              <xdr:cNvSpPr/>
            </xdr:nvSpPr>
            <xdr:spPr>
              <a:xfrm>
                <a:off x="11610975" y="2888072"/>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31" name="Diagrama de flujo: Conector 30" descr="Círculo decorativo">
                <a:extLst>
                  <a:ext uri="{FF2B5EF4-FFF2-40B4-BE49-F238E27FC236}">
                    <a16:creationId xmlns:a16="http://schemas.microsoft.com/office/drawing/2014/main" id="{00000000-0008-0000-0100-00001F000000}"/>
                  </a:ext>
                </a:extLst>
              </xdr:cNvPr>
              <xdr:cNvSpPr/>
            </xdr:nvSpPr>
            <xdr:spPr>
              <a:xfrm>
                <a:off x="11722989" y="2871117"/>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32" name="Diagrama de flujo: Conector 31" descr="Círculo decorativo">
                <a:extLst>
                  <a:ext uri="{FF2B5EF4-FFF2-40B4-BE49-F238E27FC236}">
                    <a16:creationId xmlns:a16="http://schemas.microsoft.com/office/drawing/2014/main" id="{00000000-0008-0000-0100-000020000000}"/>
                  </a:ext>
                </a:extLst>
              </xdr:cNvPr>
              <xdr:cNvSpPr/>
            </xdr:nvSpPr>
            <xdr:spPr>
              <a:xfrm>
                <a:off x="11871579" y="2839113"/>
                <a:ext cx="161925" cy="164592"/>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33" name="Diagrama de flujo: Conector 32" descr="Círculo decorativo">
                <a:extLst>
                  <a:ext uri="{FF2B5EF4-FFF2-40B4-BE49-F238E27FC236}">
                    <a16:creationId xmlns:a16="http://schemas.microsoft.com/office/drawing/2014/main" id="{00000000-0008-0000-0100-000021000000}"/>
                  </a:ext>
                </a:extLst>
              </xdr:cNvPr>
              <xdr:cNvSpPr/>
            </xdr:nvSpPr>
            <xdr:spPr>
              <a:xfrm rot="10800000">
                <a:off x="12230100" y="2888072"/>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34" name="Diagrama de flujo: Conector 33" descr="Círculo decorativo">
                <a:extLst>
                  <a:ext uri="{FF2B5EF4-FFF2-40B4-BE49-F238E27FC236}">
                    <a16:creationId xmlns:a16="http://schemas.microsoft.com/office/drawing/2014/main" id="{00000000-0008-0000-0100-000022000000}"/>
                  </a:ext>
                </a:extLst>
              </xdr:cNvPr>
              <xdr:cNvSpPr/>
            </xdr:nvSpPr>
            <xdr:spPr>
              <a:xfrm rot="10800000">
                <a:off x="12081510" y="2871118"/>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grpSp>
      <xdr:grpSp>
        <xdr:nvGrpSpPr>
          <xdr:cNvPr id="42" name="Grupo 41" descr="Marcador de la fecha del hito en la escala de tiempo del plan de desarrollo">
            <a:extLst>
              <a:ext uri="{FF2B5EF4-FFF2-40B4-BE49-F238E27FC236}">
                <a16:creationId xmlns:a16="http://schemas.microsoft.com/office/drawing/2014/main" id="{00000000-0008-0000-0100-00002A000000}"/>
              </a:ext>
            </a:extLst>
          </xdr:cNvPr>
          <xdr:cNvGrpSpPr/>
        </xdr:nvGrpSpPr>
        <xdr:grpSpPr>
          <a:xfrm>
            <a:off x="4648200" y="1247137"/>
            <a:ext cx="795528" cy="1020031"/>
            <a:chOff x="4648200" y="1247137"/>
            <a:chExt cx="795528" cy="1020031"/>
          </a:xfrm>
        </xdr:grpSpPr>
        <xdr:sp macro="" textlink="'Datos del gráfico'!C25">
          <xdr:nvSpPr>
            <xdr:cNvPr id="7" name="Círculo: Sin relleno 6" descr="Marcador de la fecha del hito en la escala de tiempo del plan de desarrollo">
              <a:extLst>
                <a:ext uri="{FF2B5EF4-FFF2-40B4-BE49-F238E27FC236}">
                  <a16:creationId xmlns:a16="http://schemas.microsoft.com/office/drawing/2014/main" id="{00000000-0008-0000-0100-000007000000}"/>
                </a:ext>
              </a:extLst>
            </xdr:cNvPr>
            <xdr:cNvSpPr/>
          </xdr:nvSpPr>
          <xdr:spPr>
            <a:xfrm>
              <a:off x="4648200" y="1247137"/>
              <a:ext cx="795528" cy="790576"/>
            </a:xfrm>
            <a:prstGeom prst="donut">
              <a:avLst>
                <a:gd name="adj" fmla="val 7296"/>
              </a:avLst>
            </a:prstGeom>
            <a:solidFill>
              <a:schemeClr val="accent5"/>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rtl="0"/>
              <a:fld id="{199D44F3-1370-48B7-9068-2DB846DC066A}" type="TxLink">
                <a:rPr lang="en-US" sz="1200" b="0" i="0" u="none" strike="noStrike">
                  <a:solidFill>
                    <a:srgbClr val="000000"/>
                  </a:solidFill>
                  <a:latin typeface="Corbel" panose="020B0503020204020204" pitchFamily="34" charset="0"/>
                </a:rPr>
                <a:pPr algn="ctr" rtl="0"/>
                <a:t>26 de nov.</a:t>
              </a:fld>
              <a:endParaRPr lang="en-US" sz="1200">
                <a:solidFill>
                  <a:schemeClr val="tx1"/>
                </a:solidFill>
                <a:latin typeface="Corbel" panose="020B0503020204020204" pitchFamily="34" charset="0"/>
              </a:endParaRPr>
            </a:p>
          </xdr:txBody>
        </xdr:sp>
        <xdr:grpSp>
          <xdr:nvGrpSpPr>
            <xdr:cNvPr id="36" name="Grupo 35" descr="Marcador de la fecha del hito en la escala de tiempo del plan de desarrollo">
              <a:extLst>
                <a:ext uri="{FF2B5EF4-FFF2-40B4-BE49-F238E27FC236}">
                  <a16:creationId xmlns:a16="http://schemas.microsoft.com/office/drawing/2014/main" id="{00000000-0008-0000-0100-000024000000}"/>
                </a:ext>
              </a:extLst>
            </xdr:cNvPr>
            <xdr:cNvGrpSpPr/>
          </xdr:nvGrpSpPr>
          <xdr:grpSpPr>
            <a:xfrm>
              <a:off x="4705350" y="2102576"/>
              <a:ext cx="683133" cy="164592"/>
              <a:chOff x="12068175" y="1345339"/>
              <a:chExt cx="683133" cy="164592"/>
            </a:xfrm>
          </xdr:grpSpPr>
          <xdr:sp macro="" textlink="">
            <xdr:nvSpPr>
              <xdr:cNvPr id="37" name="Diagrama de flujo: Conector 36" descr="Círculo decorativo">
                <a:extLst>
                  <a:ext uri="{FF2B5EF4-FFF2-40B4-BE49-F238E27FC236}">
                    <a16:creationId xmlns:a16="http://schemas.microsoft.com/office/drawing/2014/main" id="{00000000-0008-0000-0100-000025000000}"/>
                  </a:ext>
                </a:extLst>
              </xdr:cNvPr>
              <xdr:cNvSpPr/>
            </xdr:nvSpPr>
            <xdr:spPr>
              <a:xfrm>
                <a:off x="12068175" y="1394294"/>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38" name="Diagrama de flujo: Conector 37" descr="Círculo decorativo">
                <a:extLst>
                  <a:ext uri="{FF2B5EF4-FFF2-40B4-BE49-F238E27FC236}">
                    <a16:creationId xmlns:a16="http://schemas.microsoft.com/office/drawing/2014/main" id="{00000000-0008-0000-0100-000026000000}"/>
                  </a:ext>
                </a:extLst>
              </xdr:cNvPr>
              <xdr:cNvSpPr/>
            </xdr:nvSpPr>
            <xdr:spPr>
              <a:xfrm>
                <a:off x="12180189" y="1377344"/>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39" name="Diagrama de flujo: Conector 38" descr="Círculo decorativo">
                <a:extLst>
                  <a:ext uri="{FF2B5EF4-FFF2-40B4-BE49-F238E27FC236}">
                    <a16:creationId xmlns:a16="http://schemas.microsoft.com/office/drawing/2014/main" id="{00000000-0008-0000-0100-000027000000}"/>
                  </a:ext>
                </a:extLst>
              </xdr:cNvPr>
              <xdr:cNvSpPr/>
            </xdr:nvSpPr>
            <xdr:spPr>
              <a:xfrm>
                <a:off x="12328779" y="1345339"/>
                <a:ext cx="161925" cy="164592"/>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40" name="Diagrama de flujo: Conector 39" descr="Círculo decorativo">
                <a:extLst>
                  <a:ext uri="{FF2B5EF4-FFF2-40B4-BE49-F238E27FC236}">
                    <a16:creationId xmlns:a16="http://schemas.microsoft.com/office/drawing/2014/main" id="{00000000-0008-0000-0100-000028000000}"/>
                  </a:ext>
                </a:extLst>
              </xdr:cNvPr>
              <xdr:cNvSpPr/>
            </xdr:nvSpPr>
            <xdr:spPr>
              <a:xfrm rot="10800000">
                <a:off x="12687300" y="1394299"/>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41" name="Diagrama de flujo: Conector 40" descr="Círculo decorativo">
                <a:extLst>
                  <a:ext uri="{FF2B5EF4-FFF2-40B4-BE49-F238E27FC236}">
                    <a16:creationId xmlns:a16="http://schemas.microsoft.com/office/drawing/2014/main" id="{00000000-0008-0000-0100-000029000000}"/>
                  </a:ext>
                </a:extLst>
              </xdr:cNvPr>
              <xdr:cNvSpPr/>
            </xdr:nvSpPr>
            <xdr:spPr>
              <a:xfrm rot="10800000">
                <a:off x="12538710" y="1377337"/>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grpSp>
    </xdr:grpSp>
    <xdr:clientData/>
  </xdr:twoCellAnchor>
</xdr:wsDr>
</file>

<file path=xl/tables/table1.xml><?xml version="1.0" encoding="utf-8"?>
<table xmlns="http://schemas.openxmlformats.org/spreadsheetml/2006/main" id="2" name="HitosPlanDeDesarrollo" displayName="HitosPlanDeDesarrollo" ref="B2:E26" totalsRowShown="0">
  <autoFilter ref="B2:E26"/>
  <tableColumns count="4">
    <tableColumn id="4" name="N.º">
      <calculatedColumnFormula>ROW($A1)</calculatedColumnFormula>
    </tableColumn>
    <tableColumn id="5" name="Posición"/>
    <tableColumn id="1" name="Fecha" dataCellStyle="Fecha"/>
    <tableColumn id="2" name="Hito"/>
  </tableColumns>
  <tableStyleInfo name="Estilo de la tabla del plan de desarrollo del producto" showFirstColumn="1" showLastColumn="0" showRowStripes="1" showColumnStripes="0"/>
  <extLst>
    <ext xmlns:x14="http://schemas.microsoft.com/office/spreadsheetml/2009/9/main" uri="{504A1905-F514-4f6f-8877-14C23A59335A}">
      <x14:table altTextSummary="Especifique la posición para representar los hitos en esta tabla, use números enteros positivos o negativos entre 1 y 3 para indicar si el hito debe estar encima o debajo de la escala de tiempo. Escriba una fecha y un hito correspondiente para cada posición."/>
    </ext>
  </extLst>
</table>
</file>

<file path=xl/tables/table2.xml><?xml version="1.0" encoding="utf-8"?>
<table xmlns="http://schemas.openxmlformats.org/spreadsheetml/2006/main" id="3" name="DatosGráficoDinámico" displayName="DatosGráficoDinámico" ref="B3:D13" totalsRowShown="0">
  <autoFilter ref="B3:D13">
    <filterColumn colId="0" hiddenButton="1"/>
    <filterColumn colId="1" hiddenButton="1"/>
    <filterColumn colId="2" hiddenButton="1"/>
  </autoFilter>
  <tableColumns count="3">
    <tableColumn id="1" name="Fecha" dataDxfId="4">
      <calculatedColumnFormula>IFERROR(IF(LEN(Hitos!D3)=0,"",INDEX(HitosPlanDeDesarrollo[],Hitos!$B3+$B$17,3)),"")</calculatedColumnFormula>
    </tableColumn>
    <tableColumn id="2" name="Eventos" dataDxfId="3">
      <calculatedColumnFormula>IFERROR(IF(LEN(Hitos!E3)=0,"",INDEX(HitosPlanDeDesarrollo[],Hitos!$B3+$B$17,4)),"")</calculatedColumnFormula>
    </tableColumn>
    <tableColumn id="3" name="Posición" dataDxfId="2">
      <calculatedColumnFormula>IFERROR(INDEX(HitosPlanDeDesarrollo[],Hitos!$B3+$B$17,2),"")</calculatedColumnFormula>
    </tableColumn>
  </tableColumns>
  <tableStyleInfo name="Estilo de la tabla del plan de desarrollo del producto" showFirstColumn="1" showLastColumn="0" showRowStripes="1" showColumnStripes="0"/>
  <extLst>
    <ext xmlns:x14="http://schemas.microsoft.com/office/spreadsheetml/2009/9/main" uri="{504A1905-F514-4f6f-8877-14C23A59335A}">
      <x14:table altTextSummary="Esta tabla de contenido del gráfico dinámico se genera de forma automática a partir de los datos de la hoja de cálculo Hitos. Para conservar la capacidad dinámica del gráfico del plan de desarrollo en la hoja de cálculo Plan de desarrollo, no modifique ni elimine nada en esta tabla."/>
    </ext>
  </extLst>
</table>
</file>

<file path=xl/tables/table3.xml><?xml version="1.0" encoding="utf-8"?>
<table xmlns="http://schemas.openxmlformats.org/spreadsheetml/2006/main" id="4" name="IncrementoDesplazamiento" displayName="IncrementoDesplazamiento" ref="B16:B17" totalsRowShown="0" dataDxfId="1">
  <autoFilter ref="B16:B17"/>
  <tableColumns count="1">
    <tableColumn id="1" name="Incremento de la fila" dataDxfId="0"/>
  </tableColumns>
  <tableStyleInfo name="Estilo de la tabla del plan de desarrollo del producto" showFirstColumn="0" showLastColumn="0" showRowStripes="1" showColumnStripes="0"/>
  <extLst>
    <ext xmlns:x14="http://schemas.microsoft.com/office/spreadsheetml/2009/9/main" uri="{504A1905-F514-4f6f-8877-14C23A59335A}">
      <x14:table altTextSummary="La capacidad de desplazamiento por la escala de tiempo del plan de desarrollo es posible con la ayuda de un valor incremental en esta tabla. Si actualiza este valor, se desplazará por la escala de tiempo en incrementos más grandes. El valor predeterminado es 0."/>
    </ext>
  </extLst>
</table>
</file>

<file path=xl/theme/theme1.xml><?xml version="1.0" encoding="utf-8"?>
<a:theme xmlns:a="http://schemas.openxmlformats.org/drawingml/2006/main" name="Desert Sunset">
  <a:themeElements>
    <a:clrScheme name="Desert Sunset">
      <a:dk1>
        <a:sysClr val="windowText" lastClr="000000"/>
      </a:dk1>
      <a:lt1>
        <a:sysClr val="window" lastClr="FFFFFF"/>
      </a:lt1>
      <a:dk2>
        <a:srgbClr val="44546A"/>
      </a:dk2>
      <a:lt2>
        <a:srgbClr val="E7E6E6"/>
      </a:lt2>
      <a:accent1>
        <a:srgbClr val="CB4333"/>
      </a:accent1>
      <a:accent2>
        <a:srgbClr val="E96A63"/>
      </a:accent2>
      <a:accent3>
        <a:srgbClr val="F39863"/>
      </a:accent3>
      <a:accent4>
        <a:srgbClr val="FAC76C"/>
      </a:accent4>
      <a:accent5>
        <a:srgbClr val="6A5B96"/>
      </a:accent5>
      <a:accent6>
        <a:srgbClr val="C27D5C"/>
      </a:accent6>
      <a:hlink>
        <a:srgbClr val="E96187"/>
      </a:hlink>
      <a:folHlink>
        <a:srgbClr val="9B86BE"/>
      </a:folHlink>
    </a:clrScheme>
    <a:fontScheme name="Franklin Gothic">
      <a:majorFont>
        <a:latin typeface="Franklin Gothic Medium" panose="020B0603020102020204"/>
        <a:ea typeface=""/>
        <a:cs typeface=""/>
        <a:font script="Jpan" typeface="HG創英角ｺﾞｼｯｸUB"/>
        <a:font script="Hang" typeface="돋움"/>
        <a:font script="Hans" typeface="隶书"/>
        <a:font script="Hant" typeface="微軟正黑體"/>
        <a:font script="Arab" typeface="Tahoma"/>
        <a:font script="Hebr" typeface="Aharoni"/>
        <a:font script="Thai" typeface="Lily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Franklin Gothic Book" panose="020B0503020102020204"/>
        <a:ea typeface=""/>
        <a:cs typeface=""/>
        <a:font script="Jpan" typeface="HGｺﾞｼｯｸE"/>
        <a:font script="Hang" typeface="돋움"/>
        <a:font script="Hans" typeface="华文楷体"/>
        <a:font script="Hant" typeface="微軟正黑體"/>
        <a:font script="Arab" typeface="Tahoma"/>
        <a:font script="Hebr" typeface="Aharoni"/>
        <a:font script="Thai" typeface="Lily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pageSetUpPr fitToPage="1"/>
  </sheetPr>
  <dimension ref="A1:E27"/>
  <sheetViews>
    <sheetView showGridLines="0" tabSelected="1" workbookViewId="0"/>
  </sheetViews>
  <sheetFormatPr defaultColWidth="8.88671875" defaultRowHeight="15.75" x14ac:dyDescent="0.3"/>
  <cols>
    <col min="1" max="1" width="2.33203125" style="15" customWidth="1"/>
    <col min="2" max="2" width="4.88671875" hidden="1" customWidth="1"/>
    <col min="3" max="3" width="8.88671875" customWidth="1"/>
    <col min="4" max="4" width="15.5546875" customWidth="1"/>
    <col min="5" max="5" width="30.77734375" customWidth="1"/>
    <col min="7" max="11" width="8"/>
  </cols>
  <sheetData>
    <row r="1" spans="1:5" ht="24" x14ac:dyDescent="0.3">
      <c r="A1" s="15" t="s">
        <v>0</v>
      </c>
      <c r="C1" s="11" t="s">
        <v>3</v>
      </c>
      <c r="D1" s="3"/>
      <c r="E1" s="3"/>
    </row>
    <row r="2" spans="1:5" ht="15.75" customHeight="1" x14ac:dyDescent="0.3">
      <c r="A2" s="20" t="s">
        <v>53</v>
      </c>
      <c r="B2" s="5" t="s">
        <v>2</v>
      </c>
      <c r="C2" s="5" t="s">
        <v>4</v>
      </c>
      <c r="D2" s="5" t="s">
        <v>6</v>
      </c>
      <c r="E2" s="5" t="s">
        <v>7</v>
      </c>
    </row>
    <row r="3" spans="1:5" ht="15.75" customHeight="1" x14ac:dyDescent="0.3">
      <c r="A3" s="20" t="s">
        <v>54</v>
      </c>
      <c r="B3" s="14">
        <f>ROW($A1)</f>
        <v>1</v>
      </c>
      <c r="C3" s="14">
        <v>1</v>
      </c>
      <c r="D3" s="21">
        <f ca="1">TODAY()</f>
        <v>43280</v>
      </c>
      <c r="E3" t="s">
        <v>8</v>
      </c>
    </row>
    <row r="4" spans="1:5" ht="31.5" x14ac:dyDescent="0.3">
      <c r="B4" s="14">
        <f t="shared" ref="B4:B26" si="0">ROW($A2)</f>
        <v>2</v>
      </c>
      <c r="C4" s="14">
        <v>-2</v>
      </c>
      <c r="D4" s="21">
        <f ca="1">D3+10</f>
        <v>43290</v>
      </c>
      <c r="E4" s="3" t="s">
        <v>9</v>
      </c>
    </row>
    <row r="5" spans="1:5" ht="47.25" x14ac:dyDescent="0.3">
      <c r="B5" s="14">
        <f t="shared" si="0"/>
        <v>3</v>
      </c>
      <c r="C5" s="14">
        <v>1</v>
      </c>
      <c r="D5" s="21">
        <f ca="1">D4+20</f>
        <v>43310</v>
      </c>
      <c r="E5" s="3" t="s">
        <v>10</v>
      </c>
    </row>
    <row r="6" spans="1:5" x14ac:dyDescent="0.3">
      <c r="B6" s="14">
        <f t="shared" si="0"/>
        <v>4</v>
      </c>
      <c r="C6" s="14">
        <v>-1</v>
      </c>
      <c r="D6" s="21">
        <f ca="1">D5+30</f>
        <v>43340</v>
      </c>
      <c r="E6" t="s">
        <v>11</v>
      </c>
    </row>
    <row r="7" spans="1:5" ht="47.25" x14ac:dyDescent="0.3">
      <c r="B7" s="14">
        <f t="shared" si="0"/>
        <v>5</v>
      </c>
      <c r="C7" s="14">
        <v>-0.5</v>
      </c>
      <c r="D7" s="21">
        <f ca="1">D6+40</f>
        <v>43380</v>
      </c>
      <c r="E7" s="3" t="s">
        <v>12</v>
      </c>
    </row>
    <row r="8" spans="1:5" ht="63" x14ac:dyDescent="0.3">
      <c r="B8" s="14">
        <f t="shared" si="0"/>
        <v>6</v>
      </c>
      <c r="C8" s="14">
        <v>2</v>
      </c>
      <c r="D8" s="21">
        <f ca="1">D7+50</f>
        <v>43430</v>
      </c>
      <c r="E8" s="3" t="s">
        <v>13</v>
      </c>
    </row>
    <row r="9" spans="1:5" x14ac:dyDescent="0.3">
      <c r="B9" s="14">
        <f t="shared" si="0"/>
        <v>7</v>
      </c>
      <c r="C9" s="14">
        <v>0.5</v>
      </c>
      <c r="D9" s="21">
        <f ca="1">D8+60</f>
        <v>43490</v>
      </c>
      <c r="E9" t="s">
        <v>14</v>
      </c>
    </row>
    <row r="10" spans="1:5" x14ac:dyDescent="0.3">
      <c r="B10" s="14">
        <f t="shared" si="0"/>
        <v>8</v>
      </c>
      <c r="C10" s="14">
        <v>-1</v>
      </c>
      <c r="D10" s="21">
        <f ca="1">D9+70</f>
        <v>43560</v>
      </c>
      <c r="E10" t="s">
        <v>15</v>
      </c>
    </row>
    <row r="11" spans="1:5" ht="31.5" x14ac:dyDescent="0.3">
      <c r="B11" s="14">
        <f t="shared" si="0"/>
        <v>9</v>
      </c>
      <c r="C11" s="14">
        <v>0.5</v>
      </c>
      <c r="D11" s="21">
        <f ca="1">D10+80</f>
        <v>43640</v>
      </c>
      <c r="E11" s="3" t="s">
        <v>16</v>
      </c>
    </row>
    <row r="12" spans="1:5" ht="78.75" x14ac:dyDescent="0.3">
      <c r="B12" s="14">
        <f t="shared" si="0"/>
        <v>10</v>
      </c>
      <c r="C12" s="14">
        <v>-2</v>
      </c>
      <c r="D12" s="21">
        <f ca="1">D11+90</f>
        <v>43730</v>
      </c>
      <c r="E12" s="3" t="s">
        <v>17</v>
      </c>
    </row>
    <row r="13" spans="1:5" x14ac:dyDescent="0.3">
      <c r="B13" s="14">
        <f t="shared" si="0"/>
        <v>11</v>
      </c>
      <c r="C13" s="14">
        <v>3</v>
      </c>
      <c r="D13" s="21">
        <f ca="1">D12+100</f>
        <v>43830</v>
      </c>
      <c r="E13" t="s">
        <v>18</v>
      </c>
    </row>
    <row r="14" spans="1:5" x14ac:dyDescent="0.3">
      <c r="B14" s="14">
        <f t="shared" si="0"/>
        <v>12</v>
      </c>
      <c r="C14" s="14">
        <v>-1</v>
      </c>
      <c r="D14" s="21">
        <f ca="1">D13+90</f>
        <v>43920</v>
      </c>
      <c r="E14" t="s">
        <v>19</v>
      </c>
    </row>
    <row r="15" spans="1:5" x14ac:dyDescent="0.3">
      <c r="B15" s="14">
        <f t="shared" si="0"/>
        <v>13</v>
      </c>
      <c r="C15" s="14">
        <v>1</v>
      </c>
      <c r="D15" s="21">
        <f ca="1">D14+80</f>
        <v>44000</v>
      </c>
      <c r="E15" t="s">
        <v>20</v>
      </c>
    </row>
    <row r="16" spans="1:5" x14ac:dyDescent="0.3">
      <c r="B16" s="14">
        <f t="shared" si="0"/>
        <v>14</v>
      </c>
      <c r="C16" s="14">
        <v>1</v>
      </c>
      <c r="D16" s="21">
        <f ca="1">D15+70</f>
        <v>44070</v>
      </c>
      <c r="E16" t="s">
        <v>21</v>
      </c>
    </row>
    <row r="17" spans="1:5" x14ac:dyDescent="0.3">
      <c r="B17" s="14">
        <f t="shared" si="0"/>
        <v>15</v>
      </c>
      <c r="C17" s="14">
        <v>-3</v>
      </c>
      <c r="D17" s="21">
        <f ca="1">D16+60</f>
        <v>44130</v>
      </c>
      <c r="E17" t="s">
        <v>22</v>
      </c>
    </row>
    <row r="18" spans="1:5" x14ac:dyDescent="0.3">
      <c r="B18" s="14">
        <f t="shared" si="0"/>
        <v>16</v>
      </c>
      <c r="C18" s="14">
        <v>-2</v>
      </c>
      <c r="D18" s="21">
        <f ca="1">D17+50</f>
        <v>44180</v>
      </c>
      <c r="E18" t="s">
        <v>23</v>
      </c>
    </row>
    <row r="19" spans="1:5" x14ac:dyDescent="0.3">
      <c r="B19" s="14">
        <f t="shared" si="0"/>
        <v>17</v>
      </c>
      <c r="C19" s="14">
        <v>2</v>
      </c>
      <c r="D19" s="21">
        <f ca="1">D18+40</f>
        <v>44220</v>
      </c>
      <c r="E19" t="s">
        <v>24</v>
      </c>
    </row>
    <row r="20" spans="1:5" x14ac:dyDescent="0.3">
      <c r="B20" s="14">
        <f t="shared" si="0"/>
        <v>18</v>
      </c>
      <c r="C20" s="14">
        <v>-1</v>
      </c>
      <c r="D20" s="21">
        <f ca="1">D19+30</f>
        <v>44250</v>
      </c>
      <c r="E20" t="s">
        <v>22</v>
      </c>
    </row>
    <row r="21" spans="1:5" x14ac:dyDescent="0.3">
      <c r="B21" s="14">
        <f t="shared" si="0"/>
        <v>19</v>
      </c>
      <c r="C21" s="14">
        <v>1</v>
      </c>
      <c r="D21" s="21">
        <f ca="1">D20+20</f>
        <v>44270</v>
      </c>
      <c r="E21" t="s">
        <v>23</v>
      </c>
    </row>
    <row r="22" spans="1:5" x14ac:dyDescent="0.3">
      <c r="B22" s="14">
        <f t="shared" si="0"/>
        <v>20</v>
      </c>
      <c r="C22" s="14">
        <v>-3</v>
      </c>
      <c r="D22" s="21">
        <f ca="1">D21+10</f>
        <v>44280</v>
      </c>
      <c r="E22" t="s">
        <v>24</v>
      </c>
    </row>
    <row r="23" spans="1:5" x14ac:dyDescent="0.3">
      <c r="B23" s="14">
        <f t="shared" si="0"/>
        <v>21</v>
      </c>
      <c r="C23" s="14">
        <v>2</v>
      </c>
      <c r="D23" s="21">
        <f ca="1">D22+20</f>
        <v>44300</v>
      </c>
      <c r="E23" t="s">
        <v>25</v>
      </c>
    </row>
    <row r="24" spans="1:5" x14ac:dyDescent="0.3">
      <c r="B24" s="14">
        <f t="shared" si="0"/>
        <v>22</v>
      </c>
      <c r="C24" s="14">
        <v>1</v>
      </c>
      <c r="D24" s="21">
        <f ca="1">D23+30</f>
        <v>44330</v>
      </c>
      <c r="E24" t="s">
        <v>26</v>
      </c>
    </row>
    <row r="25" spans="1:5" x14ac:dyDescent="0.3">
      <c r="B25" s="14">
        <f t="shared" si="0"/>
        <v>23</v>
      </c>
      <c r="C25" s="14">
        <v>-3</v>
      </c>
      <c r="D25" s="21">
        <f ca="1">D24+40</f>
        <v>44370</v>
      </c>
      <c r="E25" t="s">
        <v>27</v>
      </c>
    </row>
    <row r="26" spans="1:5" x14ac:dyDescent="0.3">
      <c r="B26" s="14">
        <f t="shared" si="0"/>
        <v>24</v>
      </c>
      <c r="C26" s="14">
        <v>-2</v>
      </c>
      <c r="D26" s="21">
        <f ca="1">D25+50</f>
        <v>44420</v>
      </c>
      <c r="E26" t="s">
        <v>28</v>
      </c>
    </row>
    <row r="27" spans="1:5" x14ac:dyDescent="0.3">
      <c r="A27" s="15" t="s">
        <v>1</v>
      </c>
      <c r="C27" s="16" t="s">
        <v>5</v>
      </c>
      <c r="D27" s="16"/>
      <c r="E27" s="16"/>
    </row>
  </sheetData>
  <printOptions horizontalCentered="1"/>
  <pageMargins left="0.7" right="0.7" top="0.75" bottom="0.75" header="0.3" footer="0.3"/>
  <pageSetup paperSize="9" fitToHeight="0" orientation="portrait" horizontalDpi="1200" verticalDpi="1200" r:id="rId1"/>
  <headerFooter differentFirst="1">
    <oddFooter>Page &amp;P of &amp;N</oddFooter>
  </headerFooter>
  <ignoredErrors>
    <ignoredError sqref="D22 D13" formula="1"/>
  </ignoredErrors>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8" tint="-0.499984740745262"/>
    <pageSetUpPr fitToPage="1"/>
  </sheetPr>
  <dimension ref="A1:D3"/>
  <sheetViews>
    <sheetView showGridLines="0" workbookViewId="0"/>
  </sheetViews>
  <sheetFormatPr defaultColWidth="8.88671875" defaultRowHeight="15.75" x14ac:dyDescent="0.3"/>
  <cols>
    <col min="1" max="1" width="2.77734375" style="17" customWidth="1"/>
    <col min="2" max="3" width="40.77734375" style="13" customWidth="1"/>
    <col min="4" max="4" width="55" style="13" customWidth="1"/>
    <col min="5" max="5" width="14.21875" style="13" customWidth="1"/>
    <col min="6" max="16384" width="8.88671875" style="13"/>
  </cols>
  <sheetData>
    <row r="1" spans="1:4" ht="255" customHeight="1" x14ac:dyDescent="0.3">
      <c r="A1" s="17" t="s">
        <v>29</v>
      </c>
    </row>
    <row r="2" spans="1:4" ht="246.75" customHeight="1" x14ac:dyDescent="0.3"/>
    <row r="3" spans="1:4" ht="18" customHeight="1" x14ac:dyDescent="0.3">
      <c r="A3" s="18"/>
      <c r="B3" s="12">
        <f ca="1">'Datos del gráfico'!B20</f>
        <v>2018</v>
      </c>
      <c r="C3" s="12" t="str">
        <f ca="1">'Datos del gráfico'!B21</f>
        <v/>
      </c>
      <c r="D3" s="12">
        <f ca="1">'Datos del gráfico'!B22</f>
        <v>2019</v>
      </c>
    </row>
  </sheetData>
  <printOptions horizontalCentered="1"/>
  <pageMargins left="0.25" right="0.25" top="0.75" bottom="0.75" header="0.3" footer="0.3"/>
  <pageSetup paperSize="9" scale="89" orientation="landscape" horizontalDpi="1200" verticalDpi="1200" r:id="rId1"/>
  <headerFooter differentFirst="1">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Barra de desplazamiento 2">
              <controlPr defaultSize="0" autoPict="0" altText="Scrollbar to navigate the roadmap">
                <anchor>
                  <from>
                    <xdr:col>0</xdr:col>
                    <xdr:colOff>9525</xdr:colOff>
                    <xdr:row>2</xdr:row>
                    <xdr:rowOff>209550</xdr:rowOff>
                  </from>
                  <to>
                    <xdr:col>3</xdr:col>
                    <xdr:colOff>4705350</xdr:colOff>
                    <xdr:row>4</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5"/>
  <sheetViews>
    <sheetView showGridLines="0" workbookViewId="0"/>
  </sheetViews>
  <sheetFormatPr defaultColWidth="8.88671875" defaultRowHeight="15.75" x14ac:dyDescent="0.3"/>
  <cols>
    <col min="1" max="1" width="78.77734375" customWidth="1"/>
  </cols>
  <sheetData>
    <row r="1" spans="1:1" ht="24" x14ac:dyDescent="0.3">
      <c r="A1" s="1" t="s">
        <v>30</v>
      </c>
    </row>
    <row r="2" spans="1:1" ht="16.5" x14ac:dyDescent="0.3">
      <c r="A2" s="2" t="s">
        <v>31</v>
      </c>
    </row>
    <row r="3" spans="1:1" ht="267.75" x14ac:dyDescent="0.3">
      <c r="A3" s="3" t="s">
        <v>32</v>
      </c>
    </row>
    <row r="4" spans="1:1" ht="94.5" x14ac:dyDescent="0.3">
      <c r="A4" s="3" t="s">
        <v>33</v>
      </c>
    </row>
    <row r="5" spans="1:1" x14ac:dyDescent="0.3">
      <c r="A5" t="s">
        <v>34</v>
      </c>
    </row>
  </sheetData>
  <printOptions horizontalCentered="1"/>
  <pageMargins left="0.7" right="0.7" top="0.75" bottom="0.75" header="0.3" footer="0.3"/>
  <pageSetup paperSize="9" scale="97" orientation="portrait" horizontalDpi="1200" verticalDpi="1200" r:id="rId1"/>
  <headerFooter differentFirst="1">
    <oddFooter>Page &amp;P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pageSetUpPr fitToPage="1"/>
  </sheetPr>
  <dimension ref="A1:D32"/>
  <sheetViews>
    <sheetView showGridLines="0" workbookViewId="0"/>
  </sheetViews>
  <sheetFormatPr defaultColWidth="8.88671875" defaultRowHeight="15.75" x14ac:dyDescent="0.3"/>
  <cols>
    <col min="1" max="1" width="2.33203125" style="15" customWidth="1"/>
    <col min="2" max="2" width="27.5546875" customWidth="1"/>
    <col min="3" max="3" width="10.21875" customWidth="1"/>
    <col min="4" max="4" width="9.6640625" customWidth="1"/>
    <col min="6" max="6" width="15.77734375" bestFit="1" customWidth="1"/>
  </cols>
  <sheetData>
    <row r="1" spans="1:4" ht="46.5" customHeight="1" x14ac:dyDescent="0.3">
      <c r="A1" s="15" t="s">
        <v>35</v>
      </c>
      <c r="B1" s="11" t="s">
        <v>40</v>
      </c>
    </row>
    <row r="2" spans="1:4" ht="16.5" x14ac:dyDescent="0.3">
      <c r="A2" s="15" t="s">
        <v>36</v>
      </c>
      <c r="B2" s="4" t="s">
        <v>41</v>
      </c>
    </row>
    <row r="3" spans="1:4" x14ac:dyDescent="0.3">
      <c r="A3" s="15" t="s">
        <v>37</v>
      </c>
      <c r="B3" t="s">
        <v>6</v>
      </c>
      <c r="C3" t="s">
        <v>48</v>
      </c>
      <c r="D3" t="s">
        <v>4</v>
      </c>
    </row>
    <row r="4" spans="1:4" x14ac:dyDescent="0.3">
      <c r="B4" s="9">
        <f ca="1">IFERROR(IF(LEN(Hitos!D3)=0,"",INDEX(HitosPlanDeDesarrollo[],Hitos!$B3+$B$17,3)),"")</f>
        <v>43280</v>
      </c>
      <c r="C4" s="19" t="str">
        <f>IFERROR(IF(LEN(Hitos!E3)=0,"",INDEX(HitosPlanDeDesarrollo[],Hitos!$B3+$B$17,4)),"")</f>
        <v>Inicio</v>
      </c>
      <c r="D4" s="6">
        <f>IFERROR(INDEX(HitosPlanDeDesarrollo[],Hitos!$B3+$B$17,2),"")</f>
        <v>1</v>
      </c>
    </row>
    <row r="5" spans="1:4" ht="47.25" x14ac:dyDescent="0.3">
      <c r="B5" s="9">
        <f ca="1">IFERROR(IF(LEN(Hitos!D4)=0,"",INDEX(HitosPlanDeDesarrollo[],Hitos!$B4+$B$17,3)),"")</f>
        <v>43290</v>
      </c>
      <c r="C5" s="19" t="str">
        <f>IFERROR(IF(LEN(Hitos!E4)=0,"",INDEX(HitosPlanDeDesarrollo[],Hitos!$B4+$B$17,4)),"")</f>
        <v>Análisis de problemas
actividad 1</v>
      </c>
      <c r="D5" s="6">
        <f>IFERROR(INDEX(HitosPlanDeDesarrollo[],Hitos!$B4+$B$17,2),"")</f>
        <v>-2</v>
      </c>
    </row>
    <row r="6" spans="1:4" ht="78.75" x14ac:dyDescent="0.3">
      <c r="B6" s="9">
        <f ca="1">IFERROR(IF(LEN(Hitos!D5)=0,"",INDEX(HitosPlanDeDesarrollo[],Hitos!$B5+$B$17,3)),"")</f>
        <v>43310</v>
      </c>
      <c r="C6" s="19" t="str">
        <f>IFERROR(IF(LEN(Hitos!E5)=0,"",INDEX(HitosPlanDeDesarrollo[],Hitos!$B5+$B$17,4)),"")</f>
        <v>Desarrollar la oportunidad de negocio
actividad 1
actividad 2</v>
      </c>
      <c r="D6" s="6">
        <f>IFERROR(INDEX(HitosPlanDeDesarrollo[],Hitos!$B5+$B$17,2),"")</f>
        <v>1</v>
      </c>
    </row>
    <row r="7" spans="1:4" ht="35.25" customHeight="1" x14ac:dyDescent="0.3">
      <c r="B7" s="9">
        <f ca="1">IFERROR(IF(LEN(Hitos!D6)=0,"",INDEX(HitosPlanDeDesarrollo[],Hitos!$B6+$B$17,3)),"")</f>
        <v>43340</v>
      </c>
      <c r="C7" s="19" t="str">
        <f>IFERROR(IF(LEN(Hitos!E6)=0,"",INDEX(HitosPlanDeDesarrollo[],Hitos!$B6+$B$17,4)),"")</f>
        <v>Revisar la presentación</v>
      </c>
      <c r="D7" s="6">
        <f>IFERROR(INDEX(HitosPlanDeDesarrollo[],Hitos!$B6+$B$17,2),"")</f>
        <v>-1</v>
      </c>
    </row>
    <row r="8" spans="1:4" ht="78.75" x14ac:dyDescent="0.3">
      <c r="B8" s="9">
        <f ca="1">IFERROR(IF(LEN(Hitos!D7)=0,"",INDEX(HitosPlanDeDesarrollo[],Hitos!$B7+$B$17,3)),"")</f>
        <v>43380</v>
      </c>
      <c r="C8" s="19" t="str">
        <f>IFERROR(IF(LEN(Hitos!E7)=0,"",INDEX(HitosPlanDeDesarrollo[],Hitos!$B7+$B$17,4)),"")</f>
        <v>Ejecución de la puesta en marcha
actividad 1
actividad 2</v>
      </c>
      <c r="D8" s="6">
        <f>IFERROR(INDEX(HitosPlanDeDesarrollo[],Hitos!$B7+$B$17,2),"")</f>
        <v>-0.5</v>
      </c>
    </row>
    <row r="9" spans="1:4" ht="78.75" x14ac:dyDescent="0.3">
      <c r="B9" s="9">
        <f ca="1">IFERROR(IF(LEN(Hitos!D8)=0,"",INDEX(HitosPlanDeDesarrollo[],Hitos!$B8+$B$17,3)),"")</f>
        <v>43430</v>
      </c>
      <c r="C9" s="19" t="str">
        <f>IFERROR(IF(LEN(Hitos!E8)=0,"",INDEX(HitosPlanDeDesarrollo[],Hitos!$B8+$B$17,4)),"")</f>
        <v>Ejecución de la alineación
actividad 1
actividad 2
actividad 3</v>
      </c>
      <c r="D9" s="6">
        <f>IFERROR(INDEX(HitosPlanDeDesarrollo[],Hitos!$B8+$B$17,2),"")</f>
        <v>2</v>
      </c>
    </row>
    <row r="10" spans="1:4" ht="47.25" x14ac:dyDescent="0.3">
      <c r="B10" s="9">
        <f ca="1">IFERROR(IF(LEN(Hitos!D9)=0,"",INDEX(HitosPlanDeDesarrollo[],Hitos!$B9+$B$17,3)),"")</f>
        <v>43490</v>
      </c>
      <c r="C10" s="19" t="str">
        <f>IFERROR(IF(LEN(Hitos!E9)=0,"",INDEX(HitosPlanDeDesarrollo[],Hitos!$B9+$B$17,4)),"")</f>
        <v>Aprobación de las partes interesadas</v>
      </c>
      <c r="D10" s="6">
        <f>IFERROR(INDEX(HitosPlanDeDesarrollo[],Hitos!$B9+$B$17,2),"")</f>
        <v>0.5</v>
      </c>
    </row>
    <row r="11" spans="1:4" ht="31.5" x14ac:dyDescent="0.3">
      <c r="B11" s="9">
        <f ca="1">IFERROR(IF(LEN(Hitos!D10)=0,"",INDEX(HitosPlanDeDesarrollo[],Hitos!$B10+$B$17,3)),"")</f>
        <v>43560</v>
      </c>
      <c r="C11" s="19" t="str">
        <f>IFERROR(IF(LEN(Hitos!E10)=0,"",INDEX(HitosPlanDeDesarrollo[],Hitos!$B10+$B$17,4)),"")</f>
        <v>Selección de recursos</v>
      </c>
      <c r="D11" s="6">
        <f>IFERROR(INDEX(HitosPlanDeDesarrollo[],Hitos!$B10+$B$17,2),"")</f>
        <v>-1</v>
      </c>
    </row>
    <row r="12" spans="1:4" ht="47.25" x14ac:dyDescent="0.3">
      <c r="B12" s="9">
        <f ca="1">IFERROR(IF(LEN(Hitos!D11)=0,"",INDEX(HitosPlanDeDesarrollo[],Hitos!$B11+$B$17,3)),"")</f>
        <v>43640</v>
      </c>
      <c r="C12" s="19" t="str">
        <f>IFERROR(IF(LEN(Hitos!E11)=0,"",INDEX(HitosPlanDeDesarrollo[],Hitos!$B11+$B$17,4)),"")</f>
        <v xml:space="preserve">Creación de equipo
actividad 1 </v>
      </c>
      <c r="D12" s="6">
        <f>IFERROR(INDEX(HitosPlanDeDesarrollo[],Hitos!$B11+$B$17,2),"")</f>
        <v>0.5</v>
      </c>
    </row>
    <row r="13" spans="1:4" ht="94.5" x14ac:dyDescent="0.3">
      <c r="B13" s="9">
        <f ca="1">IFERROR(IF(LEN(Hitos!D12)=0,"",INDEX(HitosPlanDeDesarrollo[],Hitos!$B12+$B$17,3)),"")</f>
        <v>43730</v>
      </c>
      <c r="C13" s="19" t="str">
        <f>IFERROR(IF(LEN(Hitos!E12)=0,"",INDEX(HitosPlanDeDesarrollo[],Hitos!$B12+$B$17,4)),"")</f>
        <v>Puesta en marcha del equipo
actividad 1 
actividad 2
actividad 3
actividad 4</v>
      </c>
      <c r="D13" s="6">
        <f>IFERROR(INDEX(HitosPlanDeDesarrollo[],Hitos!$B12+$B$17,2),"")</f>
        <v>-2</v>
      </c>
    </row>
    <row r="15" spans="1:4" ht="16.5" x14ac:dyDescent="0.3">
      <c r="A15" s="15" t="s">
        <v>38</v>
      </c>
      <c r="B15" s="4" t="s">
        <v>42</v>
      </c>
    </row>
    <row r="16" spans="1:4" x14ac:dyDescent="0.3">
      <c r="B16" t="s">
        <v>43</v>
      </c>
    </row>
    <row r="17" spans="1:3" x14ac:dyDescent="0.3">
      <c r="B17" s="10">
        <v>0</v>
      </c>
    </row>
    <row r="19" spans="1:3" ht="16.5" customHeight="1" x14ac:dyDescent="0.3">
      <c r="A19" s="20" t="s">
        <v>52</v>
      </c>
      <c r="B19" s="4" t="s">
        <v>44</v>
      </c>
    </row>
    <row r="20" spans="1:3" x14ac:dyDescent="0.3">
      <c r="B20">
        <f ca="1">IFERROR(YEAR(B4),"")</f>
        <v>2018</v>
      </c>
      <c r="C20" t="s">
        <v>49</v>
      </c>
    </row>
    <row r="21" spans="1:3" x14ac:dyDescent="0.3">
      <c r="B21" t="str">
        <f ca="1">IFERROR(IF(YEAR($B$9)=$B$20,"",YEAR($B$9)),"")</f>
        <v/>
      </c>
      <c r="C21" t="s">
        <v>50</v>
      </c>
    </row>
    <row r="22" spans="1:3" x14ac:dyDescent="0.3">
      <c r="B22">
        <f ca="1">IFERROR(IF(YEAR($B$13)=$B$20,"",YEAR($B$13)),"")</f>
        <v>2019</v>
      </c>
      <c r="C22" t="s">
        <v>51</v>
      </c>
    </row>
    <row r="24" spans="1:3" ht="16.5" x14ac:dyDescent="0.3">
      <c r="A24" s="15" t="s">
        <v>39</v>
      </c>
      <c r="B24" s="4" t="s">
        <v>45</v>
      </c>
      <c r="C24" s="22">
        <f ca="1">B4</f>
        <v>43280</v>
      </c>
    </row>
    <row r="25" spans="1:3" ht="16.5" x14ac:dyDescent="0.3">
      <c r="B25" s="4" t="s">
        <v>46</v>
      </c>
      <c r="C25" s="22">
        <f ca="1">B9</f>
        <v>43430</v>
      </c>
    </row>
    <row r="26" spans="1:3" ht="16.5" x14ac:dyDescent="0.3">
      <c r="B26" s="8" t="s">
        <v>47</v>
      </c>
      <c r="C26" s="22">
        <f ca="1">B13</f>
        <v>43730</v>
      </c>
    </row>
    <row r="27" spans="1:3" x14ac:dyDescent="0.3">
      <c r="B27" s="7"/>
    </row>
    <row r="28" spans="1:3" x14ac:dyDescent="0.3">
      <c r="B28" s="7"/>
    </row>
    <row r="29" spans="1:3" x14ac:dyDescent="0.3">
      <c r="B29" s="7"/>
    </row>
    <row r="30" spans="1:3" x14ac:dyDescent="0.3">
      <c r="B30" s="7"/>
    </row>
    <row r="31" spans="1:3" x14ac:dyDescent="0.3">
      <c r="B31" s="7"/>
    </row>
    <row r="32" spans="1:3" x14ac:dyDescent="0.3">
      <c r="B32" s="7"/>
    </row>
  </sheetData>
  <printOptions horizontalCentered="1"/>
  <pageMargins left="0.7" right="0.7" top="0.75" bottom="0.75" header="0.3" footer="0.3"/>
  <pageSetup paperSize="9" scale="57" fitToHeight="0" orientation="portrait" horizontalDpi="1200" verticalDpi="1200" r:id="rId1"/>
  <headerFooter differentFirst="1">
    <oddFooter>Page &amp;P of &amp;N</oddFooter>
  </headerFooter>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Hitos</vt:lpstr>
      <vt:lpstr>Plan de desarrollo</vt:lpstr>
      <vt:lpstr>Información</vt:lpstr>
      <vt:lpstr>Datos del gráfico</vt:lpstr>
      <vt:lpstr>Hitos!Print_Titles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2018-06-29T13:43:55Z</dcterms:created>
  <dcterms:modified xsi:type="dcterms:W3CDTF">2018-06-29T13:43:55Z</dcterms:modified>
</cp:coreProperties>
</file>