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worksheets/sheet81.xml" ContentType="application/vnd.openxmlformats-officedocument.spreadsheetml.worksheet+xml"/>
  <Override PartName="/xl/tables/table81.xml" ContentType="application/vnd.openxmlformats-officedocument.spreadsheetml.table+xml"/>
  <Override PartName="/xl/theme/theme11.xml" ContentType="application/vnd.openxmlformats-officedocument.theme+xml"/>
  <Override PartName="/customXml/item2.xml" ContentType="application/xml"/>
  <Override PartName="/customXml/itemProps21.xml" ContentType="application/vnd.openxmlformats-officedocument.customXmlProperties+xml"/>
  <Override PartName="/xl/worksheets/sheet32.xml" ContentType="application/vnd.openxmlformats-officedocument.spreadsheetml.worksheet+xml"/>
  <Override PartName="/xl/tables/table32.xml" ContentType="application/vnd.openxmlformats-officedocument.spreadsheetml.table+xml"/>
  <Override PartName="/xl/worksheets/sheet73.xml" ContentType="application/vnd.openxmlformats-officedocument.spreadsheetml.worksheet+xml"/>
  <Override PartName="/xl/tables/table73.xml" ContentType="application/vnd.openxmlformats-officedocument.spreadsheetml.table+xml"/>
  <Override PartName="/xl/worksheets/sheet124.xml" ContentType="application/vnd.openxmlformats-officedocument.spreadsheetml.worksheet+xml"/>
  <Override PartName="/xl/tables/table124.xml" ContentType="application/vnd.openxmlformats-officedocument.spreadsheetml.table+xml"/>
  <Override PartName="/customXml/item12.xml" ContentType="application/xml"/>
  <Override PartName="/customXml/itemProps12.xml" ContentType="application/vnd.openxmlformats-officedocument.customXmlProperties+xml"/>
  <Override PartName="/xl/worksheets/sheet25.xml" ContentType="application/vnd.openxmlformats-officedocument.spreadsheetml.worksheet+xml"/>
  <Override PartName="/xl/tables/table25.xml" ContentType="application/vnd.openxmlformats-officedocument.spreadsheetml.table+xml"/>
  <Override PartName="/xl/calcChain.xml" ContentType="application/vnd.openxmlformats-officedocument.spreadsheetml.calcChain+xml"/>
  <Override PartName="/xl/worksheets/sheet16.xml" ContentType="application/vnd.openxmlformats-officedocument.spreadsheetml.worksheet+xml"/>
  <Override PartName="/xl/tables/table16.xml" ContentType="application/vnd.openxmlformats-officedocument.spreadsheetml.table+xml"/>
  <Override PartName="/xl/worksheets/sheet67.xml" ContentType="application/vnd.openxmlformats-officedocument.spreadsheetml.worksheet+xml"/>
  <Override PartName="/xl/tables/table67.xml" ContentType="application/vnd.openxmlformats-officedocument.spreadsheetml.table+xml"/>
  <Override PartName="/xl/worksheets/sheet118.xml" ContentType="application/vnd.openxmlformats-officedocument.spreadsheetml.worksheet+xml"/>
  <Override PartName="/xl/tables/table118.xml" ContentType="application/vnd.openxmlformats-officedocument.spreadsheetml.table+xml"/>
  <Override PartName="/xl/worksheets/sheet59.xml" ContentType="application/vnd.openxmlformats-officedocument.spreadsheetml.worksheet+xml"/>
  <Override PartName="/xl/tables/table59.xml" ContentType="application/vnd.openxmlformats-officedocument.spreadsheetml.table+xml"/>
  <Override PartName="/xl/sharedStrings.xml" ContentType="application/vnd.openxmlformats-officedocument.spreadsheetml.sharedStrings+xml"/>
  <Override PartName="/xl/worksheets/sheet1010.xml" ContentType="application/vnd.openxmlformats-officedocument.spreadsheetml.worksheet+xml"/>
  <Override PartName="/xl/tables/table1010.xml" ContentType="application/vnd.openxmlformats-officedocument.spreadsheetml.table+xml"/>
  <Override PartName="/customXml/item33.xml" ContentType="application/xml"/>
  <Override PartName="/customXml/itemProps33.xml" ContentType="application/vnd.openxmlformats-officedocument.customXmlProperties+xml"/>
  <Override PartName="/xl/worksheets/sheet411.xml" ContentType="application/vnd.openxmlformats-officedocument.spreadsheetml.worksheet+xml"/>
  <Override PartName="/xl/tables/table411.xml" ContentType="application/vnd.openxmlformats-officedocument.spreadsheetml.table+xml"/>
  <Override PartName="/xl/worksheets/sheet912.xml" ContentType="application/vnd.openxmlformats-officedocument.spreadsheetml.worksheet+xml"/>
  <Override PartName="/xl/tables/table912.xml" ContentType="application/vnd.openxmlformats-officedocument.spreadsheetml.table+xml"/>
  <Override PartName="/xl/styles.xml" ContentType="application/vnd.openxmlformats-officedocument.spreadsheetml.styl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0"/>
  <workbookPr filterPrivacy="1" codeName="ThisWorkbook" autoCompressPictures="0"/>
  <xr:revisionPtr revIDLastSave="75" documentId="13_ncr:1_{1AF7479B-4355-488A-A271-65AF07A88280}" xr6:coauthVersionLast="47" xr6:coauthVersionMax="47" xr10:uidLastSave="{EB947C74-5F6E-450E-B217-F5CDFE4BD8EA}"/>
  <bookViews>
    <workbookView xWindow="-120" yWindow="-120" windowWidth="38520" windowHeight="19665" tabRatio="741" xr2:uid="{00000000-000D-0000-FFFF-FFFF00000000}"/>
  </bookViews>
  <sheets>
    <sheet name="Ene" sheetId="1" r:id="rId1"/>
    <sheet name="Feb" sheetId="6" r:id="rId2"/>
    <sheet name="Mar" sheetId="17" r:id="rId3"/>
    <sheet name="Abr" sheetId="18" r:id="rId4"/>
    <sheet name="May" sheetId="19" r:id="rId5"/>
    <sheet name="Jun" sheetId="20" r:id="rId6"/>
    <sheet name="Jul" sheetId="21" r:id="rId7"/>
    <sheet name="Ago" sheetId="22" r:id="rId8"/>
    <sheet name="Sep" sheetId="23" r:id="rId9"/>
    <sheet name="Oct" sheetId="24" r:id="rId10"/>
    <sheet name="Nov" sheetId="25" r:id="rId11"/>
    <sheet name="Dic" sheetId="26" r:id="rId12"/>
  </sheets>
  <definedNames>
    <definedName name="AbrDom1">DATE(AñoCalendario,4,1)-WEEKDAY(DATE(AñoCalendario,4,1))+1</definedName>
    <definedName name="AgoDom1">DATE(AñoCalendario,8,1)-WEEKDAY(DATE(AñoCalendario,8,1))+1</definedName>
    <definedName name="AñoCalendario">Ene!$B$1</definedName>
    <definedName name="AssignmentDays" localSheetId="3">Abr!$K$2:$K$31</definedName>
    <definedName name="AssignmentDays" localSheetId="7">Ago!$K$2:$K$31</definedName>
    <definedName name="AssignmentDays" localSheetId="11">Dic!$K$2:$K$31</definedName>
    <definedName name="AssignmentDays" localSheetId="1">Feb!$K$2:$K$31</definedName>
    <definedName name="AssignmentDays" localSheetId="6">Jul!$K$2:$K$31</definedName>
    <definedName name="AssignmentDays" localSheetId="5">Jun!$K$2:$K$31</definedName>
    <definedName name="AssignmentDays" localSheetId="2">Mar!$K$2:$K$31</definedName>
    <definedName name="AssignmentDays" localSheetId="4">May!$K$2:$K$31</definedName>
    <definedName name="AssignmentDays" localSheetId="10">Nov!$K$2:$K$31</definedName>
    <definedName name="AssignmentDays" localSheetId="9">Oct!$K$2:$K$31</definedName>
    <definedName name="AssignmentDays" localSheetId="8">Sep!$K$2:$K$31</definedName>
    <definedName name="AssignmentDays">Ene!$K$2:$K$31</definedName>
    <definedName name="ColumnTitle1">JanuaryAssignments[[#Headers],[Día de la semana]]</definedName>
    <definedName name="ColumnTitle4">AprilAssignments[[#Headers],[Día de la semana]]</definedName>
    <definedName name="ColumnTitle5">MayAssignments[[#Headers],[Día de la semana]]</definedName>
    <definedName name="ColumnTitle6">JuneAssignments[[#Headers],[Día de la semana]]</definedName>
    <definedName name="ColumnTitle7">JulyAssignments[[#Headers],[Día de la semana]]</definedName>
    <definedName name="ColumnTitle8">AugustAssignments[[#Headers],[Día de la semana]]</definedName>
    <definedName name="ColumnTitleRegion1..I8.1">Ene!$C$2</definedName>
    <definedName name="ColumnTitleRegion1..I8.10">Oct!$C$2</definedName>
    <definedName name="ColumnTitleRegion1..I8.11">Nov!$C$2</definedName>
    <definedName name="ColumnTitleRegion1..I8.12">Dic!$C$2</definedName>
    <definedName name="ColumnTitleRegion1..I8.2">Feb!$C$2</definedName>
    <definedName name="ColumnTitleRegion1..I8.3">Mar!$C$2</definedName>
    <definedName name="ColumnTitleRegion1..I8.4">Abr!$C$2</definedName>
    <definedName name="ColumnTitleRegion1..I8.5">May!$C$2</definedName>
    <definedName name="ColumnTitleRegion1..I8.6">Jun!$C$2</definedName>
    <definedName name="ColumnTitleRegion1..I8.7">Jul!$C$2</definedName>
    <definedName name="ColumnTitleRegion1..I8.8">Ago!$C$2</definedName>
    <definedName name="ColumnTitleRegion1..I8.9">Sep!$C$2</definedName>
    <definedName name="DecSun1">DATE(AñoCalendario,12,1)-WEEKDAY(DATE(AñoCalendario,12,1))+1</definedName>
    <definedName name="FebSun1">DATE(AñoCalendario,2,1)-WEEKDAY(DATE(AñoCalendario,2,1))+1</definedName>
    <definedName name="ImportantDatesTable" localSheetId="3">Abr!$K$2:$L$6</definedName>
    <definedName name="ImportantDatesTable" localSheetId="7">Ago!$K$2:$L$6</definedName>
    <definedName name="ImportantDatesTable" localSheetId="11">Dic!$K$2:$L$6</definedName>
    <definedName name="ImportantDatesTable" localSheetId="1">Feb!$K$2:$L$6</definedName>
    <definedName name="ImportantDatesTable" localSheetId="6">Jul!$K$2:$L$6</definedName>
    <definedName name="ImportantDatesTable" localSheetId="5">Jun!$K$2:$L$6</definedName>
    <definedName name="ImportantDatesTable" localSheetId="2">Mar!$K$2:$L$6</definedName>
    <definedName name="ImportantDatesTable" localSheetId="4">May!$K$2:$L$6</definedName>
    <definedName name="ImportantDatesTable" localSheetId="10">Nov!$K$2:$L$6</definedName>
    <definedName name="ImportantDatesTable" localSheetId="9">Oct!$K$2:$L$6</definedName>
    <definedName name="ImportantDatesTable" localSheetId="8">Sep!$K$2:$L$6</definedName>
    <definedName name="ImportantDatesTable">Ene!$K$2:$L$6</definedName>
    <definedName name="JanSun1">DATE(AñoCalendario,1,1)-WEEKDAY(DATE(AñoCalendario,1,1))+1</definedName>
    <definedName name="JulSun1">DATE(AñoCalendario,7,1)-WEEKDAY(DATE(AñoCalendario,7,1))+1</definedName>
    <definedName name="JunSun1">DATE(AñoCalendario,6,1)-WEEKDAY(DATE(AñoCalendario,6,1))+1</definedName>
    <definedName name="MarSun1">DATE(AñoCalendario,3,1)-WEEKDAY(DATE(AñoCalendario,3,1))+1</definedName>
    <definedName name="MaySun1">DATE(AñoCalendario,5,1)-WEEKDAY(DATE(AñoCalendario,5,1))+1</definedName>
    <definedName name="NovSun1">DATE(AñoCalendario,11,1)-WEEKDAY(DATE(AñoCalendario,11,1))+1</definedName>
    <definedName name="OctSun1">DATE(AñoCalendario,10,1)-WEEKDAY(DATE(AñoCalendario,10,1))+1</definedName>
    <definedName name="RegiónDeTítulo2..I31.2">Feb!$A$11</definedName>
    <definedName name="RegiónDeTítulo2..I31.6">Jun!$A$11</definedName>
    <definedName name="RegiónDeTítulo2..I31.7">Jul!$A$11</definedName>
    <definedName name="RegiónDeTítulo2..I31.8">Ago!$A$11</definedName>
    <definedName name="RegiónDeTítulo2..I31.9">Sep!$A$11</definedName>
    <definedName name="SepSun1">DATE(AñoCalendario,9,1)-WEEKDAY(DATE(AñoCalendario,9,1))+1</definedName>
    <definedName name="TitleRegion2..I31.1">Ene!$A$11</definedName>
    <definedName name="TitleRegion2..I31.10">Oct!$A$11</definedName>
    <definedName name="TitleRegion2..I31.11">Nov!$A$11</definedName>
    <definedName name="TitleRegion2..I31.12">Dic!$A$11</definedName>
    <definedName name="TitleRegion2..I31.3">Mar!$A$11</definedName>
    <definedName name="TitleRegion2..I31.4">Abr!$A$11</definedName>
    <definedName name="TitleRegion2..I31.5">May!$A$11</definedName>
    <definedName name="TítuloDeColumna10">OctoberAssignments[[#Headers],[Día de la semana]]</definedName>
    <definedName name="TítuloDeColumna11">NovemberAssignments[[#Headers],[Día de la semana]]</definedName>
    <definedName name="TítuloDeColumna12">DecemberAssignments[[#Headers],[Día de la semana]]</definedName>
    <definedName name="TítuloDeColumna2">FebruaryAssignments[[#Headers],[Día de la semana]]</definedName>
    <definedName name="TítuloDeColumna3">MachrAssignments[[#Headers],[Día de la semana]]</definedName>
    <definedName name="TítuloDeColumna9">SeptemberAssignments[[#Headers],[Día de la semana]]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 i="6" l="1"/>
  <c r="I5" i="26"/>
  <c r="I5" i="25"/>
  <c r="I5" i="24"/>
  <c r="I5" i="23"/>
  <c r="I5" i="22"/>
  <c r="I5" i="21"/>
  <c r="I5" i="20"/>
  <c r="I5" i="19"/>
  <c r="I5" i="18"/>
  <c r="I5" i="17"/>
  <c r="I8" i="26"/>
  <c r="E8" i="26"/>
  <c r="H7" i="26"/>
  <c r="D7" i="26"/>
  <c r="G6" i="26"/>
  <c r="C6" i="26"/>
  <c r="F5" i="26"/>
  <c r="I4" i="26"/>
  <c r="E4" i="26"/>
  <c r="H3" i="26"/>
  <c r="D3" i="26"/>
  <c r="E7" i="26"/>
  <c r="G5" i="26"/>
  <c r="F4" i="26"/>
  <c r="H8" i="26"/>
  <c r="D8" i="26"/>
  <c r="G7" i="26"/>
  <c r="C7" i="26"/>
  <c r="F6" i="26"/>
  <c r="E5" i="26"/>
  <c r="H4" i="26"/>
  <c r="D4" i="26"/>
  <c r="G3" i="26"/>
  <c r="C3" i="26"/>
  <c r="D6" i="26"/>
  <c r="E3" i="26"/>
  <c r="G8" i="26"/>
  <c r="C8" i="26"/>
  <c r="F7" i="26"/>
  <c r="I6" i="26"/>
  <c r="E6" i="26"/>
  <c r="H5" i="26"/>
  <c r="D5" i="26"/>
  <c r="G4" i="26"/>
  <c r="C4" i="26"/>
  <c r="F3" i="26"/>
  <c r="F8" i="26"/>
  <c r="I7" i="26"/>
  <c r="H6" i="26"/>
  <c r="C5" i="26"/>
  <c r="I3" i="26"/>
  <c r="B1" i="26"/>
  <c r="I8" i="25"/>
  <c r="E8" i="25"/>
  <c r="H7" i="25"/>
  <c r="D7" i="25"/>
  <c r="G6" i="25"/>
  <c r="C6" i="25"/>
  <c r="F5" i="25"/>
  <c r="I4" i="25"/>
  <c r="E4" i="25"/>
  <c r="H3" i="25"/>
  <c r="D3" i="25"/>
  <c r="I7" i="25"/>
  <c r="D6" i="25"/>
  <c r="C5" i="25"/>
  <c r="E3" i="25"/>
  <c r="H8" i="25"/>
  <c r="D8" i="25"/>
  <c r="G7" i="25"/>
  <c r="C7" i="25"/>
  <c r="F6" i="25"/>
  <c r="E5" i="25"/>
  <c r="H4" i="25"/>
  <c r="D4" i="25"/>
  <c r="G3" i="25"/>
  <c r="C3" i="25"/>
  <c r="H6" i="25"/>
  <c r="F4" i="25"/>
  <c r="G8" i="25"/>
  <c r="C8" i="25"/>
  <c r="F7" i="25"/>
  <c r="I6" i="25"/>
  <c r="E6" i="25"/>
  <c r="H5" i="25"/>
  <c r="D5" i="25"/>
  <c r="G4" i="25"/>
  <c r="C4" i="25"/>
  <c r="F3" i="25"/>
  <c r="F8" i="25"/>
  <c r="E7" i="25"/>
  <c r="G5" i="25"/>
  <c r="I3" i="25"/>
  <c r="B1" i="25"/>
  <c r="I8" i="24"/>
  <c r="E8" i="24"/>
  <c r="H7" i="24"/>
  <c r="D7" i="24"/>
  <c r="G6" i="24"/>
  <c r="C6" i="24"/>
  <c r="F5" i="24"/>
  <c r="I4" i="24"/>
  <c r="E4" i="24"/>
  <c r="H3" i="24"/>
  <c r="D3" i="24"/>
  <c r="C8" i="24"/>
  <c r="I6" i="24"/>
  <c r="H5" i="24"/>
  <c r="G4" i="24"/>
  <c r="F3" i="24"/>
  <c r="I7" i="24"/>
  <c r="H6" i="24"/>
  <c r="G5" i="24"/>
  <c r="F4" i="24"/>
  <c r="E3" i="24"/>
  <c r="H8" i="24"/>
  <c r="D8" i="24"/>
  <c r="G7" i="24"/>
  <c r="C7" i="24"/>
  <c r="F6" i="24"/>
  <c r="E5" i="24"/>
  <c r="H4" i="24"/>
  <c r="D4" i="24"/>
  <c r="G3" i="24"/>
  <c r="C3" i="24"/>
  <c r="G8" i="24"/>
  <c r="F7" i="24"/>
  <c r="E6" i="24"/>
  <c r="D5" i="24"/>
  <c r="C4" i="24"/>
  <c r="F8" i="24"/>
  <c r="E7" i="24"/>
  <c r="D6" i="24"/>
  <c r="C5" i="24"/>
  <c r="I3" i="24"/>
  <c r="B1" i="24"/>
  <c r="I8" i="23"/>
  <c r="E8" i="23"/>
  <c r="H7" i="23"/>
  <c r="D7" i="23"/>
  <c r="G6" i="23"/>
  <c r="C6" i="23"/>
  <c r="F5" i="23"/>
  <c r="I4" i="23"/>
  <c r="E4" i="23"/>
  <c r="H3" i="23"/>
  <c r="D3" i="23"/>
  <c r="I7" i="23"/>
  <c r="G5" i="23"/>
  <c r="E3" i="23"/>
  <c r="H8" i="23"/>
  <c r="D8" i="23"/>
  <c r="G7" i="23"/>
  <c r="C7" i="23"/>
  <c r="F6" i="23"/>
  <c r="E5" i="23"/>
  <c r="H4" i="23"/>
  <c r="D4" i="23"/>
  <c r="G3" i="23"/>
  <c r="C3" i="23"/>
  <c r="E7" i="23"/>
  <c r="C5" i="23"/>
  <c r="I3" i="23"/>
  <c r="G8" i="23"/>
  <c r="C8" i="23"/>
  <c r="F7" i="23"/>
  <c r="I6" i="23"/>
  <c r="E6" i="23"/>
  <c r="H5" i="23"/>
  <c r="D5" i="23"/>
  <c r="G4" i="23"/>
  <c r="C4" i="23"/>
  <c r="F3" i="23"/>
  <c r="F8" i="23"/>
  <c r="H6" i="23"/>
  <c r="D6" i="23"/>
  <c r="F4" i="23"/>
  <c r="B1" i="23"/>
  <c r="I8" i="22"/>
  <c r="E8" i="22"/>
  <c r="H7" i="22"/>
  <c r="D7" i="22"/>
  <c r="G6" i="22"/>
  <c r="C6" i="22"/>
  <c r="F5" i="22"/>
  <c r="I4" i="22"/>
  <c r="E4" i="22"/>
  <c r="H3" i="22"/>
  <c r="D3" i="22"/>
  <c r="H8" i="22"/>
  <c r="D8" i="22"/>
  <c r="G7" i="22"/>
  <c r="C7" i="22"/>
  <c r="F6" i="22"/>
  <c r="E5" i="22"/>
  <c r="H4" i="22"/>
  <c r="D4" i="22"/>
  <c r="G3" i="22"/>
  <c r="C3" i="22"/>
  <c r="G8" i="22"/>
  <c r="C8" i="22"/>
  <c r="F7" i="22"/>
  <c r="I6" i="22"/>
  <c r="E6" i="22"/>
  <c r="H5" i="22"/>
  <c r="D5" i="22"/>
  <c r="G4" i="22"/>
  <c r="C4" i="22"/>
  <c r="F3" i="22"/>
  <c r="F8" i="22"/>
  <c r="I7" i="22"/>
  <c r="E7" i="22"/>
  <c r="H6" i="22"/>
  <c r="D6" i="22"/>
  <c r="G5" i="22"/>
  <c r="C5" i="22"/>
  <c r="F4" i="22"/>
  <c r="I3" i="22"/>
  <c r="E3" i="22"/>
  <c r="B1" i="22"/>
  <c r="I8" i="21"/>
  <c r="E8" i="21"/>
  <c r="H7" i="21"/>
  <c r="D7" i="21"/>
  <c r="G6" i="21"/>
  <c r="C6" i="21"/>
  <c r="F5" i="21"/>
  <c r="I4" i="21"/>
  <c r="E4" i="21"/>
  <c r="H3" i="21"/>
  <c r="D3" i="21"/>
  <c r="C8" i="21"/>
  <c r="I6" i="21"/>
  <c r="H5" i="21"/>
  <c r="G4" i="21"/>
  <c r="F3" i="21"/>
  <c r="H8" i="21"/>
  <c r="D8" i="21"/>
  <c r="G7" i="21"/>
  <c r="C7" i="21"/>
  <c r="F6" i="21"/>
  <c r="E5" i="21"/>
  <c r="H4" i="21"/>
  <c r="D4" i="21"/>
  <c r="G3" i="21"/>
  <c r="C3" i="21"/>
  <c r="F7" i="21"/>
  <c r="E6" i="21"/>
  <c r="D5" i="21"/>
  <c r="C4" i="21"/>
  <c r="G8" i="21"/>
  <c r="F8" i="21"/>
  <c r="I7" i="21"/>
  <c r="E7" i="21"/>
  <c r="H6" i="21"/>
  <c r="D6" i="21"/>
  <c r="G5" i="21"/>
  <c r="C5" i="21"/>
  <c r="F4" i="21"/>
  <c r="I3" i="21"/>
  <c r="E3" i="21"/>
  <c r="B1" i="21"/>
  <c r="I8" i="20"/>
  <c r="E8" i="20"/>
  <c r="H7" i="20"/>
  <c r="D7" i="20"/>
  <c r="G6" i="20"/>
  <c r="C6" i="20"/>
  <c r="F5" i="20"/>
  <c r="I4" i="20"/>
  <c r="E4" i="20"/>
  <c r="H3" i="20"/>
  <c r="D3" i="20"/>
  <c r="E7" i="20"/>
  <c r="D6" i="20"/>
  <c r="F4" i="20"/>
  <c r="H8" i="20"/>
  <c r="D8" i="20"/>
  <c r="G7" i="20"/>
  <c r="C7" i="20"/>
  <c r="F6" i="20"/>
  <c r="E5" i="20"/>
  <c r="H4" i="20"/>
  <c r="D4" i="20"/>
  <c r="G3" i="20"/>
  <c r="C3" i="20"/>
  <c r="I7" i="20"/>
  <c r="G5" i="20"/>
  <c r="I3" i="20"/>
  <c r="G8" i="20"/>
  <c r="C8" i="20"/>
  <c r="F7" i="20"/>
  <c r="I6" i="20"/>
  <c r="E6" i="20"/>
  <c r="H5" i="20"/>
  <c r="D5" i="20"/>
  <c r="G4" i="20"/>
  <c r="C4" i="20"/>
  <c r="F3" i="20"/>
  <c r="F8" i="20"/>
  <c r="H6" i="20"/>
  <c r="C5" i="20"/>
  <c r="E3" i="20"/>
  <c r="B1" i="20"/>
  <c r="I8" i="19"/>
  <c r="E8" i="19"/>
  <c r="H7" i="19"/>
  <c r="D7" i="19"/>
  <c r="G6" i="19"/>
  <c r="C6" i="19"/>
  <c r="F5" i="19"/>
  <c r="I4" i="19"/>
  <c r="E4" i="19"/>
  <c r="H3" i="19"/>
  <c r="D3" i="19"/>
  <c r="F4" i="19"/>
  <c r="E3" i="19"/>
  <c r="H8" i="19"/>
  <c r="D8" i="19"/>
  <c r="G7" i="19"/>
  <c r="C7" i="19"/>
  <c r="F6" i="19"/>
  <c r="E5" i="19"/>
  <c r="H4" i="19"/>
  <c r="D4" i="19"/>
  <c r="G3" i="19"/>
  <c r="C3" i="19"/>
  <c r="C5" i="19"/>
  <c r="G8" i="19"/>
  <c r="C8" i="19"/>
  <c r="F7" i="19"/>
  <c r="I6" i="19"/>
  <c r="E6" i="19"/>
  <c r="H5" i="19"/>
  <c r="D5" i="19"/>
  <c r="G4" i="19"/>
  <c r="C4" i="19"/>
  <c r="F3" i="19"/>
  <c r="F8" i="19"/>
  <c r="I7" i="19"/>
  <c r="E7" i="19"/>
  <c r="H6" i="19"/>
  <c r="D6" i="19"/>
  <c r="G5" i="19"/>
  <c r="I3" i="19"/>
  <c r="B1" i="19"/>
  <c r="I8" i="18"/>
  <c r="E8" i="18"/>
  <c r="H7" i="18"/>
  <c r="D7" i="18"/>
  <c r="G6" i="18"/>
  <c r="C6" i="18"/>
  <c r="F5" i="18"/>
  <c r="I4" i="18"/>
  <c r="E4" i="18"/>
  <c r="H3" i="18"/>
  <c r="D3" i="18"/>
  <c r="I7" i="18"/>
  <c r="D6" i="18"/>
  <c r="F4" i="18"/>
  <c r="H8" i="18"/>
  <c r="D8" i="18"/>
  <c r="G7" i="18"/>
  <c r="C7" i="18"/>
  <c r="F6" i="18"/>
  <c r="E5" i="18"/>
  <c r="H4" i="18"/>
  <c r="D4" i="18"/>
  <c r="G3" i="18"/>
  <c r="C3" i="18"/>
  <c r="H6" i="18"/>
  <c r="C5" i="18"/>
  <c r="E3" i="18"/>
  <c r="G8" i="18"/>
  <c r="C8" i="18"/>
  <c r="F7" i="18"/>
  <c r="I6" i="18"/>
  <c r="E6" i="18"/>
  <c r="H5" i="18"/>
  <c r="D5" i="18"/>
  <c r="G4" i="18"/>
  <c r="C4" i="18"/>
  <c r="F3" i="18"/>
  <c r="F8" i="18"/>
  <c r="E7" i="18"/>
  <c r="G5" i="18"/>
  <c r="I3" i="18"/>
  <c r="B1" i="18"/>
  <c r="I8" i="17"/>
  <c r="E8" i="17"/>
  <c r="H7" i="17"/>
  <c r="D7" i="17"/>
  <c r="G6" i="17"/>
  <c r="C6" i="17"/>
  <c r="F5" i="17"/>
  <c r="I4" i="17"/>
  <c r="E4" i="17"/>
  <c r="H3" i="17"/>
  <c r="D3" i="17"/>
  <c r="H8" i="17"/>
  <c r="D8" i="17"/>
  <c r="G7" i="17"/>
  <c r="C7" i="17"/>
  <c r="F6" i="17"/>
  <c r="E5" i="17"/>
  <c r="H4" i="17"/>
  <c r="D4" i="17"/>
  <c r="G3" i="17"/>
  <c r="C3" i="17"/>
  <c r="G8" i="17"/>
  <c r="C8" i="17"/>
  <c r="F7" i="17"/>
  <c r="I6" i="17"/>
  <c r="E6" i="17"/>
  <c r="H5" i="17"/>
  <c r="D5" i="17"/>
  <c r="G4" i="17"/>
  <c r="C4" i="17"/>
  <c r="F3" i="17"/>
  <c r="F8" i="17"/>
  <c r="I7" i="17"/>
  <c r="E7" i="17"/>
  <c r="H6" i="17"/>
  <c r="D6" i="17"/>
  <c r="G5" i="17"/>
  <c r="C5" i="17"/>
  <c r="F4" i="17"/>
  <c r="I3" i="17"/>
  <c r="E3" i="17"/>
  <c r="B1" i="17"/>
  <c r="B1" i="6" l="1"/>
  <c r="I8" i="6"/>
  <c r="H8" i="6"/>
  <c r="G8" i="6"/>
  <c r="F8" i="6"/>
  <c r="E8" i="6"/>
  <c r="D8" i="6"/>
  <c r="C8" i="6"/>
  <c r="I7" i="6"/>
  <c r="H7" i="6"/>
  <c r="G7" i="6"/>
  <c r="F7" i="6"/>
  <c r="E7" i="6"/>
  <c r="D7" i="6"/>
  <c r="C7" i="6"/>
  <c r="I6" i="6"/>
  <c r="H6" i="6"/>
  <c r="G6" i="6"/>
  <c r="F6" i="6"/>
  <c r="E6" i="6"/>
  <c r="D6" i="6"/>
  <c r="C6" i="6"/>
  <c r="H5" i="6"/>
  <c r="G5" i="6"/>
  <c r="F5" i="6"/>
  <c r="E5" i="6"/>
  <c r="D5" i="6"/>
  <c r="C5" i="6"/>
  <c r="I4" i="6"/>
  <c r="H4" i="6"/>
  <c r="G4" i="6"/>
  <c r="F4" i="6"/>
  <c r="E4" i="6"/>
  <c r="D4" i="6"/>
  <c r="C4" i="6"/>
  <c r="I3" i="6"/>
  <c r="H3" i="6"/>
  <c r="G3" i="6"/>
  <c r="F3" i="6"/>
  <c r="E3" i="6"/>
  <c r="D3" i="6"/>
  <c r="C3" i="6"/>
  <c r="H3" i="1"/>
  <c r="I8" i="1"/>
  <c r="H8" i="1"/>
  <c r="G8" i="1"/>
  <c r="F8" i="1"/>
  <c r="E8" i="1"/>
  <c r="D8" i="1"/>
  <c r="C8" i="1"/>
  <c r="I7" i="1"/>
  <c r="H7" i="1"/>
  <c r="G7" i="1"/>
  <c r="F7" i="1"/>
  <c r="E7" i="1"/>
  <c r="D7" i="1"/>
  <c r="C7" i="1"/>
  <c r="I6" i="1"/>
  <c r="H6" i="1"/>
  <c r="G6" i="1"/>
  <c r="F6" i="1"/>
  <c r="E6" i="1"/>
  <c r="D6" i="1"/>
  <c r="C6" i="1"/>
  <c r="I5" i="1"/>
  <c r="H5" i="1"/>
  <c r="G5" i="1"/>
  <c r="F5" i="1"/>
  <c r="E5" i="1"/>
  <c r="D5" i="1"/>
  <c r="C5" i="1"/>
  <c r="I4" i="1"/>
  <c r="H4" i="1"/>
  <c r="G4" i="1"/>
  <c r="F4" i="1"/>
  <c r="E4" i="1"/>
  <c r="D4" i="1"/>
  <c r="C4" i="1"/>
  <c r="I3" i="1"/>
  <c r="G3" i="1"/>
  <c r="F3" i="1"/>
  <c r="E3" i="1"/>
  <c r="D3" i="1"/>
  <c r="C3" i="1"/>
</calcChain>
</file>

<file path=xl/sharedStrings.xml><?xml version="1.0" encoding="utf-8"?>
<sst xmlns="http://schemas.openxmlformats.org/spreadsheetml/2006/main" count="579" uniqueCount="37">
  <si>
    <t>ENE</t>
  </si>
  <si>
    <t>PROGRAMACIÓN SEMANAL</t>
  </si>
  <si>
    <t>LUN.</t>
  </si>
  <si>
    <t>08:00</t>
  </si>
  <si>
    <t>Francés</t>
  </si>
  <si>
    <t>10:00</t>
  </si>
  <si>
    <t>Matemáticas</t>
  </si>
  <si>
    <t>14:00</t>
  </si>
  <si>
    <t>Inglés</t>
  </si>
  <si>
    <t>Escriba el año natural en la celda B1 a la izquierda.</t>
  </si>
  <si>
    <t>MAR.</t>
  </si>
  <si>
    <t>09:00</t>
  </si>
  <si>
    <t>Historia del arte</t>
  </si>
  <si>
    <t>16:00</t>
  </si>
  <si>
    <t>Programación</t>
  </si>
  <si>
    <t>MIÉ.</t>
  </si>
  <si>
    <t>JUE.</t>
  </si>
  <si>
    <t>VIE.</t>
  </si>
  <si>
    <t>SÁB.</t>
  </si>
  <si>
    <t>DOM.</t>
  </si>
  <si>
    <t>Día de la semana</t>
  </si>
  <si>
    <t>MAR</t>
  </si>
  <si>
    <t>día de calendario</t>
  </si>
  <si>
    <t>TAREAS</t>
  </si>
  <si>
    <t>Francés: Fecha de entrega del borrador del primer artículo</t>
  </si>
  <si>
    <t>Historia del arte: Prueba</t>
  </si>
  <si>
    <t>FEB</t>
  </si>
  <si>
    <t>ABR</t>
  </si>
  <si>
    <t xml:space="preserve"> </t>
  </si>
  <si>
    <t>MAY</t>
  </si>
  <si>
    <t>JUN</t>
  </si>
  <si>
    <t>JUL</t>
  </si>
  <si>
    <t>AGO</t>
  </si>
  <si>
    <t>SEP</t>
  </si>
  <si>
    <t>OCT</t>
  </si>
  <si>
    <t>NOV</t>
  </si>
  <si>
    <t>DIC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</si>
</sst>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2" formatCode="_-* #,##0\ &quot;€&quot;_-;\-* #,##0\ &quot;€&quot;_-;_-* &quot;-&quot;\ &quot;€&quot;_-;_-@_-"/>
    <numFmt numFmtId="44" formatCode="_-* #,##0.00\ &quot;€&quot;_-;\-* #,##0.00\ &quot;€&quot;_-;_-* &quot;-&quot;??\ &quot;€&quot;_-;_-@_-"/>
    <numFmt numFmtId="164" formatCode="_(* #,##0_);_(* \(#,##0\);_(* &quot;-&quot;_);_(@_)"/>
    <numFmt numFmtId="165" formatCode="_(* #,##0.00_);_(* \(#,##0.00\);_(* &quot;-&quot;??_);_(@_)"/>
    <numFmt numFmtId="166" formatCode="d"/>
    <numFmt numFmtId="167" formatCode="[$-C0A]mmmmm;@"/>
  </numFmts>
  <fonts count="25" x14ac:knownFonts="1">
    <font>
      <sz val="11"/>
      <color theme="1"/>
      <name val="Arial"/>
      <family val="2"/>
      <scheme val="minor"/>
    </font>
    <font>
      <sz val="11"/>
      <color theme="1"/>
      <name val="Arial"/>
      <family val="2"/>
      <scheme val="minor"/>
    </font>
    <font>
      <sz val="8"/>
      <name val="Arial"/>
      <family val="2"/>
      <scheme val="minor"/>
    </font>
    <font>
      <sz val="10"/>
      <color theme="1" tint="0.249977111117893"/>
      <name val="Arial"/>
      <family val="2"/>
      <scheme val="minor"/>
    </font>
    <font>
      <sz val="12"/>
      <color theme="1" tint="0.249977111117893"/>
      <name val="Arial"/>
      <family val="2"/>
      <scheme val="minor"/>
    </font>
    <font>
      <sz val="11"/>
      <color theme="0"/>
      <name val="Arial"/>
      <family val="2"/>
      <scheme val="minor"/>
    </font>
    <font>
      <b/>
      <sz val="24"/>
      <color theme="4" tint="-0.499984740745262"/>
      <name val="Arial"/>
      <family val="2"/>
      <scheme val="minor"/>
    </font>
    <font>
      <b/>
      <sz val="17"/>
      <color theme="4" tint="-0.499984740745262"/>
      <name val="Arial"/>
      <family val="2"/>
      <scheme val="minor"/>
    </font>
    <font>
      <b/>
      <sz val="12"/>
      <color theme="4" tint="-0.499984740745262"/>
      <name val="Arial"/>
      <family val="2"/>
      <scheme val="minor"/>
    </font>
    <font>
      <b/>
      <sz val="11"/>
      <color theme="4" tint="-0.499984740745262"/>
      <name val="Arial"/>
      <family val="2"/>
      <scheme val="minor"/>
    </font>
    <font>
      <b/>
      <sz val="11"/>
      <color theme="1"/>
      <name val="Arial"/>
      <family val="2"/>
      <scheme val="minor"/>
    </font>
    <font>
      <b/>
      <sz val="11"/>
      <color theme="1"/>
      <name val="Arial"/>
      <family val="2"/>
      <scheme val="major"/>
    </font>
    <font>
      <b/>
      <sz val="18"/>
      <color theme="4" tint="-0.499984740745262"/>
      <name val="Arial"/>
      <family val="2"/>
      <scheme val="major"/>
    </font>
    <font>
      <sz val="11"/>
      <name val="Arial"/>
      <family val="2"/>
      <scheme val="minor"/>
    </font>
    <font>
      <sz val="11"/>
      <color rgb="FF006100"/>
      <name val="Arial"/>
      <family val="2"/>
      <scheme val="minor"/>
    </font>
    <font>
      <sz val="11"/>
      <color rgb="FF9C0006"/>
      <name val="Arial"/>
      <family val="2"/>
      <scheme val="minor"/>
    </font>
    <font>
      <sz val="11"/>
      <color rgb="FF9C5700"/>
      <name val="Arial"/>
      <family val="2"/>
      <scheme val="minor"/>
    </font>
    <font>
      <sz val="11"/>
      <color rgb="FF3F3F76"/>
      <name val="Arial"/>
      <family val="2"/>
      <scheme val="minor"/>
    </font>
    <font>
      <b/>
      <sz val="11"/>
      <color rgb="FF3F3F3F"/>
      <name val="Arial"/>
      <family val="2"/>
      <scheme val="minor"/>
    </font>
    <font>
      <b/>
      <sz val="11"/>
      <color rgb="FFFA7D00"/>
      <name val="Arial"/>
      <family val="2"/>
      <scheme val="minor"/>
    </font>
    <font>
      <sz val="11"/>
      <color rgb="FFFA7D00"/>
      <name val="Arial"/>
      <family val="2"/>
      <scheme val="minor"/>
    </font>
    <font>
      <b/>
      <sz val="11"/>
      <color theme="0"/>
      <name val="Arial"/>
      <family val="2"/>
      <scheme val="minor"/>
    </font>
    <font>
      <sz val="11"/>
      <color rgb="FFFF0000"/>
      <name val="Arial"/>
      <family val="2"/>
      <scheme val="minor"/>
    </font>
    <font>
      <i/>
      <sz val="11"/>
      <color rgb="FF7F7F7F"/>
      <name val="Arial"/>
      <family val="2"/>
      <scheme val="minor"/>
    </font>
    <font>
      <b/>
      <sz val="24"/>
      <color theme="4" tint="-0.499984740745262"/>
      <name val="Arial"/>
      <family val="2"/>
      <scheme val="major"/>
    </font>
  </fonts>
  <fills count="35">
    <fill>
      <patternFill patternType="none"/>
    </fill>
    <fill>
      <patternFill patternType="gray125"/>
    </fill>
    <fill>
      <patternFill patternType="solid">
        <fgColor theme="0" tint="-4.99893185216834E-2"/>
        <bgColor indexed="64"/>
      </patternFill>
    </fill>
    <fill>
      <patternFill patternType="solid">
        <fgColor rgb="FFFFFFCC"/>
      </patternFill>
    </fill>
    <fill>
      <patternFill patternType="solid">
        <fgColor theme="4" tint="-0.49998474074526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16">
    <border>
      <left/>
      <right/>
      <top/>
      <bottom/>
      <diagonal/>
    </border>
    <border>
      <left style="thin">
        <color theme="4" tint="0.7999816888943144"/>
      </left>
      <right style="thin">
        <color theme="0"/>
      </right>
      <top/>
      <bottom/>
      <diagonal/>
    </border>
    <border>
      <left/>
      <right style="thin">
        <color theme="4" tint="0.7999816888943144"/>
      </right>
      <top/>
      <bottom/>
      <diagonal/>
    </border>
    <border>
      <left style="thin">
        <color theme="0"/>
      </left>
      <right/>
      <top/>
      <bottom/>
      <diagonal/>
    </border>
    <border>
      <left style="thin">
        <color theme="0"/>
      </left>
      <right/>
      <top style="thin">
        <color theme="0"/>
      </top>
      <bottom/>
      <diagonal/>
    </border>
    <border>
      <left style="thin">
        <color rgb="FFB2B2B2"/>
      </left>
      <right style="thin">
        <color rgb="FFB2B2B2"/>
      </right>
      <top style="thin">
        <color rgb="FFB2B2B2"/>
      </top>
      <bottom style="thin">
        <color rgb="FFB2B2B2"/>
      </bottom>
      <diagonal/>
    </border>
    <border>
      <left/>
      <right/>
      <top style="thin">
        <color theme="4" tint="-0.499984740745262"/>
      </top>
      <bottom/>
      <diagonal/>
    </border>
    <border>
      <left/>
      <right/>
      <top/>
      <bottom style="thin">
        <color theme="4" tint="-0.499984740745262"/>
      </bottom>
      <diagonal/>
    </border>
    <border>
      <left style="thin">
        <color theme="4" tint="0.7999816888943144"/>
      </left>
      <right/>
      <top/>
      <bottom/>
      <diagonal/>
    </border>
    <border>
      <left/>
      <right style="thin">
        <color theme="4" tint="-0.499984740745262"/>
      </right>
      <top/>
      <bottom/>
      <diagonal/>
    </border>
    <border>
      <left style="thin">
        <color theme="0"/>
      </left>
      <right style="thin">
        <color theme="0"/>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9">
    <xf numFmtId="0" fontId="0" fillId="0" borderId="0">
      <alignment wrapText="1"/>
    </xf>
    <xf numFmtId="0" fontId="12" fillId="0" borderId="0" applyFill="0" applyBorder="0" applyProtection="0">
      <alignment horizontal="center" vertical="center"/>
    </xf>
    <xf numFmtId="167" fontId="6" fillId="0" borderId="0" applyFill="0" applyBorder="0" applyProtection="0">
      <alignment horizontal="center" vertical="center"/>
    </xf>
    <xf numFmtId="0" fontId="7" fillId="0" borderId="0" applyFill="0" applyProtection="0">
      <alignment horizontal="left" vertical="center" indent="2"/>
    </xf>
    <xf numFmtId="0" fontId="8" fillId="0" borderId="0" applyNumberFormat="0" applyFill="0" applyBorder="0" applyProtection="0">
      <alignment horizontal="left" vertical="center"/>
    </xf>
    <xf numFmtId="0" fontId="8" fillId="0" borderId="0" applyFill="0" applyBorder="0" applyProtection="0"/>
    <xf numFmtId="165" fontId="1" fillId="0" borderId="0" applyFill="0" applyBorder="0" applyAlignment="0" applyProtection="0"/>
    <xf numFmtId="164" fontId="1" fillId="0" borderId="0" applyFill="0" applyBorder="0" applyAlignment="0" applyProtection="0"/>
    <xf numFmtId="44" fontId="1" fillId="0" borderId="0" applyFill="0" applyBorder="0" applyAlignment="0" applyProtection="0"/>
    <xf numFmtId="42" fontId="1" fillId="0" borderId="0" applyFill="0" applyBorder="0" applyAlignment="0" applyProtection="0"/>
    <xf numFmtId="9" fontId="1" fillId="0" borderId="0" applyFill="0" applyBorder="0" applyAlignment="0" applyProtection="0"/>
    <xf numFmtId="0" fontId="1" fillId="3" borderId="5" applyNumberFormat="0" applyAlignment="0" applyProtection="0"/>
    <xf numFmtId="0" fontId="5" fillId="4" borderId="1">
      <alignment horizontal="left" indent="1"/>
    </xf>
    <xf numFmtId="0" fontId="9" fillId="0" borderId="0">
      <alignment vertical="center"/>
    </xf>
    <xf numFmtId="0" fontId="9" fillId="0" borderId="6" applyNumberFormat="0" applyFont="0" applyFill="0" applyAlignment="0" applyProtection="0">
      <alignment horizontal="left" vertical="center" indent="2"/>
    </xf>
    <xf numFmtId="1" fontId="10" fillId="0" borderId="0" applyFill="0" applyBorder="0">
      <alignment horizontal="center"/>
    </xf>
    <xf numFmtId="0" fontId="13" fillId="0" borderId="7" applyNumberFormat="0" applyFont="0" applyFill="0" applyAlignment="0" applyProtection="0">
      <alignment horizontal="center"/>
    </xf>
    <xf numFmtId="0" fontId="13" fillId="0" borderId="9" applyNumberFormat="0" applyFont="0" applyFill="0" applyAlignment="0" applyProtection="0"/>
    <xf numFmtId="166" fontId="4" fillId="0" borderId="0" applyFill="0" applyBorder="0">
      <alignment horizontal="left" vertical="center" indent="1"/>
    </xf>
    <xf numFmtId="0" fontId="13" fillId="2" borderId="0" applyFont="0" applyBorder="0">
      <alignment horizontal="left" vertical="top" indent="1"/>
    </xf>
    <xf numFmtId="0" fontId="5" fillId="0" borderId="0" applyNumberFormat="0" applyFill="0" applyBorder="0" applyAlignment="0">
      <alignment wrapText="1"/>
    </xf>
    <xf numFmtId="20" fontId="13" fillId="2" borderId="0" applyFill="0" applyBorder="0">
      <alignment horizontal="left" indent="1"/>
    </xf>
    <xf numFmtId="0" fontId="14" fillId="5" borderId="0" applyNumberFormat="0" applyBorder="0" applyAlignment="0" applyProtection="0"/>
    <xf numFmtId="0" fontId="15" fillId="6" borderId="0" applyNumberFormat="0" applyBorder="0" applyAlignment="0" applyProtection="0"/>
    <xf numFmtId="0" fontId="16" fillId="7" borderId="0" applyNumberFormat="0" applyBorder="0" applyAlignment="0" applyProtection="0"/>
    <xf numFmtId="0" fontId="17" fillId="8" borderId="11" applyNumberFormat="0" applyAlignment="0" applyProtection="0"/>
    <xf numFmtId="0" fontId="18" fillId="9" borderId="12" applyNumberFormat="0" applyAlignment="0" applyProtection="0"/>
    <xf numFmtId="0" fontId="19" fillId="9" borderId="11" applyNumberFormat="0" applyAlignment="0" applyProtection="0"/>
    <xf numFmtId="0" fontId="20" fillId="0" borderId="13" applyNumberFormat="0" applyFill="0" applyAlignment="0" applyProtection="0"/>
    <xf numFmtId="0" fontId="21" fillId="10" borderId="14" applyNumberFormat="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10" fillId="0" borderId="15" applyNumberFormat="0" applyFill="0" applyAlignment="0" applyProtection="0"/>
    <xf numFmtId="0" fontId="5"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5"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0" borderId="0"/>
    <xf numFmtId="0" fontId="1" fillId="0" borderId="0"/>
  </cellStyleXfs>
  <cellXfs count="56">
    <xf numFmtId="0" fontId="0" fillId="0" borderId="0" xfId="0">
      <alignment wrapText="1"/>
    </xf>
    <xf numFmtId="0" fontId="8" fillId="0" borderId="7" xfId="16" applyFont="1" applyAlignment="1"/>
    <xf numFmtId="1" fontId="10" fillId="0" borderId="0" xfId="15">
      <alignment horizontal="center"/>
    </xf>
    <xf numFmtId="0" fontId="5" fillId="4" borderId="9" xfId="17" applyFont="1" applyFill="1" applyAlignment="1">
      <alignment horizontal="left" indent="1"/>
    </xf>
    <xf numFmtId="0" fontId="8" fillId="0" borderId="6" xfId="14" applyFont="1" applyAlignment="1">
      <alignment vertical="center"/>
    </xf>
    <xf numFmtId="0" fontId="9" fillId="0" borderId="0" xfId="13">
      <alignment vertical="center"/>
    </xf>
    <xf numFmtId="0" fontId="4" fillId="0" borderId="6" xfId="14" applyNumberFormat="1" applyFont="1" applyAlignment="1">
      <alignment horizontal="left" vertical="center" indent="1"/>
    </xf>
    <xf numFmtId="0" fontId="12" fillId="0" borderId="7" xfId="1" applyBorder="1">
      <alignment horizontal="center" vertical="center"/>
    </xf>
    <xf numFmtId="0" fontId="0" fillId="0" borderId="0" xfId="14" applyFont="1" applyBorder="1" applyAlignment="1">
      <alignment wrapText="1"/>
    </xf>
    <xf numFmtId="0" fontId="8" fillId="0" borderId="0" xfId="5"/>
    <xf numFmtId="0" fontId="7" fillId="0" borderId="0" xfId="3">
      <alignment horizontal="left" vertical="center" indent="2"/>
    </xf>
    <xf numFmtId="0" fontId="12" fillId="0" borderId="0" xfId="1">
      <alignment horizontal="center" vertical="center"/>
    </xf>
    <xf numFmtId="0" fontId="0" fillId="0" borderId="9" xfId="17" applyFont="1" applyAlignment="1">
      <alignment wrapText="1"/>
    </xf>
    <xf numFmtId="0" fontId="5" fillId="4" borderId="1" xfId="12">
      <alignment horizontal="left" indent="1"/>
    </xf>
    <xf numFmtId="0" fontId="0" fillId="0" borderId="0" xfId="0" applyAlignment="1">
      <alignment horizontal="left" wrapText="1"/>
    </xf>
    <xf numFmtId="0" fontId="8" fillId="0" borderId="0" xfId="5" applyFill="1"/>
    <xf numFmtId="0" fontId="8" fillId="0" borderId="0" xfId="4">
      <alignment horizontal="left" vertical="center"/>
    </xf>
    <xf numFmtId="0" fontId="0" fillId="0" borderId="7" xfId="16" applyFont="1" applyAlignment="1">
      <alignment wrapText="1"/>
    </xf>
    <xf numFmtId="0" fontId="0" fillId="0" borderId="7" xfId="16" applyFont="1" applyAlignment="1">
      <alignment horizontal="left" wrapText="1"/>
    </xf>
    <xf numFmtId="1" fontId="10" fillId="0" borderId="7" xfId="15" applyBorder="1">
      <alignment horizontal="center"/>
    </xf>
    <xf numFmtId="0" fontId="5" fillId="0" borderId="0" xfId="20">
      <alignment wrapText="1"/>
    </xf>
    <xf numFmtId="0" fontId="8" fillId="0" borderId="7" xfId="5" applyBorder="1"/>
    <xf numFmtId="1" fontId="10" fillId="0" borderId="6" xfId="15" applyBorder="1">
      <alignment horizontal="center"/>
    </xf>
    <xf numFmtId="0" fontId="3" fillId="0" borderId="7" xfId="16" applyFont="1" applyAlignment="1">
      <alignment horizontal="left" wrapText="1"/>
    </xf>
    <xf numFmtId="0" fontId="5" fillId="0" borderId="9" xfId="20" applyBorder="1" applyAlignment="1">
      <alignment wrapText="1"/>
    </xf>
    <xf numFmtId="0" fontId="0" fillId="2" borderId="0" xfId="19" applyFont="1">
      <alignment horizontal="left" vertical="top" indent="1"/>
    </xf>
    <xf numFmtId="0" fontId="1" fillId="2" borderId="9" xfId="19" applyFont="1" applyBorder="1">
      <alignment horizontal="left" vertical="top" indent="1"/>
    </xf>
    <xf numFmtId="0" fontId="11" fillId="2" borderId="9" xfId="19" applyFont="1" applyBorder="1">
      <alignment horizontal="left" vertical="top" indent="1"/>
    </xf>
    <xf numFmtId="0" fontId="0" fillId="2" borderId="7" xfId="19" applyFont="1" applyBorder="1">
      <alignment horizontal="left" vertical="top" indent="1"/>
    </xf>
    <xf numFmtId="0" fontId="1" fillId="2" borderId="7" xfId="19" applyFont="1" applyBorder="1">
      <alignment horizontal="left" vertical="top" indent="1"/>
    </xf>
    <xf numFmtId="0" fontId="1" fillId="2" borderId="0" xfId="19" applyFont="1">
      <alignment horizontal="left" vertical="top" indent="1"/>
    </xf>
    <xf numFmtId="0" fontId="11" fillId="2" borderId="0" xfId="19" applyFont="1">
      <alignment horizontal="left" vertical="top" indent="1"/>
    </xf>
    <xf numFmtId="0" fontId="13" fillId="2" borderId="7" xfId="19" applyBorder="1">
      <alignment horizontal="left" vertical="top" indent="1"/>
    </xf>
    <xf numFmtId="0" fontId="0" fillId="2" borderId="7" xfId="16" applyFont="1" applyFill="1" applyAlignment="1">
      <alignment horizontal="left" vertical="top" indent="1"/>
    </xf>
    <xf numFmtId="0" fontId="1" fillId="2" borderId="7" xfId="16" applyFont="1" applyFill="1" applyAlignment="1">
      <alignment horizontal="left" vertical="top" indent="1"/>
    </xf>
    <xf numFmtId="0" fontId="8" fillId="0" borderId="6" xfId="5" applyBorder="1"/>
    <xf numFmtId="167" fontId="6" fillId="0" borderId="0" xfId="2">
      <alignment horizontal="center" vertical="center"/>
    </xf>
    <xf numFmtId="167" fontId="6" fillId="0" borderId="6" xfId="2" applyBorder="1">
      <alignment horizontal="center" vertical="center"/>
    </xf>
    <xf numFmtId="167" fontId="6" fillId="0" borderId="6" xfId="14" applyNumberFormat="1" applyFont="1" applyAlignment="1">
      <alignment horizontal="center" vertical="center"/>
    </xf>
    <xf numFmtId="14" fontId="13" fillId="0" borderId="7" xfId="16" applyNumberFormat="1" applyFill="1" applyAlignment="1">
      <alignment horizontal="left" indent="1"/>
    </xf>
    <xf numFmtId="166" fontId="4" fillId="0" borderId="0" xfId="18" applyFill="1" applyBorder="1">
      <alignment horizontal="left" vertical="center" indent="1"/>
    </xf>
    <xf numFmtId="166" fontId="4" fillId="0" borderId="7" xfId="18" applyFill="1" applyBorder="1">
      <alignment horizontal="left" vertical="center" indent="1"/>
    </xf>
    <xf numFmtId="0" fontId="24" fillId="0" borderId="6" xfId="1" applyFont="1" applyBorder="1">
      <alignment horizontal="center" vertical="center"/>
    </xf>
    <xf numFmtId="1" fontId="10" fillId="0" borderId="7" xfId="15" applyFill="1" applyBorder="1">
      <alignment horizontal="center"/>
    </xf>
    <xf numFmtId="20" fontId="13" fillId="2" borderId="0" xfId="21">
      <alignment horizontal="left" indent="1"/>
    </xf>
    <xf numFmtId="20" fontId="13" fillId="2" borderId="9" xfId="21" applyBorder="1">
      <alignment horizontal="left" indent="1"/>
    </xf>
    <xf numFmtId="20" fontId="13" fillId="2" borderId="3" xfId="21" applyBorder="1">
      <alignment horizontal="left" indent="1"/>
    </xf>
    <xf numFmtId="20" fontId="13" fillId="2" borderId="4" xfId="21" applyBorder="1">
      <alignment horizontal="left" indent="1"/>
    </xf>
    <xf numFmtId="0" fontId="5" fillId="4" borderId="8" xfId="12" applyBorder="1">
      <alignment horizontal="left" indent="1"/>
    </xf>
    <xf numFmtId="0" fontId="5" fillId="4" borderId="2" xfId="12" applyBorder="1">
      <alignment horizontal="left" indent="1"/>
    </xf>
    <xf numFmtId="20" fontId="13" fillId="2" borderId="10" xfId="21" applyBorder="1">
      <alignment horizontal="left" indent="1"/>
    </xf>
    <xf numFmtId="0" fontId="1" fillId="2" borderId="0" xfId="19" applyFont="1">
      <alignment horizontal="left" vertical="top" indent="1"/>
    </xf>
    <xf numFmtId="0" fontId="1" fillId="2" borderId="7" xfId="19" applyFont="1" applyBorder="1">
      <alignment horizontal="left" vertical="top" indent="1"/>
    </xf>
    <xf numFmtId="20" fontId="13" fillId="2" borderId="0" xfId="21">
      <alignment horizontal="left" indent="1"/>
    </xf>
    <xf numFmtId="0" fontId="13" fillId="2" borderId="7" xfId="19" applyBorder="1">
      <alignment horizontal="left" vertical="top" indent="1"/>
    </xf>
    <xf numFmtId="0" fontId="1" fillId="2" borderId="7" xfId="16" applyFont="1" applyFill="1" applyAlignment="1">
      <alignment horizontal="left" vertical="top" indent="1"/>
    </xf>
  </cellXfs>
  <cellStyles count="59">
    <cellStyle name="20% - Énfasis1" xfId="34" builtinId="30" customBuiltin="1"/>
    <cellStyle name="20% - Énfasis2" xfId="38" builtinId="34" customBuiltin="1"/>
    <cellStyle name="20% - Énfasis3" xfId="42" builtinId="38" customBuiltin="1"/>
    <cellStyle name="20% - Énfasis4" xfId="46" builtinId="42" customBuiltin="1"/>
    <cellStyle name="20% - Énfasis5" xfId="50" builtinId="46" customBuiltin="1"/>
    <cellStyle name="20% - Énfasis6" xfId="54" builtinId="50" customBuiltin="1"/>
    <cellStyle name="40% - Énfasis1" xfId="35" builtinId="31" customBuiltin="1"/>
    <cellStyle name="40% - Énfasis2" xfId="39" builtinId="35" customBuiltin="1"/>
    <cellStyle name="40% - Énfasis3" xfId="43" builtinId="39" customBuiltin="1"/>
    <cellStyle name="40% - Énfasis4" xfId="47" builtinId="43" customBuiltin="1"/>
    <cellStyle name="40% - Énfasis5" xfId="51" builtinId="47" customBuiltin="1"/>
    <cellStyle name="40% - Énfasis6" xfId="55" builtinId="51" customBuiltin="1"/>
    <cellStyle name="60% - Énfasis1" xfId="36" builtinId="32" customBuiltin="1"/>
    <cellStyle name="60% - Énfasis2" xfId="40" builtinId="36" customBuiltin="1"/>
    <cellStyle name="60% - Énfasis3" xfId="44" builtinId="40" customBuiltin="1"/>
    <cellStyle name="60% - Énfasis4" xfId="48" builtinId="44" customBuiltin="1"/>
    <cellStyle name="60% - Énfasis5" xfId="52" builtinId="48" customBuiltin="1"/>
    <cellStyle name="60% - Énfasis6" xfId="56" builtinId="52" customBuiltin="1"/>
    <cellStyle name="Alineación del calendario" xfId="18" xr:uid="{00000000-0005-0000-0000-000001000000}"/>
    <cellStyle name="Borde derecho" xfId="17" xr:uid="{00000000-0005-0000-0000-00000F000000}"/>
    <cellStyle name="Borde inferior" xfId="16" xr:uid="{00000000-0005-0000-0000-000000000000}"/>
    <cellStyle name="Borde superior" xfId="14" xr:uid="{00000000-0005-0000-0000-000013000000}"/>
    <cellStyle name="Bueno" xfId="22" builtinId="26" customBuiltin="1"/>
    <cellStyle name="Cálculo" xfId="27" builtinId="22" customBuiltin="1"/>
    <cellStyle name="Celda de comprobación" xfId="29" builtinId="23" customBuiltin="1"/>
    <cellStyle name="Celda vinculada" xfId="28" builtinId="24" customBuiltin="1"/>
    <cellStyle name="Días de la semana" xfId="12" xr:uid="{00000000-0005-0000-0000-000014000000}"/>
    <cellStyle name="Encabezado 1" xfId="2" builtinId="16" customBuiltin="1"/>
    <cellStyle name="Encabezado 4" xfId="5" builtinId="19" customBuiltin="1"/>
    <cellStyle name="Encabezado de la tabla en blanco" xfId="20" xr:uid="{00000000-0005-0000-0000-000010000000}"/>
    <cellStyle name="Énfasis1" xfId="33" builtinId="29" customBuiltin="1"/>
    <cellStyle name="Énfasis2" xfId="37" builtinId="33" customBuiltin="1"/>
    <cellStyle name="Énfasis3" xfId="41" builtinId="37" customBuiltin="1"/>
    <cellStyle name="Énfasis4" xfId="45" builtinId="41" customBuiltin="1"/>
    <cellStyle name="Énfasis5" xfId="49" builtinId="45" customBuiltin="1"/>
    <cellStyle name="Énfasis6" xfId="53" builtinId="49" customBuiltin="1"/>
    <cellStyle name="Entrada" xfId="25" builtinId="20" customBuiltin="1"/>
    <cellStyle name="Etiqueta" xfId="13" xr:uid="{00000000-0005-0000-0000-00000B000000}"/>
    <cellStyle name="Fecha" xfId="15" xr:uid="{00000000-0005-0000-0000-000006000000}"/>
    <cellStyle name="Hora" xfId="21" xr:uid="{00000000-0005-0000-0000-000011000000}"/>
    <cellStyle name="Incorrecto" xfId="23" builtinId="27" customBuiltin="1"/>
    <cellStyle name="Millares" xfId="6" builtinId="3" customBuiltin="1"/>
    <cellStyle name="Millares [0]" xfId="7" builtinId="6" customBuiltin="1"/>
    <cellStyle name="Moneda" xfId="8" builtinId="4" customBuiltin="1"/>
    <cellStyle name="Moneda [0]" xfId="9" builtinId="7" customBuiltin="1"/>
    <cellStyle name="Neutral" xfId="24" builtinId="28" customBuiltin="1"/>
    <cellStyle name="Normal" xfId="0" builtinId="0" customBuiltin="1"/>
    <cellStyle name="Normal 2" xfId="57" xr:uid="{6C4441AB-F25F-4BC3-95DA-0CD72A490E96}"/>
    <cellStyle name="Normal 3" xfId="58" xr:uid="{C309B75E-CF87-4D90-9A36-0C7F7A204227}"/>
    <cellStyle name="Notas" xfId="11" builtinId="10" customBuiltin="1"/>
    <cellStyle name="Porcentaje" xfId="10" builtinId="5" customBuiltin="1"/>
    <cellStyle name="Relleno de programación semanal" xfId="19" xr:uid="{00000000-0005-0000-0000-000015000000}"/>
    <cellStyle name="Salida" xfId="26" builtinId="21" customBuiltin="1"/>
    <cellStyle name="Texto de advertencia" xfId="30" builtinId="11" customBuiltin="1"/>
    <cellStyle name="Texto explicativo" xfId="31" builtinId="53" customBuiltin="1"/>
    <cellStyle name="Título" xfId="1" builtinId="15" customBuiltin="1"/>
    <cellStyle name="Título 2" xfId="3" builtinId="17" customBuiltin="1"/>
    <cellStyle name="Título 3" xfId="4" builtinId="18" customBuiltin="1"/>
    <cellStyle name="Total" xfId="32" builtinId="25" customBuiltin="1"/>
  </cellStyles>
  <dxfs count="89">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left style="thin">
          <color theme="0"/>
        </left>
        <vertical/>
        <horizontal/>
      </border>
    </dxf>
    <dxf>
      <border>
        <left style="thin">
          <color theme="0"/>
        </left>
        <bottom style="thin">
          <color theme="0"/>
        </bottom>
        <vertical/>
        <horizontal/>
      </border>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ill>
        <patternFill>
          <bgColor theme="4" tint="0.7999816888943144"/>
        </patternFill>
      </fill>
    </dxf>
    <dxf>
      <border>
        <left style="thin">
          <color theme="0"/>
        </left>
        <vertical/>
        <horizontal/>
      </border>
    </dxf>
    <dxf>
      <font>
        <b/>
        <i val="0"/>
      </font>
      <fill>
        <patternFill>
          <bgColor theme="4" tint="0.7999816888943144"/>
        </patternFill>
      </fill>
    </dxf>
    <dxf>
      <font>
        <color theme="0" tint="-0.249946592608417"/>
      </font>
    </dxf>
    <dxf>
      <font>
        <b/>
        <i val="0"/>
        <color theme="1"/>
      </font>
      <fill>
        <patternFill patternType="solid">
          <bgColor theme="4" tint="0.7999816888943144"/>
        </patternFill>
      </fill>
      <border>
        <left/>
        <right/>
        <top/>
        <bottom/>
        <vertical/>
        <horizontal/>
      </border>
    </dxf>
    <dxf>
      <font>
        <color theme="0" tint="-0.249946592608417"/>
      </font>
    </dxf>
    <dxf>
      <border>
        <bottom style="thin">
          <color theme="0"/>
        </bottom>
        <vertical/>
        <horizontal/>
      </border>
    </dxf>
    <dxf>
      <font>
        <b val="0"/>
        <i val="0"/>
      </font>
      <fill>
        <patternFill>
          <bgColor theme="4" tint="0.7999816888943144"/>
        </patternFill>
      </fill>
      <border>
        <vertical/>
        <horizontal/>
      </border>
    </dxf>
    <dxf>
      <border>
        <left style="thin">
          <color theme="0"/>
        </left>
        <vertical/>
        <horizontal/>
      </border>
    </dxf>
    <dxf>
      <font>
        <b/>
        <i val="0"/>
      </font>
      <fill>
        <patternFill>
          <bgColor theme="4" tint="0.7999816888943144"/>
        </patternFill>
      </fill>
    </dxf>
    <dxf>
      <font>
        <b/>
        <i val="0"/>
        <color theme="4" tint="-0.499984740745262"/>
      </font>
      <border diagonalUp="0" diagonalDown="0">
        <left style="thin">
          <color theme="4" tint="-0.499984740745262"/>
        </left>
        <right/>
        <top/>
        <bottom style="thin">
          <color theme="4" tint="-0.499984740745262"/>
        </bottom>
        <vertical/>
        <horizontal/>
      </border>
    </dxf>
    <dxf>
      <font>
        <b/>
        <i val="0"/>
        <color theme="4" tint="-0.499984740745262"/>
      </font>
      <border diagonalUp="0" diagonalDown="0">
        <left/>
        <right/>
        <top/>
        <bottom style="thin">
          <color theme="4" tint="-0.499984740745262"/>
        </bottom>
        <vertical/>
        <horizontal/>
      </border>
    </dxf>
    <dxf>
      <border>
        <left style="thin">
          <color theme="4" tint="-0.499984740745262"/>
        </left>
        <right style="thin">
          <color theme="4" tint="-0.499984740745262"/>
        </right>
        <top style="thin">
          <color theme="4" tint="-0.499984740745262"/>
        </top>
        <bottom style="thin">
          <color theme="4" tint="-0.499984740745262"/>
        </bottom>
        <horizontal style="thin">
          <color theme="5" tint="-0.499984740745262"/>
        </horizontal>
      </border>
    </dxf>
  </dxfs>
  <tableStyles count="1" defaultPivotStyle="PivotStyleLight16">
    <tableStyle name="Tareas" pivot="0" count="3" xr9:uid="{00000000-0011-0000-FFFF-FFFF00000000}">
      <tableStyleElement type="wholeTable" dxfId="88"/>
      <tableStyleElement type="headerRow" dxfId="87"/>
      <tableStyleElement type="firstColumn" dxfId="8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worksheet" Target="/xl/worksheets/sheet81.xml" Id="rId8" /><Relationship Type="http://schemas.openxmlformats.org/officeDocument/2006/relationships/theme" Target="/xl/theme/theme11.xml" Id="rId13" /><Relationship Type="http://schemas.openxmlformats.org/officeDocument/2006/relationships/customXml" Target="/customXml/item2.xml" Id="rId18" /><Relationship Type="http://schemas.openxmlformats.org/officeDocument/2006/relationships/worksheet" Target="/xl/worksheets/sheet32.xml" Id="rId3" /><Relationship Type="http://schemas.openxmlformats.org/officeDocument/2006/relationships/worksheet" Target="/xl/worksheets/sheet73.xml" Id="rId7" /><Relationship Type="http://schemas.openxmlformats.org/officeDocument/2006/relationships/worksheet" Target="/xl/worksheets/sheet124.xml" Id="rId12" /><Relationship Type="http://schemas.openxmlformats.org/officeDocument/2006/relationships/customXml" Target="/customXml/item12.xml" Id="rId17" /><Relationship Type="http://schemas.openxmlformats.org/officeDocument/2006/relationships/worksheet" Target="/xl/worksheets/sheet25.xml" Id="rId2" /><Relationship Type="http://schemas.openxmlformats.org/officeDocument/2006/relationships/calcChain" Target="/xl/calcChain.xml" Id="rId16" /><Relationship Type="http://schemas.openxmlformats.org/officeDocument/2006/relationships/worksheet" Target="/xl/worksheets/sheet16.xml" Id="rId1" /><Relationship Type="http://schemas.openxmlformats.org/officeDocument/2006/relationships/worksheet" Target="/xl/worksheets/sheet67.xml" Id="rId6" /><Relationship Type="http://schemas.openxmlformats.org/officeDocument/2006/relationships/worksheet" Target="/xl/worksheets/sheet118.xml" Id="rId11" /><Relationship Type="http://schemas.openxmlformats.org/officeDocument/2006/relationships/worksheet" Target="/xl/worksheets/sheet59.xml" Id="rId5" /><Relationship Type="http://schemas.openxmlformats.org/officeDocument/2006/relationships/sharedStrings" Target="/xl/sharedStrings.xml" Id="rId15" /><Relationship Type="http://schemas.openxmlformats.org/officeDocument/2006/relationships/worksheet" Target="/xl/worksheets/sheet1010.xml" Id="rId10" /><Relationship Type="http://schemas.openxmlformats.org/officeDocument/2006/relationships/customXml" Target="/customXml/item33.xml" Id="rId19" /><Relationship Type="http://schemas.openxmlformats.org/officeDocument/2006/relationships/worksheet" Target="/xl/worksheets/sheet411.xml" Id="rId4" /><Relationship Type="http://schemas.openxmlformats.org/officeDocument/2006/relationships/worksheet" Target="/xl/worksheets/sheet912.xml" Id="rId9" /><Relationship Type="http://schemas.openxmlformats.org/officeDocument/2006/relationships/styles" Target="/xl/styles.xml" Id="rId14" /></Relationships>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JanuaryAssignments" displayName="JanuaryAssignments" ref="J1:L31" totalsRowShown="0">
  <autoFilter ref="J1:L31" xr:uid="{00000000-0009-0000-0100-000001000000}">
    <filterColumn colId="0" hiddenButton="1"/>
    <filterColumn colId="1" hiddenButton="1"/>
    <filterColumn colId="2" hiddenButton="1"/>
  </autoFilter>
  <tableColumns count="3">
    <tableColumn id="1" xr3:uid="{00000000-0010-0000-0000-000001000000}" name="Día de la semana"/>
    <tableColumn id="2" xr3:uid="{00000000-0010-0000-0000-000002000000}" name="día de calendario" dataCellStyle="Fecha"/>
    <tableColumn id="3" xr3:uid="{00000000-0010-0000-0000-000003000000}" name="TAREAS"/>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ebruaryAssignments" displayName="FebruaryAssignments" ref="J1:L31" totalsRowShown="0">
  <autoFilter ref="J1:L31" xr:uid="{00000000-0009-0000-0100-000002000000}">
    <filterColumn colId="0" hiddenButton="1"/>
    <filterColumn colId="1" hiddenButton="1"/>
    <filterColumn colId="2" hiddenButton="1"/>
  </autoFilter>
  <tableColumns count="3">
    <tableColumn id="1" xr3:uid="{00000000-0010-0000-0100-000001000000}" name="Día de la semana"/>
    <tableColumn id="2" xr3:uid="{00000000-0010-0000-0100-000002000000}" name="día de calendario" dataCellStyle="Fecha"/>
    <tableColumn id="3" xr3:uid="{00000000-0010-0000-0100-000003000000}" name="TAREAS" dataCellStyle="Normal"/>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achrAssignments" displayName="MachrAssignments" ref="J1:L31" totalsRowShown="0">
  <autoFilter ref="J1:L31" xr:uid="{00000000-0009-0000-0100-000003000000}">
    <filterColumn colId="0" hiddenButton="1"/>
    <filterColumn colId="1" hiddenButton="1"/>
    <filterColumn colId="2" hiddenButton="1"/>
  </autoFilter>
  <tableColumns count="3">
    <tableColumn id="1" xr3:uid="{00000000-0010-0000-0200-000001000000}" name="Día de la semana"/>
    <tableColumn id="2" xr3:uid="{00000000-0010-0000-0200-000002000000}" name="día de calendario" dataCellStyle="Fecha"/>
    <tableColumn id="3" xr3:uid="{00000000-0010-0000-0200-000003000000}" name="TAREAS"/>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ayAssignments" displayName="MayAssignments" ref="J1:L31" totalsRowShown="0">
  <autoFilter ref="J1:L31" xr:uid="{00000000-0009-0000-0100-000005000000}">
    <filterColumn colId="0" hiddenButton="1"/>
    <filterColumn colId="1" hiddenButton="1"/>
    <filterColumn colId="2" hiddenButton="1"/>
  </autoFilter>
  <tableColumns count="3">
    <tableColumn id="1" xr3:uid="{00000000-0010-0000-0400-000001000000}" name="Día de la semana"/>
    <tableColumn id="2" xr3:uid="{00000000-0010-0000-0400-000002000000}" name="día de calendario" dataCellStyle="Fecha"/>
    <tableColumn id="3" xr3:uid="{00000000-0010-0000-0400-000003000000}" name="TAREAS"/>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JuneAssignments" displayName="JuneAssignments" ref="J1:L31" totalsRowShown="0">
  <autoFilter ref="J1:L31" xr:uid="{00000000-0009-0000-0100-000006000000}">
    <filterColumn colId="0" hiddenButton="1"/>
    <filterColumn colId="1" hiddenButton="1"/>
    <filterColumn colId="2" hiddenButton="1"/>
  </autoFilter>
  <tableColumns count="3">
    <tableColumn id="1" xr3:uid="{00000000-0010-0000-0500-000001000000}" name="Día de la semana"/>
    <tableColumn id="2" xr3:uid="{00000000-0010-0000-0500-000002000000}" name="día de calendario" dataCellStyle="Fecha"/>
    <tableColumn id="3" xr3:uid="{00000000-0010-0000-0500-000003000000}" name="TAREAS"/>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JulyAssignments" displayName="JulyAssignments" ref="J1:L31" totalsRowShown="0">
  <autoFilter ref="J1:L31" xr:uid="{00000000-0009-0000-0100-000007000000}">
    <filterColumn colId="0" hiddenButton="1"/>
    <filterColumn colId="1" hiddenButton="1"/>
    <filterColumn colId="2" hiddenButton="1"/>
  </autoFilter>
  <tableColumns count="3">
    <tableColumn id="1" xr3:uid="{00000000-0010-0000-0600-000001000000}" name="Día de la semana"/>
    <tableColumn id="2" xr3:uid="{00000000-0010-0000-0600-000002000000}" name="día de calendario" dataCellStyle="Fecha"/>
    <tableColumn id="3" xr3:uid="{00000000-0010-0000-0600-000003000000}" name="TAREAS"/>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AugustAssignments" displayName="AugustAssignments" ref="J1:L31" totalsRowShown="0">
  <autoFilter ref="J1:L31" xr:uid="{00000000-0009-0000-0100-000008000000}">
    <filterColumn colId="0" hiddenButton="1"/>
    <filterColumn colId="1" hiddenButton="1"/>
    <filterColumn colId="2" hiddenButton="1"/>
  </autoFilter>
  <tableColumns count="3">
    <tableColumn id="1" xr3:uid="{00000000-0010-0000-0700-000001000000}" name="Día de la semana"/>
    <tableColumn id="2" xr3:uid="{00000000-0010-0000-0700-000002000000}" name="día de calendario" dataCellStyle="Fecha"/>
    <tableColumn id="3" xr3:uid="{00000000-0010-0000-0700-000003000000}" name="TAREAS"/>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NovemberAssignments" displayName="NovemberAssignments" ref="J1:L31" totalsRowShown="0">
  <autoFilter ref="J1:L31" xr:uid="{00000000-0009-0000-0100-00000B000000}">
    <filterColumn colId="0" hiddenButton="1"/>
    <filterColumn colId="1" hiddenButton="1"/>
    <filterColumn colId="2" hiddenButton="1"/>
  </autoFilter>
  <tableColumns count="3">
    <tableColumn id="1" xr3:uid="{00000000-0010-0000-0A00-000001000000}" name="Día de la semana"/>
    <tableColumn id="2" xr3:uid="{00000000-0010-0000-0A00-000002000000}" name="día de calendario" dataCellStyle="Fecha"/>
    <tableColumn id="3" xr3:uid="{00000000-0010-0000-0A00-000003000000}" name="TAREAS"/>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DecemberAssignments" displayName="DecemberAssignments" ref="J1:L31" totalsRowShown="0" dataCellStyle="Normal">
  <autoFilter ref="J1:L31" xr:uid="{00000000-0009-0000-0100-00000C000000}">
    <filterColumn colId="0" hiddenButton="1"/>
    <filterColumn colId="1" hiddenButton="1"/>
    <filterColumn colId="2" hiddenButton="1"/>
  </autoFilter>
  <tableColumns count="3">
    <tableColumn id="1" xr3:uid="{00000000-0010-0000-0B00-000001000000}" name="Día de la semana"/>
    <tableColumn id="2" xr3:uid="{00000000-0010-0000-0B00-000002000000}" name="día de calendario" dataCellStyle="Fecha"/>
    <tableColumn id="3" xr3:uid="{00000000-0010-0000-0B00-000003000000}" name="TAREAS" dataCellStyle="Normal"/>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4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prilAssignments" displayName="AprilAssignments" ref="J1:L31" totalsRowShown="0">
  <autoFilter ref="J1:L31" xr:uid="{00000000-0009-0000-0100-000004000000}">
    <filterColumn colId="0" hiddenButton="1"/>
    <filterColumn colId="1" hiddenButton="1"/>
    <filterColumn colId="2" hiddenButton="1"/>
  </autoFilter>
  <tableColumns count="3">
    <tableColumn id="1" xr3:uid="{00000000-0010-0000-0300-000001000000}" name="Día de la semana"/>
    <tableColumn id="2" xr3:uid="{00000000-0010-0000-0300-000002000000}" name="día de calendario" dataCellStyle="Fecha"/>
    <tableColumn id="3" xr3:uid="{00000000-0010-0000-0300-000003000000}" name="TAREAS"/>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9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SeptemberAssignments" displayName="SeptemberAssignments" ref="J1:L31" totalsRowShown="0">
  <autoFilter ref="J1:L31" xr:uid="{00000000-0009-0000-0100-000009000000}">
    <filterColumn colId="0" hiddenButton="1"/>
    <filterColumn colId="1" hiddenButton="1"/>
    <filterColumn colId="2" hiddenButton="1"/>
  </autoFilter>
  <tableColumns count="3">
    <tableColumn id="1" xr3:uid="{00000000-0010-0000-0800-000001000000}" name="Día de la semana"/>
    <tableColumn id="2" xr3:uid="{00000000-0010-0000-0800-000002000000}" name="día de calendario" dataCellStyle="Fecha"/>
    <tableColumn id="3" xr3:uid="{00000000-0010-0000-0800-000003000000}" name="TAREAS"/>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ables/table10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OctoberAssignments" displayName="OctoberAssignments" ref="J1:L31" totalsRowShown="0">
  <autoFilter ref="J1:L31" xr:uid="{00000000-0009-0000-0100-00000A000000}">
    <filterColumn colId="0" hiddenButton="1"/>
    <filterColumn colId="1" hiddenButton="1"/>
    <filterColumn colId="2" hiddenButton="1"/>
  </autoFilter>
  <tableColumns count="3">
    <tableColumn id="1" xr3:uid="{00000000-0010-0000-0900-000001000000}" name="Día de la semana"/>
    <tableColumn id="2" xr3:uid="{00000000-0010-0000-0900-000002000000}" name="día de calendario" dataCellStyle="Fecha"/>
    <tableColumn id="3" xr3:uid="{00000000-0010-0000-0900-000003000000}" name="TAREAS"/>
  </tableColumns>
  <tableStyleInfo name="Tareas" showFirstColumn="1" showLastColumn="0" showRowStripes="1" showColumnStripes="0"/>
  <extLst>
    <ext xmlns:x14="http://schemas.microsoft.com/office/spreadsheetml/2009/9/main" uri="{504A1905-F514-4f6f-8877-14C23A59335A}">
      <x14:table altTextSummary="Escriba un día y una tarea para el día de la semana en la columna J. Las tareas aparecerán resaltadas en el calendario para este mes en esta hoja de cálculo."/>
    </ext>
  </extLst>
</table>
</file>

<file path=xl/theme/theme11.xml><?xml version="1.0" encoding="utf-8"?>
<a:theme xmlns:a="http://schemas.openxmlformats.org/drawingml/2006/main" name="10_college_cal">
  <a:themeElements>
    <a:clrScheme name="Assignment Calendar">
      <a:dk1>
        <a:sysClr val="windowText" lastClr="000000"/>
      </a:dk1>
      <a:lt1>
        <a:sysClr val="window" lastClr="FFFFFF"/>
      </a:lt1>
      <a:dk2>
        <a:srgbClr val="1F497D"/>
      </a:dk2>
      <a:lt2>
        <a:srgbClr val="EEECE1"/>
      </a:lt2>
      <a:accent1>
        <a:srgbClr val="39B5D4"/>
      </a:accent1>
      <a:accent2>
        <a:srgbClr val="FFCCCC"/>
      </a:accent2>
      <a:accent3>
        <a:srgbClr val="4DBB68"/>
      </a:accent3>
      <a:accent4>
        <a:srgbClr val="FFFB59"/>
      </a:accent4>
      <a:accent5>
        <a:srgbClr val="FF9900"/>
      </a:accent5>
      <a:accent6>
        <a:srgbClr val="AC75D5"/>
      </a:accent6>
      <a:hlink>
        <a:srgbClr val="57B5D4"/>
      </a:hlink>
      <a:folHlink>
        <a:srgbClr val="BA4F8B"/>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6.xml.rels>&#65279;<?xml version="1.0" encoding="utf-8"?><Relationships xmlns="http://schemas.openxmlformats.org/package/2006/relationships"><Relationship Type="http://schemas.openxmlformats.org/officeDocument/2006/relationships/table" Target="/xl/tables/table16.xml" Id="rId2" /><Relationship Type="http://schemas.openxmlformats.org/officeDocument/2006/relationships/printerSettings" Target="/xl/printerSettings/printerSettings16.bin" Id="rId1" /></Relationships>
</file>

<file path=xl/worksheets/_rels/sheet25.xml.rels>&#65279;<?xml version="1.0" encoding="utf-8"?><Relationships xmlns="http://schemas.openxmlformats.org/package/2006/relationships"><Relationship Type="http://schemas.openxmlformats.org/officeDocument/2006/relationships/table" Target="/xl/tables/table25.xml" Id="rId2" /><Relationship Type="http://schemas.openxmlformats.org/officeDocument/2006/relationships/printerSettings" Target="/xl/printerSettings/printerSettings25.bin" Id="rId1" /></Relationships>
</file>

<file path=xl/worksheets/_rels/sheet32.xml.rels>&#65279;<?xml version="1.0" encoding="utf-8"?><Relationships xmlns="http://schemas.openxmlformats.org/package/2006/relationships"><Relationship Type="http://schemas.openxmlformats.org/officeDocument/2006/relationships/table" Target="/xl/tables/table32.xml" Id="rId2" /><Relationship Type="http://schemas.openxmlformats.org/officeDocument/2006/relationships/printerSettings" Target="/xl/printerSettings/printerSettings32.bin" Id="rId1" /></Relationships>
</file>

<file path=xl/worksheets/_rels/sheet59.xml.rels>&#65279;<?xml version="1.0" encoding="utf-8"?><Relationships xmlns="http://schemas.openxmlformats.org/package/2006/relationships"><Relationship Type="http://schemas.openxmlformats.org/officeDocument/2006/relationships/table" Target="/xl/tables/table59.xml" Id="rId2" /><Relationship Type="http://schemas.openxmlformats.org/officeDocument/2006/relationships/printerSettings" Target="/xl/printerSettings/printerSettings59.bin" Id="rId1" /></Relationships>
</file>

<file path=xl/worksheets/_rels/sheet67.xml.rels>&#65279;<?xml version="1.0" encoding="utf-8"?><Relationships xmlns="http://schemas.openxmlformats.org/package/2006/relationships"><Relationship Type="http://schemas.openxmlformats.org/officeDocument/2006/relationships/table" Target="/xl/tables/table67.xml" Id="rId2" /><Relationship Type="http://schemas.openxmlformats.org/officeDocument/2006/relationships/printerSettings" Target="/xl/printerSettings/printerSettings67.bin" Id="rId1" /></Relationships>
</file>

<file path=xl/worksheets/_rels/sheet73.xml.rels>&#65279;<?xml version="1.0" encoding="utf-8"?><Relationships xmlns="http://schemas.openxmlformats.org/package/2006/relationships"><Relationship Type="http://schemas.openxmlformats.org/officeDocument/2006/relationships/table" Target="/xl/tables/table73.xml" Id="rId2" /><Relationship Type="http://schemas.openxmlformats.org/officeDocument/2006/relationships/printerSettings" Target="/xl/printerSettings/printerSettings73.bin" Id="rId1" /></Relationships>
</file>

<file path=xl/worksheets/_rels/sheet81.xml.rels>&#65279;<?xml version="1.0" encoding="utf-8"?><Relationships xmlns="http://schemas.openxmlformats.org/package/2006/relationships"><Relationship Type="http://schemas.openxmlformats.org/officeDocument/2006/relationships/table" Target="/xl/tables/table81.xml" Id="rId2" /><Relationship Type="http://schemas.openxmlformats.org/officeDocument/2006/relationships/printerSettings" Target="/xl/printerSettings/printerSettings81.bin" Id="rId1" /></Relationships>
</file>

<file path=xl/worksheets/_rels/sheet118.xml.rels>&#65279;<?xml version="1.0" encoding="utf-8"?><Relationships xmlns="http://schemas.openxmlformats.org/package/2006/relationships"><Relationship Type="http://schemas.openxmlformats.org/officeDocument/2006/relationships/table" Target="/xl/tables/table118.xml" Id="rId2" /><Relationship Type="http://schemas.openxmlformats.org/officeDocument/2006/relationships/printerSettings" Target="/xl/printerSettings/printerSettings118.bin" Id="rId1" /></Relationships>
</file>

<file path=xl/worksheets/_rels/sheet124.xml.rels>&#65279;<?xml version="1.0" encoding="utf-8"?><Relationships xmlns="http://schemas.openxmlformats.org/package/2006/relationships"><Relationship Type="http://schemas.openxmlformats.org/officeDocument/2006/relationships/table" Target="/xl/tables/table124.xml" Id="rId2" /><Relationship Type="http://schemas.openxmlformats.org/officeDocument/2006/relationships/printerSettings" Target="/xl/printerSettings/printerSettings124.bin" Id="rId1" /></Relationships>
</file>

<file path=xl/worksheets/_rels/sheet411.xml.rels>&#65279;<?xml version="1.0" encoding="utf-8"?><Relationships xmlns="http://schemas.openxmlformats.org/package/2006/relationships"><Relationship Type="http://schemas.openxmlformats.org/officeDocument/2006/relationships/table" Target="/xl/tables/table411.xml" Id="rId2" /><Relationship Type="http://schemas.openxmlformats.org/officeDocument/2006/relationships/printerSettings" Target="/xl/printerSettings/printerSettings411.bin" Id="rId1" /></Relationships>
</file>

<file path=xl/worksheets/_rels/sheet912.xml.rels>&#65279;<?xml version="1.0" encoding="utf-8"?><Relationships xmlns="http://schemas.openxmlformats.org/package/2006/relationships"><Relationship Type="http://schemas.openxmlformats.org/officeDocument/2006/relationships/table" Target="/xl/tables/table912.xml" Id="rId2" /><Relationship Type="http://schemas.openxmlformats.org/officeDocument/2006/relationships/printerSettings" Target="/xl/printerSettings/printerSettings912.bin" Id="rId1" /></Relationships>
</file>

<file path=xl/worksheets/_rels/sheet1010.xml.rels>&#65279;<?xml version="1.0" encoding="utf-8"?><Relationships xmlns="http://schemas.openxmlformats.org/package/2006/relationships"><Relationship Type="http://schemas.openxmlformats.org/officeDocument/2006/relationships/table" Target="/xl/tables/table1010.xml" Id="rId2" /><Relationship Type="http://schemas.openxmlformats.org/officeDocument/2006/relationships/printerSettings" Target="/xl/printerSettings/printerSettings1010.bin" Id="rId1" /></Relationships>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fitToPage="1"/>
  </sheetPr>
  <dimension ref="A1:L31"/>
  <sheetViews>
    <sheetView showGridLines="0" tabSelected="1"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 min="14" max="14" width="8.625" customWidth="1"/>
  </cols>
  <sheetData>
    <row r="1" spans="1:12" ht="30" customHeight="1" x14ac:dyDescent="0.2">
      <c r="B1" s="7">
        <v>2023</v>
      </c>
      <c r="C1" s="5" t="s">
        <v>9</v>
      </c>
      <c r="J1" s="20" t="s">
        <v>20</v>
      </c>
      <c r="K1" s="20" t="s">
        <v>22</v>
      </c>
      <c r="L1" s="10" t="s">
        <v>23</v>
      </c>
    </row>
    <row r="2" spans="1:12" ht="30" customHeight="1" x14ac:dyDescent="0.25">
      <c r="A2" s="12"/>
      <c r="B2" s="36" t="s">
        <v>0</v>
      </c>
      <c r="C2" s="6" t="s">
        <v>2</v>
      </c>
      <c r="D2" s="6" t="s">
        <v>10</v>
      </c>
      <c r="E2" s="6" t="s">
        <v>15</v>
      </c>
      <c r="F2" s="6" t="s">
        <v>16</v>
      </c>
      <c r="G2" s="6" t="s">
        <v>17</v>
      </c>
      <c r="H2" s="6" t="s">
        <v>18</v>
      </c>
      <c r="I2" s="6" t="s">
        <v>19</v>
      </c>
      <c r="J2" s="9" t="s">
        <v>2</v>
      </c>
      <c r="K2" s="2">
        <v>4</v>
      </c>
      <c r="L2" s="14" t="s">
        <v>24</v>
      </c>
    </row>
    <row r="3" spans="1:12" ht="30" customHeight="1" x14ac:dyDescent="0.25">
      <c r="A3" s="12"/>
      <c r="C3" s="40">
        <f>IF(DAY(JanSun1)=1,JanSun1-6,JanSun1+1)</f>
        <v>44921</v>
      </c>
      <c r="D3" s="40">
        <f>IF(DAY(JanSun1)=1,JanSun1-5,JanSun1+2)</f>
        <v>44922</v>
      </c>
      <c r="E3" s="40">
        <f>IF(DAY(JanSun1)=1,JanSun1-4,JanSun1+3)</f>
        <v>44923</v>
      </c>
      <c r="F3" s="40">
        <f>IF(DAY(JanSun1)=1,JanSun1-3,JanSun1+4)</f>
        <v>44924</v>
      </c>
      <c r="G3" s="40">
        <f>IF(DAY(JanSun1)=1,JanSun1-2,JanSun1+5)</f>
        <v>44925</v>
      </c>
      <c r="H3" s="40">
        <f>IF(DAY(JanSun1)=1,JanSun1-1,JanSun1+6)</f>
        <v>44926</v>
      </c>
      <c r="I3" s="40">
        <f>IF(DAY(JanSun1)=1,JanSun1,JanSun1+7)</f>
        <v>44927</v>
      </c>
      <c r="J3" s="9"/>
      <c r="K3" s="2"/>
      <c r="L3" s="14"/>
    </row>
    <row r="4" spans="1:12" ht="30" customHeight="1" x14ac:dyDescent="0.25">
      <c r="A4" s="12"/>
      <c r="C4" s="40">
        <f>IF(DAY(JanSun1)=1,JanSun1+1,JanSun1+8)</f>
        <v>44928</v>
      </c>
      <c r="D4" s="40">
        <f>IF(DAY(JanSun1)=1,JanSun1+2,JanSun1+9)</f>
        <v>44929</v>
      </c>
      <c r="E4" s="40">
        <f>IF(DAY(JanSun1)=1,JanSun1+3,JanSun1+10)</f>
        <v>44930</v>
      </c>
      <c r="F4" s="40">
        <f>IF(DAY(JanSun1)=1,JanSun1+4,JanSun1+11)</f>
        <v>44931</v>
      </c>
      <c r="G4" s="40">
        <f>IF(DAY(JanSun1)=1,JanSun1+5,JanSun1+12)</f>
        <v>44932</v>
      </c>
      <c r="H4" s="40">
        <f>IF(DAY(JanSun1)=1,JanSun1+6,JanSun1+13)</f>
        <v>44933</v>
      </c>
      <c r="I4" s="40">
        <f>IF(DAY(JanSun1)=1,JanSun1+7,JanSun1+14)</f>
        <v>44934</v>
      </c>
      <c r="J4" s="9"/>
      <c r="K4" s="2"/>
      <c r="L4" s="14"/>
    </row>
    <row r="5" spans="1:12" ht="30" customHeight="1" x14ac:dyDescent="0.25">
      <c r="A5" s="12"/>
      <c r="C5" s="40">
        <f>IF(DAY(JanSun1)=1,JanSun1+8,JanSun1+15)</f>
        <v>44935</v>
      </c>
      <c r="D5" s="40">
        <f>IF(DAY(JanSun1)=1,JanSun1+9,JanSun1+16)</f>
        <v>44936</v>
      </c>
      <c r="E5" s="40">
        <f>IF(DAY(JanSun1)=1,JanSun1+10,JanSun1+17)</f>
        <v>44937</v>
      </c>
      <c r="F5" s="40">
        <f>IF(DAY(JanSun1)=1,JanSun1+11,JanSun1+18)</f>
        <v>44938</v>
      </c>
      <c r="G5" s="40">
        <f>IF(DAY(JanSun1)=1,JanSun1+12,JanSun1+19)</f>
        <v>44939</v>
      </c>
      <c r="H5" s="40">
        <f>IF(DAY(JanSun1)=1,JanSun1+13,JanSun1+20)</f>
        <v>44940</v>
      </c>
      <c r="I5" s="40">
        <f>IF(DAY(JanSun1)=1,JanSun1+14,JanSun1+21)</f>
        <v>44941</v>
      </c>
      <c r="J5" s="9"/>
      <c r="K5" s="2"/>
      <c r="L5" s="14"/>
    </row>
    <row r="6" spans="1:12" ht="30" customHeight="1" x14ac:dyDescent="0.25">
      <c r="A6" s="12"/>
      <c r="C6" s="40">
        <f>IF(DAY(JanSun1)=1,JanSun1+15,JanSun1+22)</f>
        <v>44942</v>
      </c>
      <c r="D6" s="40">
        <f>IF(DAY(JanSun1)=1,JanSun1+16,JanSun1+23)</f>
        <v>44943</v>
      </c>
      <c r="E6" s="40">
        <f>IF(DAY(JanSun1)=1,JanSun1+17,JanSun1+24)</f>
        <v>44944</v>
      </c>
      <c r="F6" s="40">
        <f>IF(DAY(JanSun1)=1,JanSun1+18,JanSun1+25)</f>
        <v>44945</v>
      </c>
      <c r="G6" s="40">
        <f>IF(DAY(JanSun1)=1,JanSun1+19,JanSun1+26)</f>
        <v>44946</v>
      </c>
      <c r="H6" s="40">
        <f>IF(DAY(JanSun1)=1,JanSun1+20,JanSun1+27)</f>
        <v>44947</v>
      </c>
      <c r="I6" s="40">
        <f>IF(DAY(JanSun1)=1,JanSun1+21,JanSun1+28)</f>
        <v>44948</v>
      </c>
      <c r="J6" s="9"/>
      <c r="K6" s="2"/>
      <c r="L6" s="14"/>
    </row>
    <row r="7" spans="1:12" ht="30" customHeight="1" x14ac:dyDescent="0.25">
      <c r="A7" s="12"/>
      <c r="C7" s="40">
        <f>IF(DAY(JanSun1)=1,JanSun1+22,JanSun1+29)</f>
        <v>44949</v>
      </c>
      <c r="D7" s="40">
        <f>IF(DAY(JanSun1)=1,JanSun1+23,JanSun1+30)</f>
        <v>44950</v>
      </c>
      <c r="E7" s="40">
        <f>IF(DAY(JanSun1)=1,JanSun1+24,JanSun1+31)</f>
        <v>44951</v>
      </c>
      <c r="F7" s="40">
        <f>IF(DAY(JanSun1)=1,JanSun1+25,JanSun1+32)</f>
        <v>44952</v>
      </c>
      <c r="G7" s="40">
        <f>IF(DAY(JanSun1)=1,JanSun1+26,JanSun1+33)</f>
        <v>44953</v>
      </c>
      <c r="H7" s="40">
        <f>IF(DAY(JanSun1)=1,JanSun1+27,JanSun1+34)</f>
        <v>44954</v>
      </c>
      <c r="I7" s="40">
        <f>IF(DAY(JanSun1)=1,JanSun1+28,JanSun1+35)</f>
        <v>44955</v>
      </c>
      <c r="J7" s="21"/>
      <c r="K7" s="19"/>
      <c r="L7" s="17"/>
    </row>
    <row r="8" spans="1:12" ht="30" customHeight="1" x14ac:dyDescent="0.25">
      <c r="A8" s="12"/>
      <c r="B8" s="17"/>
      <c r="C8" s="41">
        <f>IF(DAY(JanSun1)=1,JanSun1+29,JanSun1+36)</f>
        <v>44956</v>
      </c>
      <c r="D8" s="41">
        <f>IF(DAY(JanSun1)=1,JanSun1+30,JanSun1+37)</f>
        <v>44957</v>
      </c>
      <c r="E8" s="41">
        <f>IF(DAY(JanSun1)=1,JanSun1+31,JanSun1+38)</f>
        <v>44958</v>
      </c>
      <c r="F8" s="41">
        <f>IF(DAY(JanSun1)=1,JanSun1+32,JanSun1+39)</f>
        <v>44959</v>
      </c>
      <c r="G8" s="41">
        <f>IF(DAY(JanSun1)=1,JanSun1+33,JanSun1+40)</f>
        <v>44960</v>
      </c>
      <c r="H8" s="41">
        <f>IF(DAY(JanSun1)=1,JanSun1+34,JanSun1+41)</f>
        <v>44961</v>
      </c>
      <c r="I8" s="41">
        <f>IF(DAY(JanSun1)=1,JanSun1+35,JanSun1+42)</f>
        <v>44962</v>
      </c>
      <c r="J8" s="9" t="s">
        <v>10</v>
      </c>
      <c r="K8" s="2">
        <v>19</v>
      </c>
      <c r="L8" s="14" t="s">
        <v>25</v>
      </c>
    </row>
    <row r="9" spans="1:12" ht="30" customHeight="1" x14ac:dyDescent="0.25">
      <c r="A9" s="12"/>
      <c r="J9" s="9"/>
      <c r="K9" s="2"/>
      <c r="L9" s="14"/>
    </row>
    <row r="10" spans="1:12" ht="30" customHeight="1" x14ac:dyDescent="0.25">
      <c r="A10" s="12"/>
      <c r="B10" s="16" t="s">
        <v>1</v>
      </c>
      <c r="C10" s="8"/>
      <c r="D10" s="8"/>
      <c r="E10" s="8"/>
      <c r="F10" s="8"/>
      <c r="G10" s="8"/>
      <c r="H10" s="8"/>
      <c r="I10" s="8"/>
      <c r="J10" s="9"/>
      <c r="K10" s="2"/>
      <c r="L10" s="14"/>
    </row>
    <row r="11" spans="1:12" ht="30" customHeight="1" x14ac:dyDescent="0.25">
      <c r="A11" s="24"/>
      <c r="B11" s="13" t="s">
        <v>2</v>
      </c>
      <c r="C11" s="48" t="s">
        <v>10</v>
      </c>
      <c r="D11" s="49"/>
      <c r="E11" s="48" t="s">
        <v>15</v>
      </c>
      <c r="F11" s="49"/>
      <c r="G11" s="48" t="s">
        <v>16</v>
      </c>
      <c r="H11" s="49"/>
      <c r="I11" s="3" t="s">
        <v>17</v>
      </c>
      <c r="J11" s="9"/>
      <c r="K11" s="2"/>
      <c r="L11" s="14"/>
    </row>
    <row r="12" spans="1:12" ht="30" customHeight="1" x14ac:dyDescent="0.25">
      <c r="A12" s="24"/>
      <c r="B12" s="44" t="s">
        <v>3</v>
      </c>
      <c r="C12" s="50"/>
      <c r="D12" s="50"/>
      <c r="E12" s="50" t="s">
        <v>3</v>
      </c>
      <c r="F12" s="50"/>
      <c r="G12" s="50"/>
      <c r="H12" s="50"/>
      <c r="I12" s="45" t="s">
        <v>3</v>
      </c>
      <c r="J12" s="9"/>
      <c r="K12" s="2"/>
      <c r="L12" s="14"/>
    </row>
    <row r="13" spans="1:12" ht="30" customHeight="1" x14ac:dyDescent="0.25">
      <c r="A13" s="24"/>
      <c r="B13" s="25" t="s">
        <v>4</v>
      </c>
      <c r="C13" s="51"/>
      <c r="D13" s="51"/>
      <c r="E13" s="51" t="s">
        <v>4</v>
      </c>
      <c r="F13" s="51"/>
      <c r="G13" s="51"/>
      <c r="H13" s="51"/>
      <c r="I13" s="26" t="s">
        <v>4</v>
      </c>
      <c r="J13" s="21"/>
      <c r="K13" s="19"/>
      <c r="L13" s="17"/>
    </row>
    <row r="14" spans="1:12" ht="30" customHeight="1" x14ac:dyDescent="0.25">
      <c r="A14" s="24"/>
      <c r="B14" s="44"/>
      <c r="C14" s="50" t="s">
        <v>11</v>
      </c>
      <c r="D14" s="50"/>
      <c r="E14" s="50"/>
      <c r="F14" s="50"/>
      <c r="G14" s="50" t="s">
        <v>11</v>
      </c>
      <c r="H14" s="50"/>
      <c r="I14" s="45"/>
      <c r="J14" s="9" t="s">
        <v>15</v>
      </c>
      <c r="K14" s="2"/>
      <c r="L14" s="14"/>
    </row>
    <row r="15" spans="1:12" ht="30" customHeight="1" x14ac:dyDescent="0.25">
      <c r="A15" s="24"/>
      <c r="B15" s="25"/>
      <c r="C15" s="51" t="s">
        <v>12</v>
      </c>
      <c r="D15" s="51"/>
      <c r="E15" s="51"/>
      <c r="F15" s="51"/>
      <c r="G15" s="51" t="s">
        <v>12</v>
      </c>
      <c r="H15" s="51"/>
      <c r="I15" s="26"/>
      <c r="J15" s="9"/>
      <c r="K15" s="2"/>
      <c r="L15" s="14"/>
    </row>
    <row r="16" spans="1:12" ht="30" customHeight="1" x14ac:dyDescent="0.25">
      <c r="A16" s="24"/>
      <c r="B16" s="44" t="s">
        <v>5</v>
      </c>
      <c r="C16" s="50"/>
      <c r="D16" s="50"/>
      <c r="E16" s="50" t="s">
        <v>5</v>
      </c>
      <c r="F16" s="50"/>
      <c r="G16" s="50"/>
      <c r="H16" s="50"/>
      <c r="I16" s="45" t="s">
        <v>5</v>
      </c>
      <c r="J16" s="9"/>
      <c r="K16" s="2"/>
      <c r="L16" s="14"/>
    </row>
    <row r="17" spans="1:12" ht="30" customHeight="1" x14ac:dyDescent="0.25">
      <c r="A17" s="24"/>
      <c r="B17" s="25" t="s">
        <v>6</v>
      </c>
      <c r="C17" s="51"/>
      <c r="D17" s="51"/>
      <c r="E17" s="51" t="s">
        <v>6</v>
      </c>
      <c r="F17" s="51"/>
      <c r="G17" s="51"/>
      <c r="H17" s="51"/>
      <c r="I17" s="26" t="s">
        <v>6</v>
      </c>
      <c r="J17" s="9"/>
      <c r="K17" s="2"/>
      <c r="L17" s="14"/>
    </row>
    <row r="18" spans="1:12" ht="30" customHeight="1" x14ac:dyDescent="0.25">
      <c r="A18" s="24"/>
      <c r="B18" s="44"/>
      <c r="C18" s="50"/>
      <c r="D18" s="50"/>
      <c r="E18" s="50"/>
      <c r="F18" s="50"/>
      <c r="G18" s="50"/>
      <c r="H18" s="50"/>
      <c r="I18" s="45"/>
      <c r="J18" s="9"/>
      <c r="K18" s="2"/>
      <c r="L18" s="14"/>
    </row>
    <row r="19" spans="1:12" ht="30" customHeight="1" x14ac:dyDescent="0.25">
      <c r="A19" s="24"/>
      <c r="B19" s="25"/>
      <c r="C19" s="51"/>
      <c r="D19" s="51"/>
      <c r="E19" s="51"/>
      <c r="F19" s="51"/>
      <c r="G19" s="51"/>
      <c r="H19" s="51"/>
      <c r="I19" s="27"/>
      <c r="J19" s="21"/>
      <c r="K19" s="19"/>
      <c r="L19" s="18"/>
    </row>
    <row r="20" spans="1:12" ht="30" customHeight="1" x14ac:dyDescent="0.25">
      <c r="A20" s="24"/>
      <c r="B20" s="44"/>
      <c r="C20" s="50"/>
      <c r="D20" s="50"/>
      <c r="E20" s="50"/>
      <c r="F20" s="50"/>
      <c r="G20" s="50"/>
      <c r="H20" s="50"/>
      <c r="I20" s="45"/>
      <c r="J20" s="9" t="s">
        <v>16</v>
      </c>
      <c r="K20" s="2"/>
      <c r="L20" s="14"/>
    </row>
    <row r="21" spans="1:12" ht="30" customHeight="1" x14ac:dyDescent="0.25">
      <c r="A21" s="24"/>
      <c r="B21" s="25"/>
      <c r="C21" s="51"/>
      <c r="D21" s="51"/>
      <c r="E21" s="51"/>
      <c r="F21" s="51"/>
      <c r="G21" s="51"/>
      <c r="H21" s="51"/>
      <c r="I21" s="26"/>
      <c r="J21" s="9"/>
      <c r="K21" s="2"/>
      <c r="L21" s="14"/>
    </row>
    <row r="22" spans="1:12" ht="30" customHeight="1" x14ac:dyDescent="0.25">
      <c r="A22" s="24"/>
      <c r="B22" s="44"/>
      <c r="C22" s="50"/>
      <c r="D22" s="50"/>
      <c r="E22" s="50"/>
      <c r="F22" s="50"/>
      <c r="G22" s="50"/>
      <c r="H22" s="50"/>
      <c r="I22" s="45"/>
      <c r="J22" s="9"/>
      <c r="K22" s="2"/>
      <c r="L22" s="14"/>
    </row>
    <row r="23" spans="1:12" ht="30" customHeight="1" x14ac:dyDescent="0.25">
      <c r="A23" s="24"/>
      <c r="B23" s="25"/>
      <c r="C23" s="51"/>
      <c r="D23" s="51"/>
      <c r="E23" s="51"/>
      <c r="F23" s="51"/>
      <c r="G23" s="51"/>
      <c r="H23" s="51"/>
      <c r="I23" s="26"/>
      <c r="J23" s="9"/>
      <c r="K23" s="2"/>
      <c r="L23" s="14"/>
    </row>
    <row r="24" spans="1:12" ht="30" customHeight="1" x14ac:dyDescent="0.25">
      <c r="A24" s="24"/>
      <c r="B24" s="44" t="s">
        <v>7</v>
      </c>
      <c r="C24" s="50"/>
      <c r="D24" s="50"/>
      <c r="E24" s="50" t="s">
        <v>7</v>
      </c>
      <c r="F24" s="50"/>
      <c r="G24" s="50"/>
      <c r="H24" s="50"/>
      <c r="I24" s="45" t="s">
        <v>7</v>
      </c>
      <c r="J24" s="9"/>
      <c r="K24" s="2"/>
      <c r="L24" s="14"/>
    </row>
    <row r="25" spans="1:12" ht="30" customHeight="1" x14ac:dyDescent="0.25">
      <c r="A25" s="24"/>
      <c r="B25" s="25" t="s">
        <v>8</v>
      </c>
      <c r="C25" s="51"/>
      <c r="D25" s="51"/>
      <c r="E25" s="51" t="s">
        <v>8</v>
      </c>
      <c r="F25" s="51"/>
      <c r="G25" s="51"/>
      <c r="H25" s="51"/>
      <c r="I25" s="26" t="s">
        <v>8</v>
      </c>
      <c r="J25" s="21"/>
      <c r="K25" s="19"/>
      <c r="L25" s="18"/>
    </row>
    <row r="26" spans="1:12" ht="30" customHeight="1" x14ac:dyDescent="0.25">
      <c r="A26" s="24"/>
      <c r="B26" s="44"/>
      <c r="C26" s="50"/>
      <c r="D26" s="50"/>
      <c r="E26" s="50"/>
      <c r="F26" s="50"/>
      <c r="G26" s="50"/>
      <c r="H26" s="50"/>
      <c r="I26" s="45"/>
      <c r="J26" s="9" t="s">
        <v>17</v>
      </c>
      <c r="K26" s="2"/>
      <c r="L26" s="14"/>
    </row>
    <row r="27" spans="1:12" ht="30" customHeight="1" x14ac:dyDescent="0.25">
      <c r="A27" s="24"/>
      <c r="B27" s="25"/>
      <c r="C27" s="51"/>
      <c r="D27" s="51"/>
      <c r="E27" s="51"/>
      <c r="F27" s="51"/>
      <c r="G27" s="51"/>
      <c r="H27" s="51"/>
      <c r="I27" s="26"/>
      <c r="J27" s="9"/>
      <c r="K27" s="2"/>
      <c r="L27" s="14"/>
    </row>
    <row r="28" spans="1:12" ht="30" customHeight="1" x14ac:dyDescent="0.25">
      <c r="A28" s="24"/>
      <c r="B28" s="44"/>
      <c r="C28" s="50" t="s">
        <v>13</v>
      </c>
      <c r="D28" s="50"/>
      <c r="E28" s="50"/>
      <c r="F28" s="50"/>
      <c r="G28" s="50" t="s">
        <v>13</v>
      </c>
      <c r="H28" s="50"/>
      <c r="I28" s="45"/>
      <c r="J28" s="9"/>
      <c r="K28" s="2"/>
      <c r="L28" s="14"/>
    </row>
    <row r="29" spans="1:12" ht="30" customHeight="1" x14ac:dyDescent="0.25">
      <c r="A29" s="24"/>
      <c r="B29" s="25"/>
      <c r="C29" s="51" t="s">
        <v>14</v>
      </c>
      <c r="D29" s="51"/>
      <c r="E29" s="51"/>
      <c r="F29" s="51"/>
      <c r="G29" s="51" t="s">
        <v>14</v>
      </c>
      <c r="H29" s="51"/>
      <c r="I29" s="26"/>
      <c r="J29" s="9"/>
      <c r="K29" s="2"/>
      <c r="L29" s="14"/>
    </row>
    <row r="30" spans="1:12" ht="30" customHeight="1" x14ac:dyDescent="0.25">
      <c r="A30" s="24"/>
      <c r="B30" s="44"/>
      <c r="C30" s="53"/>
      <c r="D30" s="53"/>
      <c r="E30" s="53"/>
      <c r="F30" s="53"/>
      <c r="G30" s="53"/>
      <c r="H30" s="53"/>
      <c r="I30" s="45"/>
      <c r="J30" s="9"/>
      <c r="K30" s="2"/>
      <c r="L30" s="14"/>
    </row>
    <row r="31" spans="1:12" ht="30" customHeight="1" x14ac:dyDescent="0.25">
      <c r="A31" s="24"/>
      <c r="B31" s="28"/>
      <c r="C31" s="52"/>
      <c r="D31" s="52"/>
      <c r="E31" s="52"/>
      <c r="F31" s="52"/>
      <c r="G31" s="52"/>
      <c r="H31" s="52"/>
      <c r="I31" s="29"/>
      <c r="J31" s="15"/>
      <c r="K31" s="2"/>
      <c r="L31" s="14"/>
    </row>
  </sheetData>
  <dataConsolidate/>
  <mergeCells count="63">
    <mergeCell ref="E11:F11"/>
    <mergeCell ref="C11:D11"/>
    <mergeCell ref="C17:D17"/>
    <mergeCell ref="C12:D12"/>
    <mergeCell ref="C13:D13"/>
    <mergeCell ref="C14:D14"/>
    <mergeCell ref="C15:D15"/>
    <mergeCell ref="C16:D16"/>
    <mergeCell ref="E14:F14"/>
    <mergeCell ref="E13:F13"/>
    <mergeCell ref="E12:F12"/>
    <mergeCell ref="C31:D31"/>
    <mergeCell ref="C22:D22"/>
    <mergeCell ref="C23:D23"/>
    <mergeCell ref="C24:D24"/>
    <mergeCell ref="C25:D25"/>
    <mergeCell ref="C26:D26"/>
    <mergeCell ref="C27:D27"/>
    <mergeCell ref="C28:D28"/>
    <mergeCell ref="C29:D29"/>
    <mergeCell ref="C30:D30"/>
    <mergeCell ref="C18:D18"/>
    <mergeCell ref="C19:D19"/>
    <mergeCell ref="C20:D20"/>
    <mergeCell ref="C21:D21"/>
    <mergeCell ref="E31:F31"/>
    <mergeCell ref="E30:F30"/>
    <mergeCell ref="E29:F29"/>
    <mergeCell ref="E28:F28"/>
    <mergeCell ref="E27:F27"/>
    <mergeCell ref="E26:F26"/>
    <mergeCell ref="E25:F25"/>
    <mergeCell ref="E24:F24"/>
    <mergeCell ref="E23:F23"/>
    <mergeCell ref="E22:F22"/>
    <mergeCell ref="E21:F21"/>
    <mergeCell ref="E20:F20"/>
    <mergeCell ref="E19:F19"/>
    <mergeCell ref="E18:F18"/>
    <mergeCell ref="E17:F17"/>
    <mergeCell ref="E16:F16"/>
    <mergeCell ref="E15:F15"/>
    <mergeCell ref="G31:H31"/>
    <mergeCell ref="G20:H20"/>
    <mergeCell ref="G21:H21"/>
    <mergeCell ref="G22:H22"/>
    <mergeCell ref="G28:H28"/>
    <mergeCell ref="G29:H29"/>
    <mergeCell ref="G30:H30"/>
    <mergeCell ref="G23:H23"/>
    <mergeCell ref="G24:H24"/>
    <mergeCell ref="G25:H25"/>
    <mergeCell ref="G26:H26"/>
    <mergeCell ref="G18:H18"/>
    <mergeCell ref="G19:H19"/>
    <mergeCell ref="G14:H14"/>
    <mergeCell ref="G15:H15"/>
    <mergeCell ref="G27:H27"/>
    <mergeCell ref="G11:H11"/>
    <mergeCell ref="G12:H12"/>
    <mergeCell ref="G13:H13"/>
    <mergeCell ref="G16:H16"/>
    <mergeCell ref="G17:H17"/>
  </mergeCells>
  <phoneticPr fontId="2" type="noConversion"/>
  <conditionalFormatting sqref="B12:I12 B14:I14 B16:I16 B18:I18 B20:I20 B22:I22 B24:I24 B26:I26 B28:I28 B30:I30">
    <cfRule type="expression" dxfId="85" priority="6">
      <formula>B12&lt;&gt;""</formula>
    </cfRule>
  </conditionalFormatting>
  <conditionalFormatting sqref="B12:I31">
    <cfRule type="expression" dxfId="84" priority="1">
      <formula>COLUMN(B11)&gt;2</formula>
    </cfRule>
  </conditionalFormatting>
  <conditionalFormatting sqref="B13:I13 B15:I15 B17:I17 B19:I19 B21:I21 B23:I23 B25:I25 B27:I27 B29:I29 B31:I31">
    <cfRule type="expression" dxfId="83" priority="4">
      <formula>B13&lt;&gt;""</formula>
    </cfRule>
  </conditionalFormatting>
  <conditionalFormatting sqref="B13:I13 B15:I15 B17:I17 B19:I19 B21:I21 B23:I23 B25:I25 B27:I27 B29:I29">
    <cfRule type="expression" dxfId="82" priority="3">
      <formula>COLUMN(B12)&gt;=2</formula>
    </cfRule>
  </conditionalFormatting>
  <conditionalFormatting sqref="C3:H3">
    <cfRule type="expression" dxfId="81" priority="9" stopIfTrue="1">
      <formula>DAY(C3)&gt;8</formula>
    </cfRule>
  </conditionalFormatting>
  <conditionalFormatting sqref="C3:I8">
    <cfRule type="expression" dxfId="80" priority="20">
      <formula>VLOOKUP(DAY(C3),AssignmentDays,1,FALSE)=DAY(C3)</formula>
    </cfRule>
  </conditionalFormatting>
  <conditionalFormatting sqref="C7:I8">
    <cfRule type="expression" dxfId="79" priority="8" stopIfTrue="1">
      <formula>AND(DAY(C7)&gt;=1,DAY(C7)&lt;=15)</formula>
    </cfRule>
  </conditionalFormatting>
  <dataValidations xWindow="250" yWindow="581" count="16">
    <dataValidation allowBlank="1" showInputMessage="1" showErrorMessage="1" prompt="Escriba el año en esta celda" sqref="B1" xr:uid="{00000000-0002-0000-0000-000000000000}"/>
    <dataValidation allowBlank="1" showInputMessage="1" showErrorMessage="1" prompt="Prepare una programación semanal y cree una lista de tareas en esta hoja de cálculo. Las entradas de la lista de tareas se resaltan automáticamente en el calendario mensual. Escriba el año en la celda B1." sqref="A1" xr:uid="{00000000-0002-0000-0000-000001000000}"/>
    <dataValidation allowBlank="1" showInputMessage="1" showErrorMessage="1" prompt="El calendario de enero resalta automáticamente las entradas de la lista de tareas para el mes. Las fuentes más oscuras indican tareas. Las fuentes más claras indican días que pertenecen al mes anterior o al mes siguiente" sqref="B2" xr:uid="{00000000-0002-0000-0000-000002000000}"/>
    <dataValidation allowBlank="1" showInputMessage="1" showErrorMessage="1" prompt="Las celdas C2 a I2 contienen días de la semana." sqref="C2" xr:uid="{00000000-0002-0000-0000-000003000000}"/>
    <dataValidation allowBlank="1" showInputMessage="1" showErrorMessage="1" prompt="Si esta celda no contiene el número 1, se trata de un día de del mes anterior. Las celdas C3 a I8 contienen fechas para el mes actual" sqref="C3" xr:uid="{00000000-0002-0000-0000-000004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000-000005000000}"/>
    <dataValidation allowBlank="1" showInputMessage="1" showErrorMessage="1" prompt="Escriba la clase en esta fila, de la columna B a la I." sqref="B13" xr:uid="{00000000-0002-0000-0000-000006000000}"/>
    <dataValidation allowBlank="1" showInputMessage="1" showErrorMessage="1" prompt="Escriba en esta columna el día de la tarea del mes que corresponda al día de la semana en la columna J. Esta fecha resaltará la tarea en el calendario de la izquierda" sqref="K1" xr:uid="{00000000-0002-0000-0000-000007000000}"/>
    <dataValidation allowBlank="1" showInputMessage="1" showErrorMessage="1" prompt="Escriba la hora en esta fila, de la columna B a la I" sqref="B12" xr:uid="{00000000-0002-0000-0000-000008000000}"/>
    <dataValidation allowBlank="1" showInputMessage="1" showErrorMessage="1" prompt="Escriba en esta columna los detalles de la tarea correspondientes al día de la semana en la columna J y al día en la columna K del mes calendario de la izquierda." sqref="L1" xr:uid="{00000000-0002-0000-0000-000009000000}"/>
    <dataValidation allowBlank="1" showInputMessage="1" showErrorMessage="1" prompt="Si esta fila contiene un número menor que el número o la fila de números anterior, en ese caso, esta fila contiene fechas para el próximo mes del calendario." sqref="C8" xr:uid="{00000000-0002-0000-0000-00000A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000-00000B000000}"/>
    <dataValidation allowBlank="1" showInputMessage="1" showErrorMessage="1" prompt="Los días de la semana se encuentran en esta fila, del lunes al viernes." sqref="B11" xr:uid="{00000000-0002-0000-0000-00000C000000}"/>
    <dataValidation allowBlank="1" showInputMessage="1" showErrorMessage="1" prompt="El día de la semana va en esta fila, empezando en la celda B11" sqref="A11" xr:uid="{88F46378-B132-4442-B6E6-D4F082FFCBDB}"/>
    <dataValidation allowBlank="1" showInputMessage="1" showErrorMessage="1" prompt="El tiempo de clase va en esta fila, empezando en la celda hasta la derecha_x000a_" sqref="A12 A14 A16 A18 A20 A22 A24 A26 A28 A30" xr:uid="{C34C8DFE-3BD5-4F27-BE29-D25062965CDB}"/>
    <dataValidation allowBlank="1" showInputMessage="1" showErrorMessage="1" prompt="El nombre de la clase va en esta fila, empezando en la celda a la derecha" sqref="A13 A15 A17 A19 A21 A23 A25 A27 A29 A31" xr:uid="{E6CB7532-0824-4D1A-A8F6-BBB43E459C2B}"/>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pageSetUpPr fitToPage="1"/>
  </sheetPr>
  <dimension ref="A1:L31"/>
  <sheetViews>
    <sheetView showGridLines="0"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42" t="s">
        <v>26</v>
      </c>
      <c r="C2" s="6" t="s">
        <v>2</v>
      </c>
      <c r="D2" s="6" t="s">
        <v>10</v>
      </c>
      <c r="E2" s="6" t="s">
        <v>15</v>
      </c>
      <c r="F2" s="6" t="s">
        <v>16</v>
      </c>
      <c r="G2" s="6" t="s">
        <v>17</v>
      </c>
      <c r="H2" s="6" t="s">
        <v>18</v>
      </c>
      <c r="I2" s="6" t="s">
        <v>19</v>
      </c>
      <c r="J2" s="9" t="s">
        <v>2</v>
      </c>
      <c r="K2" s="22"/>
    </row>
    <row r="3" spans="1:12" ht="30" customHeight="1" x14ac:dyDescent="0.25">
      <c r="A3" s="12"/>
      <c r="C3" s="40">
        <f>IF(DAY(FebSun1)=1,FebSun1-6,FebSun1+1)</f>
        <v>44956</v>
      </c>
      <c r="D3" s="40">
        <f>IF(DAY(FebSun1)=1,FebSun1-5,FebSun1+2)</f>
        <v>44957</v>
      </c>
      <c r="E3" s="40">
        <f>IF(DAY(FebSun1)=1,FebSun1-4,FebSun1+3)</f>
        <v>44958</v>
      </c>
      <c r="F3" s="40">
        <f>IF(DAY(FebSun1)=1,FebSun1-3,FebSun1+4)</f>
        <v>44959</v>
      </c>
      <c r="G3" s="40">
        <f>IF(DAY(FebSun1)=1,FebSun1-2,FebSun1+5)</f>
        <v>44960</v>
      </c>
      <c r="H3" s="40">
        <f>IF(DAY(FebSun1)=1,FebSun1-1,FebSun1+6)</f>
        <v>44961</v>
      </c>
      <c r="I3" s="40">
        <f>IF(DAY(FebSun1)=1,FebSun1,FebSun1+7)</f>
        <v>44962</v>
      </c>
      <c r="J3" s="9"/>
      <c r="K3" s="2"/>
    </row>
    <row r="4" spans="1:12" ht="30" customHeight="1" x14ac:dyDescent="0.25">
      <c r="A4" s="12"/>
      <c r="C4" s="40">
        <f>IF(DAY(FebSun1)=1,FebSun1+1,FebSun1+8)</f>
        <v>44963</v>
      </c>
      <c r="D4" s="40">
        <f>IF(DAY(FebSun1)=1,FebSun1+2,FebSun1+9)</f>
        <v>44964</v>
      </c>
      <c r="E4" s="40">
        <f>IF(DAY(FebSun1)=1,FebSun1+3,FebSun1+10)</f>
        <v>44965</v>
      </c>
      <c r="F4" s="40">
        <f>IF(DAY(FebSun1)=1,FebSun1+4,FebSun1+11)</f>
        <v>44966</v>
      </c>
      <c r="G4" s="40">
        <f>IF(DAY(FebSun1)=1,FebSun1+5,FebSun1+12)</f>
        <v>44967</v>
      </c>
      <c r="H4" s="40">
        <f>IF(DAY(FebSun1)=1,FebSun1+6,FebSun1+13)</f>
        <v>44968</v>
      </c>
      <c r="I4" s="40">
        <f>IF(DAY(FebSun1)=1,FebSun1+7,FebSun1+14)</f>
        <v>44969</v>
      </c>
      <c r="J4" s="9"/>
      <c r="K4" s="2"/>
    </row>
    <row r="5" spans="1:12" ht="30" customHeight="1" x14ac:dyDescent="0.25">
      <c r="A5" s="12"/>
      <c r="C5" s="40">
        <f>IF(DAY(FebSun1)=1,FebSun1+8,FebSun1+15)</f>
        <v>44970</v>
      </c>
      <c r="D5" s="40">
        <f>IF(DAY(FebSun1)=1,FebSun1+9,FebSun1+16)</f>
        <v>44971</v>
      </c>
      <c r="E5" s="40">
        <f>IF(DAY(FebSun1)=1,FebSun1+10,FebSun1+17)</f>
        <v>44972</v>
      </c>
      <c r="F5" s="40">
        <f>IF(DAY(FebSun1)=1,FebSun1+11,FebSun1+18)</f>
        <v>44973</v>
      </c>
      <c r="G5" s="40">
        <f>IF(DAY(FebSun1)=1,FebSun1+12,FebSun1+19)</f>
        <v>44974</v>
      </c>
      <c r="H5" s="40">
        <f>IF(DAY(FebSun1)=1,FebSun1+13,FebSun1+20)</f>
        <v>44975</v>
      </c>
      <c r="I5" s="40">
        <f>IF(DAY(FebSun1)=1,FebSun1+14,FebSun1+21)</f>
        <v>44976</v>
      </c>
      <c r="J5" s="9"/>
      <c r="K5" s="2"/>
    </row>
    <row r="6" spans="1:12" ht="30" customHeight="1" x14ac:dyDescent="0.25">
      <c r="A6" s="12"/>
      <c r="C6" s="40">
        <f>IF(DAY(FebSun1)=1,FebSun1+15,FebSun1+22)</f>
        <v>44977</v>
      </c>
      <c r="D6" s="40">
        <f>IF(DAY(FebSun1)=1,FebSun1+16,FebSun1+23)</f>
        <v>44978</v>
      </c>
      <c r="E6" s="40">
        <f>IF(DAY(FebSun1)=1,FebSun1+17,FebSun1+24)</f>
        <v>44979</v>
      </c>
      <c r="F6" s="40">
        <f>IF(DAY(FebSun1)=1,FebSun1+18,FebSun1+25)</f>
        <v>44980</v>
      </c>
      <c r="G6" s="40">
        <f>IF(DAY(FebSun1)=1,FebSun1+19,FebSun1+26)</f>
        <v>44981</v>
      </c>
      <c r="H6" s="40">
        <f>IF(DAY(FebSun1)=1,FebSun1+20,FebSun1+27)</f>
        <v>44982</v>
      </c>
      <c r="I6" s="40">
        <f>IF(DAY(FebSun1)=1,FebSun1+21,FebSun1+28)</f>
        <v>44983</v>
      </c>
      <c r="J6" s="9"/>
      <c r="K6" s="2"/>
    </row>
    <row r="7" spans="1:12" ht="30" customHeight="1" x14ac:dyDescent="0.25">
      <c r="A7" s="12"/>
      <c r="C7" s="40">
        <f>IF(DAY(FebSun1)=1,FebSun1+22,FebSun1+29)</f>
        <v>44984</v>
      </c>
      <c r="D7" s="40">
        <f>IF(DAY(FebSun1)=1,FebSun1+23,FebSun1+30)</f>
        <v>44985</v>
      </c>
      <c r="E7" s="40">
        <f>IF(DAY(FebSun1)=1,FebSun1+24,FebSun1+31)</f>
        <v>44986</v>
      </c>
      <c r="F7" s="40">
        <f>IF(DAY(FebSun1)=1,FebSun1+25,FebSun1+32)</f>
        <v>44987</v>
      </c>
      <c r="G7" s="40">
        <f>IF(DAY(FebSun1)=1,FebSun1+26,FebSun1+33)</f>
        <v>44988</v>
      </c>
      <c r="H7" s="40">
        <f>IF(DAY(FebSun1)=1,FebSun1+27,FebSun1+34)</f>
        <v>44989</v>
      </c>
      <c r="I7" s="40">
        <f>IF(DAY(FebSun1)=1,FebSun1+28,FebSun1+35)</f>
        <v>44990</v>
      </c>
      <c r="J7" s="21"/>
      <c r="K7" s="19"/>
      <c r="L7" s="17"/>
    </row>
    <row r="8" spans="1:12" ht="30" customHeight="1" x14ac:dyDescent="0.25">
      <c r="A8" s="12"/>
      <c r="B8" s="17"/>
      <c r="C8" s="40">
        <f>IF(DAY(FebSun1)=1,FebSun1+29,FebSun1+36)</f>
        <v>44991</v>
      </c>
      <c r="D8" s="40">
        <f>IF(DAY(FebSun1)=1,FebSun1+30,FebSun1+37)</f>
        <v>44992</v>
      </c>
      <c r="E8" s="40">
        <f>IF(DAY(FebSun1)=1,FebSun1+31,FebSun1+38)</f>
        <v>44993</v>
      </c>
      <c r="F8" s="40">
        <f>IF(DAY(FebSun1)=1,FebSun1+32,FebSun1+39)</f>
        <v>44994</v>
      </c>
      <c r="G8" s="40">
        <f>IF(DAY(FebSun1)=1,FebSun1+33,FebSun1+40)</f>
        <v>44995</v>
      </c>
      <c r="H8" s="40">
        <f>IF(DAY(FebSun1)=1,FebSun1+34,FebSun1+41)</f>
        <v>44996</v>
      </c>
      <c r="I8" s="40">
        <f>IF(DAY(FebSun1)=1,FebSun1+35,FebSun1+42)</f>
        <v>44997</v>
      </c>
      <c r="J8" s="9" t="s">
        <v>10</v>
      </c>
      <c r="K8" s="22"/>
    </row>
    <row r="9" spans="1:12" ht="30" customHeight="1" x14ac:dyDescent="0.25">
      <c r="A9" s="12"/>
      <c r="C9" s="4"/>
      <c r="D9" s="4"/>
      <c r="E9" s="4"/>
      <c r="F9" s="4"/>
      <c r="G9" s="4"/>
      <c r="H9" s="4"/>
      <c r="I9" s="4"/>
      <c r="J9" s="9"/>
      <c r="K9" s="2"/>
    </row>
    <row r="10" spans="1:12" ht="30" customHeight="1" x14ac:dyDescent="0.25">
      <c r="A10" s="12"/>
      <c r="B10" s="16" t="s">
        <v>1</v>
      </c>
      <c r="C10" s="8"/>
      <c r="D10" s="8"/>
      <c r="E10" s="8"/>
      <c r="F10" s="8"/>
      <c r="G10" s="8"/>
      <c r="H10" s="8"/>
      <c r="I10" s="8"/>
      <c r="J10" s="9"/>
      <c r="K10" s="2"/>
    </row>
    <row r="11" spans="1:12" ht="30" customHeight="1" x14ac:dyDescent="0.25">
      <c r="A11" s="24"/>
      <c r="B11" s="13" t="s">
        <v>2</v>
      </c>
      <c r="C11" s="48" t="s">
        <v>10</v>
      </c>
      <c r="D11" s="49"/>
      <c r="E11" s="48" t="s">
        <v>15</v>
      </c>
      <c r="F11" s="49"/>
      <c r="G11" s="48" t="s">
        <v>16</v>
      </c>
      <c r="H11" s="49"/>
      <c r="I11" s="3" t="s">
        <v>17</v>
      </c>
      <c r="J11" s="9"/>
      <c r="K11" s="2"/>
    </row>
    <row r="12" spans="1:12" ht="30" customHeight="1" x14ac:dyDescent="0.25">
      <c r="A12" s="24"/>
      <c r="B12" s="44" t="s">
        <v>3</v>
      </c>
      <c r="C12" s="50"/>
      <c r="D12" s="50"/>
      <c r="E12" s="50" t="s">
        <v>3</v>
      </c>
      <c r="F12" s="50"/>
      <c r="G12" s="50"/>
      <c r="H12" s="50"/>
      <c r="I12" s="46" t="s">
        <v>3</v>
      </c>
      <c r="J12" s="9"/>
      <c r="K12" s="2"/>
    </row>
    <row r="13" spans="1:12" ht="30" customHeight="1" x14ac:dyDescent="0.25">
      <c r="A13" s="24"/>
      <c r="B13" s="25" t="s">
        <v>4</v>
      </c>
      <c r="C13" s="51"/>
      <c r="D13" s="51"/>
      <c r="E13" s="51" t="s">
        <v>4</v>
      </c>
      <c r="F13" s="51"/>
      <c r="G13" s="51"/>
      <c r="H13" s="51"/>
      <c r="I13" s="30" t="s">
        <v>4</v>
      </c>
      <c r="J13" s="21"/>
      <c r="K13" s="19"/>
      <c r="L13" s="17"/>
    </row>
    <row r="14" spans="1:12" ht="30" customHeight="1" x14ac:dyDescent="0.25">
      <c r="A14" s="24"/>
      <c r="B14" s="44"/>
      <c r="C14" s="53" t="s">
        <v>11</v>
      </c>
      <c r="D14" s="53"/>
      <c r="E14" s="53"/>
      <c r="F14" s="53"/>
      <c r="G14" s="53" t="s">
        <v>11</v>
      </c>
      <c r="H14" s="53"/>
      <c r="I14" s="46"/>
      <c r="J14" s="9" t="s">
        <v>15</v>
      </c>
      <c r="K14" s="22"/>
    </row>
    <row r="15" spans="1:12" ht="30" customHeight="1" x14ac:dyDescent="0.25">
      <c r="A15" s="24"/>
      <c r="B15" s="25"/>
      <c r="C15" s="51" t="s">
        <v>12</v>
      </c>
      <c r="D15" s="51"/>
      <c r="E15" s="51"/>
      <c r="F15" s="51"/>
      <c r="G15" s="51" t="s">
        <v>12</v>
      </c>
      <c r="H15" s="51"/>
      <c r="I15" s="30"/>
      <c r="J15" s="9"/>
      <c r="K15" s="2"/>
    </row>
    <row r="16" spans="1:12" ht="30" customHeight="1" x14ac:dyDescent="0.25">
      <c r="A16" s="24"/>
      <c r="B16" s="44" t="s">
        <v>5</v>
      </c>
      <c r="C16" s="53"/>
      <c r="D16" s="53"/>
      <c r="E16" s="53" t="s">
        <v>5</v>
      </c>
      <c r="F16" s="53"/>
      <c r="G16" s="53"/>
      <c r="H16" s="53"/>
      <c r="I16" s="47" t="s">
        <v>5</v>
      </c>
      <c r="J16" s="9"/>
      <c r="K16" s="2"/>
    </row>
    <row r="17" spans="1:12" ht="30" customHeight="1" x14ac:dyDescent="0.25">
      <c r="A17" s="24"/>
      <c r="B17" s="25" t="s">
        <v>6</v>
      </c>
      <c r="C17" s="51"/>
      <c r="D17" s="51"/>
      <c r="E17" s="51" t="s">
        <v>6</v>
      </c>
      <c r="F17" s="51"/>
      <c r="G17" s="51"/>
      <c r="H17" s="51"/>
      <c r="I17" s="30" t="s">
        <v>6</v>
      </c>
      <c r="J17" s="9"/>
      <c r="K17" s="2"/>
    </row>
    <row r="18" spans="1:12" ht="30" customHeight="1" x14ac:dyDescent="0.25">
      <c r="A18" s="24"/>
      <c r="B18" s="44"/>
      <c r="C18" s="53"/>
      <c r="D18" s="53"/>
      <c r="E18" s="53"/>
      <c r="F18" s="53"/>
      <c r="G18" s="53"/>
      <c r="H18" s="53"/>
      <c r="I18" s="46"/>
      <c r="J18" s="9"/>
      <c r="K18" s="2"/>
    </row>
    <row r="19" spans="1:12" ht="30" customHeight="1" x14ac:dyDescent="0.25">
      <c r="A19" s="24"/>
      <c r="B19" s="25"/>
      <c r="C19" s="51"/>
      <c r="D19" s="51"/>
      <c r="E19" s="51"/>
      <c r="F19" s="51"/>
      <c r="G19" s="51"/>
      <c r="H19" s="51"/>
      <c r="I19" s="31"/>
      <c r="J19" s="21"/>
      <c r="K19" s="19"/>
      <c r="L19" s="17"/>
    </row>
    <row r="20" spans="1:12" ht="30" customHeight="1" x14ac:dyDescent="0.25">
      <c r="A20" s="24"/>
      <c r="B20" s="44"/>
      <c r="C20" s="53"/>
      <c r="D20" s="53"/>
      <c r="E20" s="53"/>
      <c r="F20" s="53"/>
      <c r="G20" s="53"/>
      <c r="H20" s="53"/>
      <c r="I20" s="46"/>
      <c r="J20" s="9" t="s">
        <v>16</v>
      </c>
      <c r="K20" s="22"/>
    </row>
    <row r="21" spans="1:12" ht="30" customHeight="1" x14ac:dyDescent="0.25">
      <c r="A21" s="24"/>
      <c r="B21" s="25"/>
      <c r="C21" s="51"/>
      <c r="D21" s="51"/>
      <c r="E21" s="51"/>
      <c r="F21" s="51"/>
      <c r="G21" s="51"/>
      <c r="H21" s="51"/>
      <c r="I21" s="30"/>
      <c r="J21" s="9"/>
      <c r="K21" s="2"/>
    </row>
    <row r="22" spans="1:12" ht="30" customHeight="1" x14ac:dyDescent="0.25">
      <c r="A22" s="24"/>
      <c r="B22" s="44"/>
      <c r="C22" s="53"/>
      <c r="D22" s="53"/>
      <c r="E22" s="53"/>
      <c r="F22" s="53"/>
      <c r="G22" s="53"/>
      <c r="H22" s="53"/>
      <c r="I22" s="46"/>
      <c r="J22" s="9"/>
      <c r="K22" s="2"/>
    </row>
    <row r="23" spans="1:12" ht="30" customHeight="1" x14ac:dyDescent="0.25">
      <c r="A23" s="24"/>
      <c r="B23" s="25"/>
      <c r="C23" s="51"/>
      <c r="D23" s="51"/>
      <c r="E23" s="51"/>
      <c r="F23" s="51"/>
      <c r="G23" s="51"/>
      <c r="H23" s="51"/>
      <c r="I23" s="30"/>
      <c r="J23" s="9"/>
      <c r="K23" s="2"/>
    </row>
    <row r="24" spans="1:12" ht="30" customHeight="1" x14ac:dyDescent="0.25">
      <c r="A24" s="24"/>
      <c r="B24" s="44" t="s">
        <v>7</v>
      </c>
      <c r="C24" s="53"/>
      <c r="D24" s="53"/>
      <c r="E24" s="53" t="s">
        <v>7</v>
      </c>
      <c r="F24" s="53"/>
      <c r="G24" s="53"/>
      <c r="H24" s="53"/>
      <c r="I24" s="46" t="s">
        <v>7</v>
      </c>
      <c r="J24" s="9"/>
      <c r="K24" s="2"/>
    </row>
    <row r="25" spans="1:12" ht="30" customHeight="1" x14ac:dyDescent="0.25">
      <c r="A25" s="24"/>
      <c r="B25" s="25" t="s">
        <v>8</v>
      </c>
      <c r="C25" s="51"/>
      <c r="D25" s="51"/>
      <c r="E25" s="51" t="s">
        <v>8</v>
      </c>
      <c r="F25" s="51"/>
      <c r="G25" s="51"/>
      <c r="H25" s="51"/>
      <c r="I25" s="30" t="s">
        <v>8</v>
      </c>
      <c r="J25" s="21"/>
      <c r="K25" s="19"/>
      <c r="L25" s="17"/>
    </row>
    <row r="26" spans="1:12" ht="30" customHeight="1" x14ac:dyDescent="0.25">
      <c r="A26" s="24"/>
      <c r="B26" s="44"/>
      <c r="C26" s="53"/>
      <c r="D26" s="53"/>
      <c r="E26" s="53"/>
      <c r="F26" s="53"/>
      <c r="G26" s="53"/>
      <c r="H26" s="53"/>
      <c r="I26" s="46"/>
      <c r="J26" s="9" t="s">
        <v>17</v>
      </c>
      <c r="K26" s="22"/>
    </row>
    <row r="27" spans="1:12" ht="30" customHeight="1" x14ac:dyDescent="0.25">
      <c r="A27" s="24"/>
      <c r="B27" s="25"/>
      <c r="C27" s="51"/>
      <c r="D27" s="51"/>
      <c r="E27" s="51"/>
      <c r="F27" s="51"/>
      <c r="G27" s="51"/>
      <c r="H27" s="51"/>
      <c r="I27" s="30"/>
      <c r="J27" s="9"/>
      <c r="K27" s="2"/>
    </row>
    <row r="28" spans="1:12" ht="30" customHeight="1" x14ac:dyDescent="0.25">
      <c r="A28" s="24"/>
      <c r="B28" s="44"/>
      <c r="C28" s="53" t="s">
        <v>13</v>
      </c>
      <c r="D28" s="53"/>
      <c r="E28" s="53"/>
      <c r="F28" s="53"/>
      <c r="G28" s="53" t="s">
        <v>13</v>
      </c>
      <c r="H28" s="53"/>
      <c r="I28" s="46"/>
      <c r="J28" s="9"/>
      <c r="K28" s="2"/>
    </row>
    <row r="29" spans="1:12" ht="30" customHeight="1" x14ac:dyDescent="0.25">
      <c r="A29" s="24"/>
      <c r="B29" s="25"/>
      <c r="C29" s="51" t="s">
        <v>14</v>
      </c>
      <c r="D29" s="51"/>
      <c r="E29" s="51"/>
      <c r="F29" s="51"/>
      <c r="G29" s="51" t="s">
        <v>14</v>
      </c>
      <c r="H29" s="51"/>
      <c r="I29" s="30"/>
      <c r="J29" s="9"/>
      <c r="K29" s="2"/>
    </row>
    <row r="30" spans="1:12" ht="30" customHeight="1" x14ac:dyDescent="0.25">
      <c r="A30" s="24"/>
      <c r="B30" s="44"/>
      <c r="C30" s="53"/>
      <c r="D30" s="53"/>
      <c r="E30" s="53"/>
      <c r="F30" s="53"/>
      <c r="G30" s="53"/>
      <c r="H30" s="53"/>
      <c r="I30" s="46"/>
      <c r="J30" s="9"/>
      <c r="K30" s="2"/>
    </row>
    <row r="31" spans="1:12" ht="30" customHeight="1" x14ac:dyDescent="0.25">
      <c r="A31" s="24"/>
      <c r="B31" s="32"/>
      <c r="C31" s="54"/>
      <c r="D31" s="54"/>
      <c r="E31" s="54"/>
      <c r="F31" s="54"/>
      <c r="G31" s="54"/>
      <c r="H31" s="54"/>
      <c r="I31" s="29"/>
      <c r="J31" s="9"/>
      <c r="K31" s="19"/>
    </row>
  </sheetData>
  <mergeCells count="63">
    <mergeCell ref="C11:D11"/>
    <mergeCell ref="E11:F11"/>
    <mergeCell ref="G11:H11"/>
    <mergeCell ref="C12:D12"/>
    <mergeCell ref="E12:F12"/>
    <mergeCell ref="G12:H12"/>
    <mergeCell ref="C13:D13"/>
    <mergeCell ref="E13:F13"/>
    <mergeCell ref="G13:H13"/>
    <mergeCell ref="C16:D16"/>
    <mergeCell ref="E16:F16"/>
    <mergeCell ref="G16:H16"/>
    <mergeCell ref="C14:D14"/>
    <mergeCell ref="E14:F14"/>
    <mergeCell ref="G14:H14"/>
    <mergeCell ref="C15:D15"/>
    <mergeCell ref="E15:F15"/>
    <mergeCell ref="G15:H15"/>
    <mergeCell ref="C17:D17"/>
    <mergeCell ref="E17:F17"/>
    <mergeCell ref="G17:H17"/>
    <mergeCell ref="C18:D18"/>
    <mergeCell ref="E18:F18"/>
    <mergeCell ref="G18:H18"/>
    <mergeCell ref="C21:D21"/>
    <mergeCell ref="E21:F21"/>
    <mergeCell ref="G21:H21"/>
    <mergeCell ref="C19:D19"/>
    <mergeCell ref="E19:F19"/>
    <mergeCell ref="G19:H19"/>
    <mergeCell ref="C20:D20"/>
    <mergeCell ref="E20:F20"/>
    <mergeCell ref="G20:H20"/>
    <mergeCell ref="C22:D22"/>
    <mergeCell ref="E22:F22"/>
    <mergeCell ref="G22:H22"/>
    <mergeCell ref="C23:D23"/>
    <mergeCell ref="E23:F23"/>
    <mergeCell ref="G23:H23"/>
    <mergeCell ref="C24:D24"/>
    <mergeCell ref="E24:F24"/>
    <mergeCell ref="G24:H24"/>
    <mergeCell ref="C25:D25"/>
    <mergeCell ref="E25:F25"/>
    <mergeCell ref="G25:H25"/>
    <mergeCell ref="C28:D28"/>
    <mergeCell ref="E28:F28"/>
    <mergeCell ref="G28:H28"/>
    <mergeCell ref="C26:D26"/>
    <mergeCell ref="E26:F26"/>
    <mergeCell ref="G26:H26"/>
    <mergeCell ref="C27:D27"/>
    <mergeCell ref="E27:F27"/>
    <mergeCell ref="G27:H27"/>
    <mergeCell ref="C31:D31"/>
    <mergeCell ref="E31:F31"/>
    <mergeCell ref="G31:H31"/>
    <mergeCell ref="C29:D29"/>
    <mergeCell ref="E29:F29"/>
    <mergeCell ref="G29:H29"/>
    <mergeCell ref="C30:D30"/>
    <mergeCell ref="E30:F30"/>
    <mergeCell ref="G30:H30"/>
  </mergeCells>
  <conditionalFormatting sqref="B12:I12 B14:I14 B16:I16 B18:I18 B20:I20 B22:I22 B24:I24 B26:I26 B28:I28 B30:I30">
    <cfRule type="expression" dxfId="78" priority="6">
      <formula>B12&lt;&gt;""</formula>
    </cfRule>
  </conditionalFormatting>
  <conditionalFormatting sqref="B12:I31">
    <cfRule type="expression" dxfId="77" priority="1">
      <formula>COLUMN(B12)&gt;2</formula>
    </cfRule>
  </conditionalFormatting>
  <conditionalFormatting sqref="B13:I13 B15:I15 B17:I17 B19:I19 B21:I21 B23:I23 B25:I25 B27:I27 B29:I29 B31:I31">
    <cfRule type="expression" dxfId="76" priority="7">
      <formula>B13&lt;&gt;""</formula>
    </cfRule>
  </conditionalFormatting>
  <conditionalFormatting sqref="B13:I13 B15:I15 B17:I17 B19:I19 B21:I21 B23:I23 B25:I25 B27:I27 B29:I29">
    <cfRule type="expression" dxfId="75" priority="4">
      <formula>COLUMN(B12)&gt;=2</formula>
    </cfRule>
  </conditionalFormatting>
  <conditionalFormatting sqref="C3:H3">
    <cfRule type="expression" dxfId="74" priority="9" stopIfTrue="1">
      <formula>DAY(C3)&gt;8</formula>
    </cfRule>
  </conditionalFormatting>
  <conditionalFormatting sqref="C3:I8">
    <cfRule type="expression" dxfId="73" priority="10">
      <formula>VLOOKUP(DAY(C3),AssignmentDays,1,FALSE)=DAY(C3)</formula>
    </cfRule>
  </conditionalFormatting>
  <conditionalFormatting sqref="C7:I8">
    <cfRule type="expression" dxfId="72" priority="8" stopIfTrue="1">
      <formula>AND(DAY(C7)&gt;=1,DAY(C7)&lt;=15)</formula>
    </cfRule>
  </conditionalFormatting>
  <dataValidations xWindow="95" yWindow="532" count="16">
    <dataValidation allowBlank="1" showInputMessage="1" showErrorMessage="1" prompt="El calendario de febrero resalta automáticamente las entradas de la lista de tareas para el mes. Las fuentes más oscuras indican tareas. Las fuentes más claras indican días que pertenecen al mes anterior o al mes siguiente" sqref="B2" xr:uid="{00000000-0002-0000-0100-000000000000}"/>
    <dataValidation allowBlank="1" showInputMessage="1" showErrorMessage="1" prompt="Se actualiza automáticamente el año natural. Para cambiar el año, actualice la celda B1 en la hoja de cálculo ene" sqref="B1" xr:uid="{00000000-0002-0000-0100-000001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100-000002000000}"/>
    <dataValidation allowBlank="1" showInputMessage="1" showErrorMessage="1" prompt="Las celdas C2 a I2 contienen días de la semana." sqref="C2" xr:uid="{00000000-0002-0000-0100-000003000000}"/>
    <dataValidation allowBlank="1" showInputMessage="1" showErrorMessage="1" prompt="Si esta celda no contiene el número 1, se trata de un día de del mes anterior. Las celdas C3 a I8 contienen fechas para el mes actual" sqref="C3" xr:uid="{00000000-0002-0000-0100-000004000000}"/>
    <dataValidation allowBlank="1" showInputMessage="1" showErrorMessage="1" prompt="Si esta fila contiene un número menor que el número o la fila de números anterior, en ese caso, esta fila contiene fechas para el próximo mes del calendario." sqref="C8" xr:uid="{00000000-0002-0000-0100-000005000000}"/>
    <dataValidation allowBlank="1" showInputMessage="1" showErrorMessage="1" prompt="Escriba la hora en esta fila, de la columna B a la I" sqref="B12" xr:uid="{00000000-0002-0000-0100-000006000000}"/>
    <dataValidation allowBlank="1" showInputMessage="1" showErrorMessage="1" prompt="Escriba la clase en esta fila, de la columna B a la I." sqref="B13" xr:uid="{00000000-0002-0000-01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100-000008000000}"/>
    <dataValidation allowBlank="1" showInputMessage="1" showErrorMessage="1" prompt="Escriba en esta columna los detalles de la tarea correspondientes al día de la semana en la columna J y al día en la columna K del mes calendario de la izquierda." sqref="L1" xr:uid="{00000000-0002-0000-01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100-00000A000000}"/>
    <dataValidation allowBlank="1" showInputMessage="1" showErrorMessage="1" prompt="Los días de la semana se encuentran en esta fila, del lunes al viernes." sqref="B11" xr:uid="{00000000-0002-0000-01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100-00000C000000}"/>
    <dataValidation allowBlank="1" showInputMessage="1" showErrorMessage="1" prompt="El día de la semana va en esta fila, empezando en la celda B11" sqref="A11" xr:uid="{D1B06E8E-5518-4308-91F3-B6F5FEF7E4AE}"/>
    <dataValidation allowBlank="1" showInputMessage="1" showErrorMessage="1" prompt="El nombre de la clase va en esta fila, empezando en la celda a la derecha" sqref="A13 A15 A17 A19 A21 A23 A25 A27 A29 A31" xr:uid="{A2170E93-6C97-429A-B735-96B7768EECBE}"/>
    <dataValidation allowBlank="1" showInputMessage="1" showErrorMessage="1" prompt="El tiempo de clase va en esta fila, empezando en la celda hasta la derecha_x000a_" sqref="A12 A14 A16 A18 A20 A22 A24 A26 A28 A30" xr:uid="{2B888A25-4427-4DF5-8410-E1EDB5B9BD87}"/>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4"/>
    <pageSetUpPr fitToPage="1"/>
  </sheetPr>
  <dimension ref="A1:L31"/>
  <sheetViews>
    <sheetView showGridLines="0"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37" t="s">
        <v>21</v>
      </c>
      <c r="C2" s="6" t="s">
        <v>2</v>
      </c>
      <c r="D2" s="6" t="s">
        <v>10</v>
      </c>
      <c r="E2" s="6" t="s">
        <v>15</v>
      </c>
      <c r="F2" s="6" t="s">
        <v>16</v>
      </c>
      <c r="G2" s="6" t="s">
        <v>17</v>
      </c>
      <c r="H2" s="6" t="s">
        <v>18</v>
      </c>
      <c r="I2" s="6" t="s">
        <v>19</v>
      </c>
      <c r="J2" s="9" t="s">
        <v>2</v>
      </c>
      <c r="K2" s="22"/>
    </row>
    <row r="3" spans="1:12" ht="30" customHeight="1" x14ac:dyDescent="0.25">
      <c r="A3" s="12"/>
      <c r="C3" s="40">
        <f>IF(DAY(MarSun1)=1,MarSun1-6,MarSun1+1)</f>
        <v>44984</v>
      </c>
      <c r="D3" s="40">
        <f>IF(DAY(MarSun1)=1,MarSun1-5,MarSun1+2)</f>
        <v>44985</v>
      </c>
      <c r="E3" s="40">
        <f>IF(DAY(MarSun1)=1,MarSun1-4,MarSun1+3)</f>
        <v>44986</v>
      </c>
      <c r="F3" s="40">
        <f>IF(DAY(MarSun1)=1,MarSun1-3,MarSun1+4)</f>
        <v>44987</v>
      </c>
      <c r="G3" s="40">
        <f>IF(DAY(MarSun1)=1,MarSun1-2,MarSun1+5)</f>
        <v>44988</v>
      </c>
      <c r="H3" s="40">
        <f>IF(DAY(MarSun1)=1,MarSun1-1,MarSun1+6)</f>
        <v>44989</v>
      </c>
      <c r="I3" s="40">
        <f>IF(DAY(MarSun1)=1,MarSun1,MarSun1+7)</f>
        <v>44990</v>
      </c>
      <c r="J3" s="9"/>
      <c r="K3" s="2"/>
    </row>
    <row r="4" spans="1:12" ht="30" customHeight="1" x14ac:dyDescent="0.25">
      <c r="A4" s="12"/>
      <c r="C4" s="40">
        <f>IF(DAY(MarSun1)=1,MarSun1+1,MarSun1+8)</f>
        <v>44991</v>
      </c>
      <c r="D4" s="40">
        <f>IF(DAY(MarSun1)=1,MarSun1+2,MarSun1+9)</f>
        <v>44992</v>
      </c>
      <c r="E4" s="40">
        <f>IF(DAY(MarSun1)=1,MarSun1+3,MarSun1+10)</f>
        <v>44993</v>
      </c>
      <c r="F4" s="40">
        <f>IF(DAY(MarSun1)=1,MarSun1+4,MarSun1+11)</f>
        <v>44994</v>
      </c>
      <c r="G4" s="40">
        <f>IF(DAY(MarSun1)=1,MarSun1+5,MarSun1+12)</f>
        <v>44995</v>
      </c>
      <c r="H4" s="40">
        <f>IF(DAY(MarSun1)=1,MarSun1+6,MarSun1+13)</f>
        <v>44996</v>
      </c>
      <c r="I4" s="40">
        <f>IF(DAY(MarSun1)=1,MarSun1+7,MarSun1+14)</f>
        <v>44997</v>
      </c>
      <c r="J4" s="9"/>
      <c r="K4" s="2"/>
    </row>
    <row r="5" spans="1:12" ht="30" customHeight="1" x14ac:dyDescent="0.25">
      <c r="A5" s="12"/>
      <c r="C5" s="40">
        <f>IF(DAY(MarSun1)=1,MarSun1+8,MarSun1+15)</f>
        <v>44998</v>
      </c>
      <c r="D5" s="40">
        <f>IF(DAY(MarSun1)=1,MarSun1+9,MarSun1+16)</f>
        <v>44999</v>
      </c>
      <c r="E5" s="40">
        <f>IF(DAY(MarSun1)=1,MarSun1+10,MarSun1+17)</f>
        <v>45000</v>
      </c>
      <c r="F5" s="40">
        <f>IF(DAY(MarSun1)=1,MarSun1+11,MarSun1+18)</f>
        <v>45001</v>
      </c>
      <c r="G5" s="40">
        <f>IF(DAY(MarSun1)=1,MarSun1+12,MarSun1+19)</f>
        <v>45002</v>
      </c>
      <c r="H5" s="40">
        <f>IF(DAY(MarSun1)=1,MarSun1+13,MarSun1+20)</f>
        <v>45003</v>
      </c>
      <c r="I5" s="40">
        <f>IF(DAY(MarSun1)=1,MarSun1+14,MarSun1+21)</f>
        <v>45004</v>
      </c>
      <c r="J5" s="9"/>
      <c r="K5" s="2"/>
    </row>
    <row r="6" spans="1:12" ht="30" customHeight="1" x14ac:dyDescent="0.25">
      <c r="A6" s="12"/>
      <c r="C6" s="40">
        <f>IF(DAY(MarSun1)=1,MarSun1+15,MarSun1+22)</f>
        <v>45005</v>
      </c>
      <c r="D6" s="40">
        <f>IF(DAY(MarSun1)=1,MarSun1+16,MarSun1+23)</f>
        <v>45006</v>
      </c>
      <c r="E6" s="40">
        <f>IF(DAY(MarSun1)=1,MarSun1+17,MarSun1+24)</f>
        <v>45007</v>
      </c>
      <c r="F6" s="40">
        <f>IF(DAY(MarSun1)=1,MarSun1+18,MarSun1+25)</f>
        <v>45008</v>
      </c>
      <c r="G6" s="40">
        <f>IF(DAY(MarSun1)=1,MarSun1+19,MarSun1+26)</f>
        <v>45009</v>
      </c>
      <c r="H6" s="40">
        <f>IF(DAY(MarSun1)=1,MarSun1+20,MarSun1+27)</f>
        <v>45010</v>
      </c>
      <c r="I6" s="40">
        <f>IF(DAY(MarSun1)=1,MarSun1+21,MarSun1+28)</f>
        <v>45011</v>
      </c>
      <c r="J6" s="9"/>
      <c r="K6" s="2"/>
    </row>
    <row r="7" spans="1:12" ht="30" customHeight="1" x14ac:dyDescent="0.25">
      <c r="A7" s="12"/>
      <c r="C7" s="40">
        <f>IF(DAY(MarSun1)=1,MarSun1+22,MarSun1+29)</f>
        <v>45012</v>
      </c>
      <c r="D7" s="40">
        <f>IF(DAY(MarSun1)=1,MarSun1+23,MarSun1+30)</f>
        <v>45013</v>
      </c>
      <c r="E7" s="40">
        <f>IF(DAY(MarSun1)=1,MarSun1+24,MarSun1+31)</f>
        <v>45014</v>
      </c>
      <c r="F7" s="40">
        <f>IF(DAY(MarSun1)=1,MarSun1+25,MarSun1+32)</f>
        <v>45015</v>
      </c>
      <c r="G7" s="40">
        <f>IF(DAY(MarSun1)=1,MarSun1+26,MarSun1+33)</f>
        <v>45016</v>
      </c>
      <c r="H7" s="40">
        <f>IF(DAY(MarSun1)=1,MarSun1+27,MarSun1+34)</f>
        <v>45017</v>
      </c>
      <c r="I7" s="40">
        <f>IF(DAY(MarSun1)=1,MarSun1+28,MarSun1+35)</f>
        <v>45018</v>
      </c>
      <c r="J7" s="1"/>
      <c r="K7" s="19"/>
    </row>
    <row r="8" spans="1:12" ht="30" customHeight="1" x14ac:dyDescent="0.25">
      <c r="A8" s="12"/>
      <c r="B8" s="17"/>
      <c r="C8" s="40">
        <f>IF(DAY(MarSun1)=1,MarSun1+29,MarSun1+36)</f>
        <v>45019</v>
      </c>
      <c r="D8" s="40">
        <f>IF(DAY(MarSun1)=1,MarSun1+30,MarSun1+37)</f>
        <v>45020</v>
      </c>
      <c r="E8" s="40">
        <f>IF(DAY(MarSun1)=1,MarSun1+31,MarSun1+38)</f>
        <v>45021</v>
      </c>
      <c r="F8" s="40">
        <f>IF(DAY(MarSun1)=1,MarSun1+32,MarSun1+39)</f>
        <v>45022</v>
      </c>
      <c r="G8" s="40">
        <f>IF(DAY(MarSun1)=1,MarSun1+33,MarSun1+40)</f>
        <v>45023</v>
      </c>
      <c r="H8" s="40">
        <f>IF(DAY(MarSun1)=1,MarSun1+34,MarSun1+41)</f>
        <v>45024</v>
      </c>
      <c r="I8" s="40">
        <f>IF(DAY(MarSun1)=1,MarSun1+35,MarSun1+42)</f>
        <v>45025</v>
      </c>
      <c r="J8" s="9" t="s">
        <v>10</v>
      </c>
      <c r="K8" s="22"/>
    </row>
    <row r="9" spans="1:12" ht="30" customHeight="1" x14ac:dyDescent="0.25">
      <c r="A9" s="12"/>
      <c r="C9" s="4"/>
      <c r="D9" s="4"/>
      <c r="E9" s="4"/>
      <c r="F9" s="4"/>
      <c r="G9" s="4"/>
      <c r="H9" s="4"/>
      <c r="I9" s="4"/>
      <c r="J9" s="9"/>
      <c r="K9" s="2"/>
    </row>
    <row r="10" spans="1:12" ht="30" customHeight="1" x14ac:dyDescent="0.25">
      <c r="A10" s="12"/>
      <c r="B10" s="16" t="s">
        <v>1</v>
      </c>
      <c r="C10" s="8"/>
      <c r="D10" s="8"/>
      <c r="E10" s="8"/>
      <c r="F10" s="8"/>
      <c r="G10" s="8"/>
      <c r="H10" s="8"/>
      <c r="I10" s="8"/>
      <c r="J10" s="9"/>
      <c r="K10" s="2"/>
    </row>
    <row r="11" spans="1:12" ht="30" customHeight="1" x14ac:dyDescent="0.25">
      <c r="A11" s="24"/>
      <c r="B11" s="13" t="s">
        <v>2</v>
      </c>
      <c r="C11" s="48" t="s">
        <v>10</v>
      </c>
      <c r="D11" s="49"/>
      <c r="E11" s="48" t="s">
        <v>15</v>
      </c>
      <c r="F11" s="49"/>
      <c r="G11" s="48" t="s">
        <v>16</v>
      </c>
      <c r="H11" s="49"/>
      <c r="I11" s="3" t="s">
        <v>17</v>
      </c>
      <c r="J11" s="9"/>
      <c r="K11" s="2"/>
    </row>
    <row r="12" spans="1:12" ht="30" customHeight="1" x14ac:dyDescent="0.25">
      <c r="A12" s="24"/>
      <c r="B12" s="44" t="s">
        <v>3</v>
      </c>
      <c r="C12" s="50"/>
      <c r="D12" s="50"/>
      <c r="E12" s="50" t="s">
        <v>3</v>
      </c>
      <c r="F12" s="50"/>
      <c r="G12" s="50"/>
      <c r="H12" s="50"/>
      <c r="I12" s="46" t="s">
        <v>3</v>
      </c>
      <c r="J12" s="9"/>
      <c r="K12" s="2"/>
    </row>
    <row r="13" spans="1:12" ht="30" customHeight="1" x14ac:dyDescent="0.25">
      <c r="A13" s="24"/>
      <c r="B13" s="25" t="s">
        <v>4</v>
      </c>
      <c r="C13" s="51"/>
      <c r="D13" s="51"/>
      <c r="E13" s="51" t="s">
        <v>4</v>
      </c>
      <c r="F13" s="51"/>
      <c r="G13" s="51"/>
      <c r="H13" s="51"/>
      <c r="I13" s="30" t="s">
        <v>4</v>
      </c>
      <c r="J13" s="1"/>
      <c r="K13" s="19"/>
      <c r="L13" s="18"/>
    </row>
    <row r="14" spans="1:12" ht="30" customHeight="1" x14ac:dyDescent="0.25">
      <c r="A14" s="24"/>
      <c r="B14" s="44"/>
      <c r="C14" s="50" t="s">
        <v>11</v>
      </c>
      <c r="D14" s="50"/>
      <c r="E14" s="50"/>
      <c r="F14" s="50"/>
      <c r="G14" s="50" t="s">
        <v>11</v>
      </c>
      <c r="H14" s="50"/>
      <c r="I14" s="46"/>
      <c r="J14" s="9" t="s">
        <v>15</v>
      </c>
      <c r="K14" s="22"/>
    </row>
    <row r="15" spans="1:12" ht="30" customHeight="1" x14ac:dyDescent="0.25">
      <c r="A15" s="24"/>
      <c r="B15" s="25"/>
      <c r="C15" s="51" t="s">
        <v>12</v>
      </c>
      <c r="D15" s="51"/>
      <c r="E15" s="51"/>
      <c r="F15" s="51"/>
      <c r="G15" s="51" t="s">
        <v>12</v>
      </c>
      <c r="H15" s="51"/>
      <c r="I15" s="30"/>
      <c r="J15" s="9"/>
      <c r="K15" s="2"/>
    </row>
    <row r="16" spans="1:12" ht="30" customHeight="1" x14ac:dyDescent="0.25">
      <c r="A16" s="24"/>
      <c r="B16" s="44" t="s">
        <v>5</v>
      </c>
      <c r="C16" s="50"/>
      <c r="D16" s="50"/>
      <c r="E16" s="50" t="s">
        <v>5</v>
      </c>
      <c r="F16" s="50"/>
      <c r="G16" s="50"/>
      <c r="H16" s="50"/>
      <c r="I16" s="47" t="s">
        <v>5</v>
      </c>
      <c r="J16" s="9"/>
      <c r="K16" s="2"/>
    </row>
    <row r="17" spans="1:12" ht="30" customHeight="1" x14ac:dyDescent="0.25">
      <c r="A17" s="24"/>
      <c r="B17" s="25" t="s">
        <v>6</v>
      </c>
      <c r="C17" s="51"/>
      <c r="D17" s="51"/>
      <c r="E17" s="51" t="s">
        <v>6</v>
      </c>
      <c r="F17" s="51"/>
      <c r="G17" s="51"/>
      <c r="H17" s="51"/>
      <c r="I17" s="30" t="s">
        <v>6</v>
      </c>
      <c r="J17" s="9"/>
      <c r="K17" s="2"/>
    </row>
    <row r="18" spans="1:12" ht="30" customHeight="1" x14ac:dyDescent="0.25">
      <c r="A18" s="24"/>
      <c r="B18" s="44"/>
      <c r="C18" s="50"/>
      <c r="D18" s="50"/>
      <c r="E18" s="50"/>
      <c r="F18" s="50"/>
      <c r="G18" s="50"/>
      <c r="H18" s="50"/>
      <c r="I18" s="46"/>
      <c r="J18" s="9"/>
      <c r="K18" s="2"/>
    </row>
    <row r="19" spans="1:12" ht="30" customHeight="1" x14ac:dyDescent="0.25">
      <c r="A19" s="24"/>
      <c r="B19" s="25"/>
      <c r="C19" s="51"/>
      <c r="D19" s="51"/>
      <c r="E19" s="51"/>
      <c r="F19" s="51"/>
      <c r="G19" s="51"/>
      <c r="H19" s="51"/>
      <c r="I19" s="31"/>
      <c r="J19" s="1"/>
      <c r="K19" s="19"/>
      <c r="L19" s="23"/>
    </row>
    <row r="20" spans="1:12" ht="30" customHeight="1" x14ac:dyDescent="0.25">
      <c r="A20" s="24"/>
      <c r="B20" s="44"/>
      <c r="C20" s="50"/>
      <c r="D20" s="50"/>
      <c r="E20" s="50"/>
      <c r="F20" s="50"/>
      <c r="G20" s="50"/>
      <c r="H20" s="50"/>
      <c r="I20" s="46"/>
      <c r="J20" s="9" t="s">
        <v>16</v>
      </c>
      <c r="K20" s="22"/>
    </row>
    <row r="21" spans="1:12" ht="30" customHeight="1" x14ac:dyDescent="0.25">
      <c r="A21" s="24"/>
      <c r="B21" s="25"/>
      <c r="C21" s="51"/>
      <c r="D21" s="51"/>
      <c r="E21" s="51"/>
      <c r="F21" s="51"/>
      <c r="G21" s="51"/>
      <c r="H21" s="51"/>
      <c r="I21" s="30"/>
      <c r="J21" s="9"/>
      <c r="K21" s="2"/>
    </row>
    <row r="22" spans="1:12" ht="30" customHeight="1" x14ac:dyDescent="0.25">
      <c r="A22" s="24"/>
      <c r="B22" s="44"/>
      <c r="C22" s="50"/>
      <c r="D22" s="50"/>
      <c r="E22" s="50"/>
      <c r="F22" s="50"/>
      <c r="G22" s="50"/>
      <c r="H22" s="50"/>
      <c r="I22" s="46"/>
      <c r="J22" s="9"/>
      <c r="K22" s="2"/>
    </row>
    <row r="23" spans="1:12" ht="30" customHeight="1" x14ac:dyDescent="0.25">
      <c r="A23" s="24"/>
      <c r="B23" s="25"/>
      <c r="C23" s="51"/>
      <c r="D23" s="51"/>
      <c r="E23" s="51"/>
      <c r="F23" s="51"/>
      <c r="G23" s="51"/>
      <c r="H23" s="51"/>
      <c r="I23" s="30"/>
      <c r="J23" s="9"/>
      <c r="K23" s="2"/>
    </row>
    <row r="24" spans="1:12" ht="30" customHeight="1" x14ac:dyDescent="0.25">
      <c r="A24" s="24"/>
      <c r="B24" s="44" t="s">
        <v>7</v>
      </c>
      <c r="C24" s="50"/>
      <c r="D24" s="50"/>
      <c r="E24" s="50" t="s">
        <v>7</v>
      </c>
      <c r="F24" s="50"/>
      <c r="G24" s="50"/>
      <c r="H24" s="50"/>
      <c r="I24" s="46" t="s">
        <v>7</v>
      </c>
      <c r="J24" s="9"/>
      <c r="K24" s="2"/>
    </row>
    <row r="25" spans="1:12" ht="30" customHeight="1" x14ac:dyDescent="0.25">
      <c r="A25" s="24"/>
      <c r="B25" s="25" t="s">
        <v>8</v>
      </c>
      <c r="C25" s="51"/>
      <c r="D25" s="51"/>
      <c r="E25" s="51" t="s">
        <v>8</v>
      </c>
      <c r="F25" s="51"/>
      <c r="G25" s="51"/>
      <c r="H25" s="51"/>
      <c r="I25" s="30" t="s">
        <v>8</v>
      </c>
      <c r="J25" s="1"/>
      <c r="K25" s="19"/>
      <c r="L25" s="23"/>
    </row>
    <row r="26" spans="1:12" ht="30" customHeight="1" x14ac:dyDescent="0.25">
      <c r="A26" s="24"/>
      <c r="B26" s="44"/>
      <c r="C26" s="50"/>
      <c r="D26" s="50"/>
      <c r="E26" s="50"/>
      <c r="F26" s="50"/>
      <c r="G26" s="50"/>
      <c r="H26" s="50"/>
      <c r="I26" s="46"/>
      <c r="J26" s="9" t="s">
        <v>17</v>
      </c>
      <c r="K26" s="22"/>
    </row>
    <row r="27" spans="1:12" ht="30" customHeight="1" x14ac:dyDescent="0.25">
      <c r="A27" s="24"/>
      <c r="B27" s="25"/>
      <c r="C27" s="51"/>
      <c r="D27" s="51"/>
      <c r="E27" s="51"/>
      <c r="F27" s="51"/>
      <c r="G27" s="51"/>
      <c r="H27" s="51"/>
      <c r="I27" s="30"/>
      <c r="J27" s="9"/>
      <c r="K27" s="2"/>
    </row>
    <row r="28" spans="1:12" ht="30" customHeight="1" x14ac:dyDescent="0.25">
      <c r="A28" s="24"/>
      <c r="B28" s="44"/>
      <c r="C28" s="50" t="s">
        <v>13</v>
      </c>
      <c r="D28" s="50"/>
      <c r="E28" s="50"/>
      <c r="F28" s="50"/>
      <c r="G28" s="50" t="s">
        <v>13</v>
      </c>
      <c r="H28" s="50"/>
      <c r="I28" s="46"/>
      <c r="J28" s="9"/>
      <c r="K28" s="2"/>
    </row>
    <row r="29" spans="1:12" ht="30" customHeight="1" x14ac:dyDescent="0.25">
      <c r="A29" s="24"/>
      <c r="B29" s="25"/>
      <c r="C29" s="51" t="s">
        <v>14</v>
      </c>
      <c r="D29" s="51"/>
      <c r="E29" s="51"/>
      <c r="F29" s="51"/>
      <c r="G29" s="51" t="s">
        <v>14</v>
      </c>
      <c r="H29" s="51"/>
      <c r="I29" s="30"/>
      <c r="J29" s="9"/>
      <c r="K29" s="2"/>
    </row>
    <row r="30" spans="1:12" ht="30" customHeight="1" x14ac:dyDescent="0.25">
      <c r="A30" s="24"/>
      <c r="B30" s="44"/>
      <c r="C30" s="50"/>
      <c r="D30" s="50"/>
      <c r="E30" s="50"/>
      <c r="F30" s="50"/>
      <c r="G30" s="50"/>
      <c r="H30" s="50"/>
      <c r="I30" s="46"/>
      <c r="J30" s="9"/>
      <c r="K30" s="2"/>
    </row>
    <row r="31" spans="1:12" ht="30" customHeight="1" x14ac:dyDescent="0.25">
      <c r="A31" s="24"/>
      <c r="B31" s="28"/>
      <c r="C31" s="52"/>
      <c r="D31" s="52"/>
      <c r="E31" s="52"/>
      <c r="F31" s="52"/>
      <c r="G31" s="52"/>
      <c r="H31" s="52"/>
      <c r="I31" s="29"/>
      <c r="J31" s="9"/>
      <c r="K31" s="19"/>
    </row>
  </sheetData>
  <mergeCells count="63">
    <mergeCell ref="C31:D31"/>
    <mergeCell ref="E31:F31"/>
    <mergeCell ref="G31:H31"/>
    <mergeCell ref="C29:D29"/>
    <mergeCell ref="E29:F29"/>
    <mergeCell ref="G29:H29"/>
    <mergeCell ref="C30:D30"/>
    <mergeCell ref="E30:F30"/>
    <mergeCell ref="G30:H30"/>
    <mergeCell ref="C27:D27"/>
    <mergeCell ref="E27:F27"/>
    <mergeCell ref="G27:H27"/>
    <mergeCell ref="C28:D28"/>
    <mergeCell ref="E28:F28"/>
    <mergeCell ref="G28:H28"/>
    <mergeCell ref="C25:D25"/>
    <mergeCell ref="E25:F25"/>
    <mergeCell ref="G25:H25"/>
    <mergeCell ref="C26:D26"/>
    <mergeCell ref="E26:F26"/>
    <mergeCell ref="G26:H26"/>
    <mergeCell ref="C23:D23"/>
    <mergeCell ref="E23:F23"/>
    <mergeCell ref="G23:H23"/>
    <mergeCell ref="C24:D24"/>
    <mergeCell ref="E24:F24"/>
    <mergeCell ref="G24:H24"/>
    <mergeCell ref="C21:D21"/>
    <mergeCell ref="E21:F21"/>
    <mergeCell ref="G21:H21"/>
    <mergeCell ref="C22:D22"/>
    <mergeCell ref="E22:F22"/>
    <mergeCell ref="G22:H22"/>
    <mergeCell ref="C19:D19"/>
    <mergeCell ref="E19:F19"/>
    <mergeCell ref="G19:H19"/>
    <mergeCell ref="C20:D20"/>
    <mergeCell ref="E20:F20"/>
    <mergeCell ref="G20:H20"/>
    <mergeCell ref="C17:D17"/>
    <mergeCell ref="E17:F17"/>
    <mergeCell ref="G17:H17"/>
    <mergeCell ref="C18:D18"/>
    <mergeCell ref="E18:F18"/>
    <mergeCell ref="G18:H18"/>
    <mergeCell ref="C15:D15"/>
    <mergeCell ref="E15:F15"/>
    <mergeCell ref="G15:H15"/>
    <mergeCell ref="C16:D16"/>
    <mergeCell ref="E16:F16"/>
    <mergeCell ref="G16:H16"/>
    <mergeCell ref="C13:D13"/>
    <mergeCell ref="E13:F13"/>
    <mergeCell ref="G13:H13"/>
    <mergeCell ref="C14:D14"/>
    <mergeCell ref="E14:F14"/>
    <mergeCell ref="G14:H14"/>
    <mergeCell ref="C11:D11"/>
    <mergeCell ref="E11:F11"/>
    <mergeCell ref="G11:H11"/>
    <mergeCell ref="C12:D12"/>
    <mergeCell ref="E12:F12"/>
    <mergeCell ref="G12:H12"/>
  </mergeCells>
  <conditionalFormatting sqref="B12:I12 B14:I14 B16:I16 B18:I18 B20:I20 B22:I22 B24:I24 B26:I26 B28:I28 B30:I30">
    <cfRule type="expression" dxfId="71" priority="3">
      <formula>B12&lt;&gt;""</formula>
    </cfRule>
  </conditionalFormatting>
  <conditionalFormatting sqref="B12:I31">
    <cfRule type="expression" dxfId="70" priority="1">
      <formula>COLUMN(B12)&gt;2</formula>
    </cfRule>
  </conditionalFormatting>
  <conditionalFormatting sqref="B13:I13 B15:I15 B17:I17 B19:I19 B21:I21 B23:I23 B25:I25 B27:I27 B29:I29 B31:I31">
    <cfRule type="expression" dxfId="69" priority="4">
      <formula>B13&lt;&gt;""</formula>
    </cfRule>
  </conditionalFormatting>
  <conditionalFormatting sqref="B13:I13 B15:I15 B17:I17 B19:I19 B21:I21 B23:I23 B25:I25 B27:I27 B29:I29">
    <cfRule type="expression" dxfId="68" priority="2">
      <formula>COLUMN(B12)&gt;=2</formula>
    </cfRule>
  </conditionalFormatting>
  <conditionalFormatting sqref="C3:H3">
    <cfRule type="expression" dxfId="67" priority="6" stopIfTrue="1">
      <formula>DAY(C3)&gt;8</formula>
    </cfRule>
  </conditionalFormatting>
  <conditionalFormatting sqref="C3:I8">
    <cfRule type="expression" dxfId="66" priority="7">
      <formula>VLOOKUP(DAY(C3),AssignmentDays,1,FALSE)=DAY(C3)</formula>
    </cfRule>
  </conditionalFormatting>
  <conditionalFormatting sqref="C7:I8">
    <cfRule type="expression" dxfId="65" priority="5" stopIfTrue="1">
      <formula>AND(DAY(C7)&gt;=1,DAY(C7)&lt;=15)</formula>
    </cfRule>
  </conditionalFormatting>
  <dataValidations count="16">
    <dataValidation allowBlank="1" showInputMessage="1" showErrorMessage="1" prompt="Escriba la clase en esta fila, de la columna B a la I." sqref="B13" xr:uid="{00000000-0002-0000-0200-000000000000}"/>
    <dataValidation allowBlank="1" showInputMessage="1" showErrorMessage="1" prompt="Escriba la hora en esta fila, de la columna B a la I" sqref="B12" xr:uid="{00000000-0002-0000-0200-000001000000}"/>
    <dataValidation allowBlank="1" showInputMessage="1" showErrorMessage="1" prompt="Si esta fila contiene un número menor que el número o la fila de números anterior, en ese caso, esta fila contiene fechas para el próximo mes del calendario." sqref="C8" xr:uid="{00000000-0002-0000-0200-000002000000}"/>
    <dataValidation allowBlank="1" showInputMessage="1" showErrorMessage="1" prompt="Si esta celda no contiene el número 1, se trata de un día de del mes anterior. Las celdas C3 a I8 contienen fechas para el mes actual" sqref="C3" xr:uid="{00000000-0002-0000-0200-000003000000}"/>
    <dataValidation allowBlank="1" showInputMessage="1" showErrorMessage="1" prompt="Las celdas C2 a I2 contienen días de la semana." sqref="C2" xr:uid="{00000000-0002-0000-0200-000004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200-000005000000}"/>
    <dataValidation allowBlank="1" showInputMessage="1" showErrorMessage="1" prompt="Se actualiza automáticamente el año natural. Para cambiar el año, actualice la celda B1 en la hoja de cálculo ene" sqref="B1" xr:uid="{00000000-0002-0000-0200-000006000000}"/>
    <dataValidation allowBlank="1" showInputMessage="1" showErrorMessage="1" prompt="El calendario de marzo resalta automáticamente las entradas de la lista de tareas para el mes. Las fuentes más oscuras indican tareas. Las fuentes más claras indican días que pertenecen al mes anterior o al mes siguiente" sqref="B2" xr:uid="{00000000-0002-0000-02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200-000008000000}"/>
    <dataValidation allowBlank="1" showInputMessage="1" showErrorMessage="1" prompt="Escriba en esta columna los detalles de la tarea correspondientes al día de la semana en la columna J y al día en la columna K del mes calendario de la izquierda." sqref="L1" xr:uid="{00000000-0002-0000-02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200-00000A000000}"/>
    <dataValidation allowBlank="1" showInputMessage="1" showErrorMessage="1" prompt="Los días de la semana se encuentran en esta fila, del lunes al viernes." sqref="B11" xr:uid="{00000000-0002-0000-02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200-00000C000000}"/>
    <dataValidation allowBlank="1" showInputMessage="1" showErrorMessage="1" prompt="El nombre de la clase va en esta fila, empezando en la celda a la derecha" sqref="A13 A15 A17 A19 A21 A23 A25 A27 A29 A31" xr:uid="{C89B7E00-6B3A-49AF-A2FC-B833F6F34BE1}"/>
    <dataValidation allowBlank="1" showInputMessage="1" showErrorMessage="1" prompt="El tiempo de clase va en esta fila, empezando en la celda hasta la derecha_x000a_" sqref="A12 A14 A16 A18 A20 A22 A24 A26 A28 A30" xr:uid="{340B3B59-18A0-4FFC-8897-5A3146BDE56E}"/>
    <dataValidation allowBlank="1" showInputMessage="1" showErrorMessage="1" prompt="El día de la semana va en esta fila, empezando en la celda B11" sqref="A11" xr:uid="{ABA210C2-D27D-4031-A5A1-1DBDF0341DEF}"/>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4"/>
    <pageSetUpPr fitToPage="1"/>
  </sheetPr>
  <dimension ref="A1:L31"/>
  <sheetViews>
    <sheetView showGridLines="0"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38" t="s">
        <v>29</v>
      </c>
      <c r="C2" s="6" t="s">
        <v>2</v>
      </c>
      <c r="D2" s="6" t="s">
        <v>10</v>
      </c>
      <c r="E2" s="6" t="s">
        <v>15</v>
      </c>
      <c r="F2" s="6" t="s">
        <v>16</v>
      </c>
      <c r="G2" s="6" t="s">
        <v>17</v>
      </c>
      <c r="H2" s="6" t="s">
        <v>18</v>
      </c>
      <c r="I2" s="6" t="s">
        <v>19</v>
      </c>
      <c r="J2" s="9" t="s">
        <v>2</v>
      </c>
      <c r="K2" s="22"/>
    </row>
    <row r="3" spans="1:12" ht="30" customHeight="1" x14ac:dyDescent="0.25">
      <c r="A3" s="12"/>
      <c r="C3" s="40">
        <f>IF(DAY(MaySun1)=1,MaySun1-6,MaySun1+1)</f>
        <v>45047</v>
      </c>
      <c r="D3" s="40">
        <f>IF(DAY(MaySun1)=1,MaySun1-5,MaySun1+2)</f>
        <v>45048</v>
      </c>
      <c r="E3" s="40">
        <f>IF(DAY(MaySun1)=1,MaySun1-4,MaySun1+3)</f>
        <v>45049</v>
      </c>
      <c r="F3" s="40">
        <f>IF(DAY(MaySun1)=1,MaySun1-3,MaySun1+4)</f>
        <v>45050</v>
      </c>
      <c r="G3" s="40">
        <f>IF(DAY(MaySun1)=1,MaySun1-2,MaySun1+5)</f>
        <v>45051</v>
      </c>
      <c r="H3" s="40">
        <f>IF(DAY(MaySun1)=1,MaySun1-1,MaySun1+6)</f>
        <v>45052</v>
      </c>
      <c r="I3" s="40">
        <f>IF(DAY(MaySun1)=1,MaySun1,MaySun1+7)</f>
        <v>45053</v>
      </c>
      <c r="J3" s="9"/>
      <c r="K3" s="2"/>
    </row>
    <row r="4" spans="1:12" ht="30" customHeight="1" x14ac:dyDescent="0.25">
      <c r="A4" s="12"/>
      <c r="C4" s="40">
        <f>IF(DAY(MaySun1)=1,MaySun1+1,MaySun1+8)</f>
        <v>45054</v>
      </c>
      <c r="D4" s="40">
        <f>IF(DAY(MaySun1)=1,MaySun1+2,MaySun1+9)</f>
        <v>45055</v>
      </c>
      <c r="E4" s="40">
        <f>IF(DAY(MaySun1)=1,MaySun1+3,MaySun1+10)</f>
        <v>45056</v>
      </c>
      <c r="F4" s="40">
        <f>IF(DAY(MaySun1)=1,MaySun1+4,MaySun1+11)</f>
        <v>45057</v>
      </c>
      <c r="G4" s="40">
        <f>IF(DAY(MaySun1)=1,MaySun1+5,MaySun1+12)</f>
        <v>45058</v>
      </c>
      <c r="H4" s="40">
        <f>IF(DAY(MaySun1)=1,MaySun1+6,MaySun1+13)</f>
        <v>45059</v>
      </c>
      <c r="I4" s="40">
        <f>IF(DAY(MaySun1)=1,MaySun1+7,MaySun1+14)</f>
        <v>45060</v>
      </c>
      <c r="J4" s="9"/>
      <c r="K4" s="2"/>
    </row>
    <row r="5" spans="1:12" ht="30" customHeight="1" x14ac:dyDescent="0.25">
      <c r="A5" s="12"/>
      <c r="C5" s="40">
        <f>IF(DAY(MaySun1)=1,MaySun1+8,MaySun1+15)</f>
        <v>45061</v>
      </c>
      <c r="D5" s="40">
        <f>IF(DAY(MaySun1)=1,MaySun1+9,MaySun1+16)</f>
        <v>45062</v>
      </c>
      <c r="E5" s="40">
        <f>IF(DAY(MaySun1)=1,MaySun1+10,MaySun1+17)</f>
        <v>45063</v>
      </c>
      <c r="F5" s="40">
        <f>IF(DAY(MaySun1)=1,MaySun1+11,MaySun1+18)</f>
        <v>45064</v>
      </c>
      <c r="G5" s="40">
        <f>IF(DAY(MaySun1)=1,MaySun1+12,MaySun1+19)</f>
        <v>45065</v>
      </c>
      <c r="H5" s="40">
        <f>IF(DAY(MaySun1)=1,MaySun1+13,MaySun1+20)</f>
        <v>45066</v>
      </c>
      <c r="I5" s="40">
        <f>IF(DAY(MaySun1)=1,MaySun1+14,MaySun1+21)</f>
        <v>45067</v>
      </c>
      <c r="J5" s="9"/>
      <c r="K5" s="2"/>
    </row>
    <row r="6" spans="1:12" ht="30" customHeight="1" x14ac:dyDescent="0.25">
      <c r="A6" s="12"/>
      <c r="C6" s="40">
        <f>IF(DAY(MaySun1)=1,MaySun1+15,MaySun1+22)</f>
        <v>45068</v>
      </c>
      <c r="D6" s="40">
        <f>IF(DAY(MaySun1)=1,MaySun1+16,MaySun1+23)</f>
        <v>45069</v>
      </c>
      <c r="E6" s="40">
        <f>IF(DAY(MaySun1)=1,MaySun1+17,MaySun1+24)</f>
        <v>45070</v>
      </c>
      <c r="F6" s="40">
        <f>IF(DAY(MaySun1)=1,MaySun1+18,MaySun1+25)</f>
        <v>45071</v>
      </c>
      <c r="G6" s="40">
        <f>IF(DAY(MaySun1)=1,MaySun1+19,MaySun1+26)</f>
        <v>45072</v>
      </c>
      <c r="H6" s="40">
        <f>IF(DAY(MaySun1)=1,MaySun1+20,MaySun1+27)</f>
        <v>45073</v>
      </c>
      <c r="I6" s="40">
        <f>IF(DAY(MaySun1)=1,MaySun1+21,MaySun1+28)</f>
        <v>45074</v>
      </c>
      <c r="J6" s="9"/>
      <c r="K6" s="2"/>
    </row>
    <row r="7" spans="1:12" ht="30" customHeight="1" x14ac:dyDescent="0.25">
      <c r="A7" s="12"/>
      <c r="C7" s="40">
        <f>IF(DAY(MaySun1)=1,MaySun1+22,MaySun1+29)</f>
        <v>45075</v>
      </c>
      <c r="D7" s="40">
        <f>IF(DAY(MaySun1)=1,MaySun1+23,MaySun1+30)</f>
        <v>45076</v>
      </c>
      <c r="E7" s="40">
        <f>IF(DAY(MaySun1)=1,MaySun1+24,MaySun1+31)</f>
        <v>45077</v>
      </c>
      <c r="F7" s="40">
        <f>IF(DAY(MaySun1)=1,MaySun1+25,MaySun1+32)</f>
        <v>45078</v>
      </c>
      <c r="G7" s="40">
        <f>IF(DAY(MaySun1)=1,MaySun1+26,MaySun1+33)</f>
        <v>45079</v>
      </c>
      <c r="H7" s="40">
        <f>IF(DAY(MaySun1)=1,MaySun1+27,MaySun1+34)</f>
        <v>45080</v>
      </c>
      <c r="I7" s="40">
        <f>IF(DAY(MaySun1)=1,MaySun1+28,MaySun1+35)</f>
        <v>45081</v>
      </c>
      <c r="J7" s="21"/>
      <c r="K7" s="19"/>
    </row>
    <row r="8" spans="1:12" ht="30" customHeight="1" x14ac:dyDescent="0.25">
      <c r="A8" s="12"/>
      <c r="B8" s="17"/>
      <c r="C8" s="40">
        <f>IF(DAY(MaySun1)=1,MaySun1+29,MaySun1+36)</f>
        <v>45082</v>
      </c>
      <c r="D8" s="40">
        <f>IF(DAY(MaySun1)=1,MaySun1+30,MaySun1+37)</f>
        <v>45083</v>
      </c>
      <c r="E8" s="40">
        <f>IF(DAY(MaySun1)=1,MaySun1+31,MaySun1+38)</f>
        <v>45084</v>
      </c>
      <c r="F8" s="40">
        <f>IF(DAY(MaySun1)=1,MaySun1+32,MaySun1+39)</f>
        <v>45085</v>
      </c>
      <c r="G8" s="40">
        <f>IF(DAY(MaySun1)=1,MaySun1+33,MaySun1+40)</f>
        <v>45086</v>
      </c>
      <c r="H8" s="40">
        <f>IF(DAY(MaySun1)=1,MaySun1+34,MaySun1+41)</f>
        <v>45087</v>
      </c>
      <c r="I8" s="40">
        <f>IF(DAY(MaySun1)=1,MaySun1+35,MaySun1+42)</f>
        <v>45088</v>
      </c>
      <c r="J8" s="9" t="s">
        <v>10</v>
      </c>
      <c r="K8" s="22"/>
    </row>
    <row r="9" spans="1:12" ht="30" customHeight="1" x14ac:dyDescent="0.25">
      <c r="A9" s="12"/>
      <c r="C9" s="4"/>
      <c r="D9" s="4"/>
      <c r="E9" s="4"/>
      <c r="F9" s="4"/>
      <c r="G9" s="4"/>
      <c r="H9" s="4"/>
      <c r="I9" s="4"/>
      <c r="J9" s="9"/>
      <c r="K9" s="2"/>
    </row>
    <row r="10" spans="1:12" ht="30" customHeight="1" x14ac:dyDescent="0.25">
      <c r="A10" s="12"/>
      <c r="B10" s="16" t="s">
        <v>1</v>
      </c>
      <c r="C10" s="8"/>
      <c r="D10" s="8"/>
      <c r="E10" s="8"/>
      <c r="F10" s="8"/>
      <c r="G10" s="8"/>
      <c r="H10" s="8"/>
      <c r="I10" s="8"/>
      <c r="J10" s="9"/>
      <c r="K10" s="2"/>
    </row>
    <row r="11" spans="1:12" ht="30" customHeight="1" x14ac:dyDescent="0.25">
      <c r="A11" s="24"/>
      <c r="B11" s="13" t="s">
        <v>2</v>
      </c>
      <c r="C11" s="48" t="s">
        <v>10</v>
      </c>
      <c r="D11" s="49"/>
      <c r="E11" s="48" t="s">
        <v>15</v>
      </c>
      <c r="F11" s="49"/>
      <c r="G11" s="48" t="s">
        <v>16</v>
      </c>
      <c r="H11" s="49"/>
      <c r="I11" s="3" t="s">
        <v>17</v>
      </c>
      <c r="J11" s="9"/>
      <c r="K11" s="2"/>
    </row>
    <row r="12" spans="1:12" ht="30" customHeight="1" x14ac:dyDescent="0.25">
      <c r="A12" s="24"/>
      <c r="B12" s="44">
        <v>0.3333333333333333</v>
      </c>
      <c r="C12" s="50"/>
      <c r="D12" s="50"/>
      <c r="E12" s="50" t="s">
        <v>3</v>
      </c>
      <c r="F12" s="50"/>
      <c r="G12" s="50"/>
      <c r="H12" s="50"/>
      <c r="I12" s="46" t="s">
        <v>3</v>
      </c>
      <c r="J12" s="9"/>
      <c r="K12" s="2"/>
    </row>
    <row r="13" spans="1:12" ht="30" customHeight="1" x14ac:dyDescent="0.25">
      <c r="A13" s="24"/>
      <c r="B13" s="25" t="s">
        <v>4</v>
      </c>
      <c r="C13" s="51"/>
      <c r="D13" s="51"/>
      <c r="E13" s="51" t="s">
        <v>4</v>
      </c>
      <c r="F13" s="51"/>
      <c r="G13" s="51"/>
      <c r="H13" s="51"/>
      <c r="I13" s="30" t="s">
        <v>4</v>
      </c>
      <c r="J13" s="21"/>
      <c r="K13" s="19"/>
      <c r="L13" s="17"/>
    </row>
    <row r="14" spans="1:12" ht="30" customHeight="1" x14ac:dyDescent="0.25">
      <c r="A14" s="24"/>
      <c r="B14" s="44"/>
      <c r="C14" s="50" t="s">
        <v>11</v>
      </c>
      <c r="D14" s="50"/>
      <c r="E14" s="50"/>
      <c r="F14" s="50"/>
      <c r="G14" s="50" t="s">
        <v>11</v>
      </c>
      <c r="H14" s="50"/>
      <c r="I14" s="46"/>
      <c r="J14" s="35" t="s">
        <v>15</v>
      </c>
      <c r="K14" s="22"/>
    </row>
    <row r="15" spans="1:12" ht="30" customHeight="1" x14ac:dyDescent="0.25">
      <c r="A15" s="24"/>
      <c r="B15" s="25"/>
      <c r="C15" s="51" t="s">
        <v>12</v>
      </c>
      <c r="D15" s="51"/>
      <c r="E15" s="51"/>
      <c r="F15" s="51"/>
      <c r="G15" s="51" t="s">
        <v>12</v>
      </c>
      <c r="H15" s="51"/>
      <c r="I15" s="30"/>
      <c r="J15" s="9"/>
      <c r="K15" s="2"/>
    </row>
    <row r="16" spans="1:12" ht="30" customHeight="1" x14ac:dyDescent="0.25">
      <c r="A16" s="24"/>
      <c r="B16" s="44" t="s">
        <v>5</v>
      </c>
      <c r="C16" s="50"/>
      <c r="D16" s="50"/>
      <c r="E16" s="50" t="s">
        <v>5</v>
      </c>
      <c r="F16" s="50"/>
      <c r="G16" s="50"/>
      <c r="H16" s="50"/>
      <c r="I16" s="47" t="s">
        <v>5</v>
      </c>
      <c r="J16" s="9"/>
      <c r="K16" s="2"/>
    </row>
    <row r="17" spans="1:12" ht="30" customHeight="1" x14ac:dyDescent="0.25">
      <c r="A17" s="24"/>
      <c r="B17" s="25" t="s">
        <v>6</v>
      </c>
      <c r="C17" s="51"/>
      <c r="D17" s="51"/>
      <c r="E17" s="51" t="s">
        <v>6</v>
      </c>
      <c r="F17" s="51"/>
      <c r="G17" s="51"/>
      <c r="H17" s="51"/>
      <c r="I17" s="30" t="s">
        <v>6</v>
      </c>
      <c r="J17" s="9"/>
      <c r="K17" s="2"/>
    </row>
    <row r="18" spans="1:12" ht="30" customHeight="1" x14ac:dyDescent="0.25">
      <c r="A18" s="24"/>
      <c r="B18" s="44"/>
      <c r="C18" s="50"/>
      <c r="D18" s="50"/>
      <c r="E18" s="50"/>
      <c r="F18" s="50"/>
      <c r="G18" s="50"/>
      <c r="H18" s="50"/>
      <c r="I18" s="46"/>
      <c r="J18" s="9"/>
      <c r="K18" s="2"/>
    </row>
    <row r="19" spans="1:12" ht="30" customHeight="1" x14ac:dyDescent="0.25">
      <c r="A19" s="24"/>
      <c r="B19" s="25"/>
      <c r="C19" s="51"/>
      <c r="D19" s="51"/>
      <c r="E19" s="51"/>
      <c r="F19" s="51"/>
      <c r="G19" s="51"/>
      <c r="H19" s="51"/>
      <c r="I19" s="31"/>
      <c r="J19" s="21"/>
      <c r="K19" s="19"/>
      <c r="L19" s="17"/>
    </row>
    <row r="20" spans="1:12" ht="30" customHeight="1" x14ac:dyDescent="0.25">
      <c r="A20" s="24"/>
      <c r="B20" s="44"/>
      <c r="C20" s="50"/>
      <c r="D20" s="50"/>
      <c r="E20" s="50"/>
      <c r="F20" s="50"/>
      <c r="G20" s="50"/>
      <c r="H20" s="50"/>
      <c r="I20" s="46"/>
      <c r="J20" s="9" t="s">
        <v>16</v>
      </c>
      <c r="K20" s="22"/>
    </row>
    <row r="21" spans="1:12" ht="30" customHeight="1" x14ac:dyDescent="0.25">
      <c r="A21" s="24"/>
      <c r="B21" s="25"/>
      <c r="C21" s="51"/>
      <c r="D21" s="51"/>
      <c r="E21" s="51"/>
      <c r="F21" s="51"/>
      <c r="G21" s="51"/>
      <c r="H21" s="51"/>
      <c r="I21" s="30"/>
      <c r="J21" s="9"/>
      <c r="K21" s="2"/>
    </row>
    <row r="22" spans="1:12" ht="30" customHeight="1" x14ac:dyDescent="0.25">
      <c r="A22" s="24"/>
      <c r="B22" s="44"/>
      <c r="C22" s="50"/>
      <c r="D22" s="50"/>
      <c r="E22" s="50"/>
      <c r="F22" s="50"/>
      <c r="G22" s="50"/>
      <c r="H22" s="50"/>
      <c r="I22" s="46"/>
      <c r="J22" s="9"/>
      <c r="K22" s="2"/>
    </row>
    <row r="23" spans="1:12" ht="30" customHeight="1" x14ac:dyDescent="0.25">
      <c r="A23" s="24"/>
      <c r="B23" s="25"/>
      <c r="C23" s="51"/>
      <c r="D23" s="51"/>
      <c r="E23" s="51"/>
      <c r="F23" s="51"/>
      <c r="G23" s="51"/>
      <c r="H23" s="51"/>
      <c r="I23" s="30"/>
      <c r="J23" s="9"/>
      <c r="K23" s="2"/>
    </row>
    <row r="24" spans="1:12" ht="30" customHeight="1" x14ac:dyDescent="0.25">
      <c r="A24" s="24"/>
      <c r="B24" s="44" t="s">
        <v>7</v>
      </c>
      <c r="C24" s="50"/>
      <c r="D24" s="50"/>
      <c r="E24" s="50" t="s">
        <v>7</v>
      </c>
      <c r="F24" s="50"/>
      <c r="G24" s="50"/>
      <c r="H24" s="50"/>
      <c r="I24" s="46" t="s">
        <v>7</v>
      </c>
      <c r="J24" s="9"/>
      <c r="K24" s="2"/>
    </row>
    <row r="25" spans="1:12" ht="30" customHeight="1" x14ac:dyDescent="0.25">
      <c r="A25" s="24"/>
      <c r="B25" s="25" t="s">
        <v>8</v>
      </c>
      <c r="C25" s="51"/>
      <c r="D25" s="51"/>
      <c r="E25" s="51" t="s">
        <v>8</v>
      </c>
      <c r="F25" s="51"/>
      <c r="G25" s="51"/>
      <c r="H25" s="51"/>
      <c r="I25" s="30" t="s">
        <v>8</v>
      </c>
      <c r="J25" s="21"/>
      <c r="K25" s="19"/>
      <c r="L25" s="17"/>
    </row>
    <row r="26" spans="1:12" ht="30" customHeight="1" x14ac:dyDescent="0.25">
      <c r="A26" s="24"/>
      <c r="B26" s="44"/>
      <c r="C26" s="50"/>
      <c r="D26" s="50"/>
      <c r="E26" s="50"/>
      <c r="F26" s="50"/>
      <c r="G26" s="50"/>
      <c r="H26" s="50"/>
      <c r="I26" s="46"/>
      <c r="J26" s="9" t="s">
        <v>17</v>
      </c>
      <c r="K26" s="22"/>
    </row>
    <row r="27" spans="1:12" ht="30" customHeight="1" x14ac:dyDescent="0.25">
      <c r="A27" s="24"/>
      <c r="B27" s="25"/>
      <c r="C27" s="51"/>
      <c r="D27" s="51"/>
      <c r="E27" s="51"/>
      <c r="F27" s="51"/>
      <c r="G27" s="51"/>
      <c r="H27" s="51"/>
      <c r="I27" s="30"/>
      <c r="J27" s="9"/>
      <c r="K27" s="2"/>
    </row>
    <row r="28" spans="1:12" ht="30" customHeight="1" x14ac:dyDescent="0.25">
      <c r="A28" s="24"/>
      <c r="B28" s="44"/>
      <c r="C28" s="50" t="s">
        <v>13</v>
      </c>
      <c r="D28" s="50"/>
      <c r="E28" s="50"/>
      <c r="F28" s="50"/>
      <c r="G28" s="50" t="s">
        <v>13</v>
      </c>
      <c r="H28" s="50"/>
      <c r="I28" s="46"/>
      <c r="J28" s="9"/>
      <c r="K28" s="2"/>
    </row>
    <row r="29" spans="1:12" ht="30" customHeight="1" x14ac:dyDescent="0.25">
      <c r="A29" s="24"/>
      <c r="B29" s="25"/>
      <c r="C29" s="51" t="s">
        <v>14</v>
      </c>
      <c r="D29" s="51"/>
      <c r="E29" s="51"/>
      <c r="F29" s="51"/>
      <c r="G29" s="51" t="s">
        <v>14</v>
      </c>
      <c r="H29" s="51"/>
      <c r="I29" s="30"/>
      <c r="J29" s="9"/>
      <c r="K29" s="2"/>
    </row>
    <row r="30" spans="1:12" ht="30" customHeight="1" x14ac:dyDescent="0.25">
      <c r="A30" s="24"/>
      <c r="B30" s="44"/>
      <c r="C30" s="50"/>
      <c r="D30" s="50"/>
      <c r="E30" s="50"/>
      <c r="F30" s="50"/>
      <c r="G30" s="50"/>
      <c r="H30" s="50"/>
      <c r="I30" s="46"/>
      <c r="J30" s="9"/>
      <c r="K30" s="2"/>
    </row>
    <row r="31" spans="1:12" ht="30" customHeight="1" x14ac:dyDescent="0.25">
      <c r="A31" s="24"/>
      <c r="B31" s="28"/>
      <c r="C31" s="52"/>
      <c r="D31" s="52"/>
      <c r="E31" s="52"/>
      <c r="F31" s="52"/>
      <c r="G31" s="52"/>
      <c r="H31" s="52"/>
      <c r="I31" s="29"/>
      <c r="J31" s="21"/>
      <c r="K31" s="19"/>
    </row>
  </sheetData>
  <mergeCells count="63">
    <mergeCell ref="C31:D31"/>
    <mergeCell ref="E31:F31"/>
    <mergeCell ref="G31:H31"/>
    <mergeCell ref="C29:D29"/>
    <mergeCell ref="E29:F29"/>
    <mergeCell ref="G29:H29"/>
    <mergeCell ref="C30:D30"/>
    <mergeCell ref="E30:F30"/>
    <mergeCell ref="G30:H30"/>
    <mergeCell ref="C27:D27"/>
    <mergeCell ref="E27:F27"/>
    <mergeCell ref="G27:H27"/>
    <mergeCell ref="C28:D28"/>
    <mergeCell ref="E28:F28"/>
    <mergeCell ref="G28:H28"/>
    <mergeCell ref="C25:D25"/>
    <mergeCell ref="E25:F25"/>
    <mergeCell ref="G25:H25"/>
    <mergeCell ref="C26:D26"/>
    <mergeCell ref="E26:F26"/>
    <mergeCell ref="G26:H26"/>
    <mergeCell ref="C23:D23"/>
    <mergeCell ref="E23:F23"/>
    <mergeCell ref="G23:H23"/>
    <mergeCell ref="C24:D24"/>
    <mergeCell ref="E24:F24"/>
    <mergeCell ref="G24:H24"/>
    <mergeCell ref="C21:D21"/>
    <mergeCell ref="E21:F21"/>
    <mergeCell ref="G21:H21"/>
    <mergeCell ref="C22:D22"/>
    <mergeCell ref="E22:F22"/>
    <mergeCell ref="G22:H22"/>
    <mergeCell ref="C19:D19"/>
    <mergeCell ref="E19:F19"/>
    <mergeCell ref="G19:H19"/>
    <mergeCell ref="C20:D20"/>
    <mergeCell ref="E20:F20"/>
    <mergeCell ref="G20:H20"/>
    <mergeCell ref="C17:D17"/>
    <mergeCell ref="E17:F17"/>
    <mergeCell ref="G17:H17"/>
    <mergeCell ref="C18:D18"/>
    <mergeCell ref="E18:F18"/>
    <mergeCell ref="G18:H18"/>
    <mergeCell ref="C15:D15"/>
    <mergeCell ref="E15:F15"/>
    <mergeCell ref="G15:H15"/>
    <mergeCell ref="C16:D16"/>
    <mergeCell ref="E16:F16"/>
    <mergeCell ref="G16:H16"/>
    <mergeCell ref="C13:D13"/>
    <mergeCell ref="E13:F13"/>
    <mergeCell ref="G13:H13"/>
    <mergeCell ref="C14:D14"/>
    <mergeCell ref="E14:F14"/>
    <mergeCell ref="G14:H14"/>
    <mergeCell ref="C11:D11"/>
    <mergeCell ref="E11:F11"/>
    <mergeCell ref="G11:H11"/>
    <mergeCell ref="C12:D12"/>
    <mergeCell ref="E12:F12"/>
    <mergeCell ref="G12:H12"/>
  </mergeCells>
  <conditionalFormatting sqref="B12:I12 B14:I14 B16:I16 B18:I18 B20:I20 B22:I22 B24:I24 B26:I26 B28:I28 B30:I30">
    <cfRule type="expression" dxfId="57" priority="3">
      <formula>B12&lt;&gt;""</formula>
    </cfRule>
  </conditionalFormatting>
  <conditionalFormatting sqref="B12:I31">
    <cfRule type="expression" dxfId="56" priority="1">
      <formula>COLUMN(B11)&gt;2</formula>
    </cfRule>
  </conditionalFormatting>
  <conditionalFormatting sqref="B13:I13 B15:I15 B17:I17 B19:I19 B21:I21 B23:I23 B25:I25 B27:I27 B29:I29 B31:I31">
    <cfRule type="expression" dxfId="55" priority="4">
      <formula>B13&lt;&gt;""</formula>
    </cfRule>
  </conditionalFormatting>
  <conditionalFormatting sqref="B13:I13 B15:I15 B17:I17 B19:I19 B21:I21 B23:I23 B25:I25 B27:I27 B29:I29">
    <cfRule type="expression" dxfId="54" priority="2">
      <formula>COLUMN(B12)&gt;=2</formula>
    </cfRule>
  </conditionalFormatting>
  <conditionalFormatting sqref="C3:H3">
    <cfRule type="expression" dxfId="53" priority="6" stopIfTrue="1">
      <formula>DAY(C3)&gt;8</formula>
    </cfRule>
  </conditionalFormatting>
  <conditionalFormatting sqref="C3:I8">
    <cfRule type="expression" dxfId="52" priority="7">
      <formula>VLOOKUP(DAY(C3),AssignmentDays,1,FALSE)=DAY(C3)</formula>
    </cfRule>
  </conditionalFormatting>
  <conditionalFormatting sqref="C7:I8">
    <cfRule type="expression" dxfId="51" priority="5" stopIfTrue="1">
      <formula>AND(DAY(C7)&gt;=1,DAY(C7)&lt;=15)</formula>
    </cfRule>
  </conditionalFormatting>
  <dataValidations count="16">
    <dataValidation allowBlank="1" showInputMessage="1" showErrorMessage="1" prompt="Escriba la clase en esta fila, de la columna B a la I." sqref="B13" xr:uid="{00000000-0002-0000-0400-000000000000}"/>
    <dataValidation allowBlank="1" showInputMessage="1" showErrorMessage="1" prompt="Escriba la hora en esta fila, de la columna B a la I" sqref="B12" xr:uid="{00000000-0002-0000-0400-000001000000}"/>
    <dataValidation allowBlank="1" showInputMessage="1" showErrorMessage="1" prompt="Si esta fila contiene un número menor que el número o la fila de números anterior, en ese caso, esta fila contiene fechas para el próximo mes del calendario." sqref="C8" xr:uid="{00000000-0002-0000-0400-000002000000}"/>
    <dataValidation allowBlank="1" showInputMessage="1" showErrorMessage="1" prompt="Si esta celda no contiene el número 1, se trata de un día de del mes anterior. Las celdas C3 a I8 contienen fechas para el mes actual" sqref="C3" xr:uid="{00000000-0002-0000-0400-000003000000}"/>
    <dataValidation allowBlank="1" showInputMessage="1" showErrorMessage="1" prompt="Las celdas C2 a I2 contienen días de la semana." sqref="C2" xr:uid="{00000000-0002-0000-0400-000004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400-000005000000}"/>
    <dataValidation allowBlank="1" showInputMessage="1" showErrorMessage="1" prompt="Se actualiza automáticamente el año natural. Para cambiar el año, actualice la celda B1 en la hoja de cálculo ene" sqref="B1" xr:uid="{00000000-0002-0000-0400-000006000000}"/>
    <dataValidation allowBlank="1" showInputMessage="1" showErrorMessage="1" prompt="El calendario de mayo resalta automáticamente las entradas de la lista de tareas para el mes. Las fuentes más oscuras indican tareas. Las fuentes más claras indican días que pertenecen al mes anterior o al mes siguiente" sqref="B2" xr:uid="{00000000-0002-0000-04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400-000008000000}"/>
    <dataValidation allowBlank="1" showInputMessage="1" showErrorMessage="1" prompt="Escriba en esta columna los detalles de la tarea correspondientes al día de la semana en la columna J y al día en la columna K del mes calendario de la izquierda." sqref="L1" xr:uid="{00000000-0002-0000-04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400-00000A000000}"/>
    <dataValidation allowBlank="1" showInputMessage="1" showErrorMessage="1" prompt="Los días de la semana se encuentran en esta fila, del lunes al viernes." sqref="B11" xr:uid="{00000000-0002-0000-04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400-00000C000000}"/>
    <dataValidation allowBlank="1" showInputMessage="1" showErrorMessage="1" prompt="El nombre de la clase va en esta fila, empezando en la celda a la derecha" sqref="A13 A15 A17 A19 A21 A23 A25 A27 A29 A31" xr:uid="{438F3FAF-885E-49F9-880C-C08723CBDDAD}"/>
    <dataValidation allowBlank="1" showInputMessage="1" showErrorMessage="1" prompt="El tiempo de clase va en esta fila, empezando en la celda hasta la derecha_x000a_" sqref="A12 A14 A16 A18 A20 A22 A24 A26 A28 A30" xr:uid="{D0622ED2-5F81-42CD-942F-B37325E5DC5C}"/>
    <dataValidation allowBlank="1" showInputMessage="1" showErrorMessage="1" prompt="El día de la semana va en esta fila, empezando en la celda B11" sqref="A11" xr:uid="{616A9345-5B44-4CE9-BB66-F33D33B33AF5}"/>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4"/>
    <pageSetUpPr fitToPage="1"/>
  </sheetPr>
  <dimension ref="A1:L31"/>
  <sheetViews>
    <sheetView showGridLines="0"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38" t="s">
        <v>30</v>
      </c>
      <c r="C2" s="6" t="s">
        <v>2</v>
      </c>
      <c r="D2" s="6" t="s">
        <v>10</v>
      </c>
      <c r="E2" s="6" t="s">
        <v>15</v>
      </c>
      <c r="F2" s="6" t="s">
        <v>16</v>
      </c>
      <c r="G2" s="6" t="s">
        <v>17</v>
      </c>
      <c r="H2" s="6" t="s">
        <v>18</v>
      </c>
      <c r="I2" s="6" t="s">
        <v>19</v>
      </c>
      <c r="J2" s="9" t="s">
        <v>2</v>
      </c>
      <c r="K2" s="22"/>
    </row>
    <row r="3" spans="1:12" ht="30" customHeight="1" x14ac:dyDescent="0.25">
      <c r="A3" s="12"/>
      <c r="C3" s="40">
        <f>IF(DAY(JunSun1)=1,JunSun1-6,JunSun1+1)</f>
        <v>45075</v>
      </c>
      <c r="D3" s="40">
        <f>IF(DAY(JunSun1)=1,JunSun1-5,JunSun1+2)</f>
        <v>45076</v>
      </c>
      <c r="E3" s="40">
        <f>IF(DAY(JunSun1)=1,JunSun1-4,JunSun1+3)</f>
        <v>45077</v>
      </c>
      <c r="F3" s="40">
        <f>IF(DAY(JunSun1)=1,JunSun1-3,JunSun1+4)</f>
        <v>45078</v>
      </c>
      <c r="G3" s="40">
        <f>IF(DAY(JunSun1)=1,JunSun1-2,JunSun1+5)</f>
        <v>45079</v>
      </c>
      <c r="H3" s="40">
        <f>IF(DAY(JunSun1)=1,JunSun1-1,JunSun1+6)</f>
        <v>45080</v>
      </c>
      <c r="I3" s="40">
        <f>IF(DAY(JunSun1)=1,JunSun1,JunSun1+7)</f>
        <v>45081</v>
      </c>
      <c r="J3" s="9"/>
      <c r="K3" s="2"/>
    </row>
    <row r="4" spans="1:12" ht="30" customHeight="1" x14ac:dyDescent="0.25">
      <c r="A4" s="12"/>
      <c r="C4" s="40">
        <f>IF(DAY(JunSun1)=1,JunSun1+1,JunSun1+8)</f>
        <v>45082</v>
      </c>
      <c r="D4" s="40">
        <f>IF(DAY(JunSun1)=1,JunSun1+2,JunSun1+9)</f>
        <v>45083</v>
      </c>
      <c r="E4" s="40">
        <f>IF(DAY(JunSun1)=1,JunSun1+3,JunSun1+10)</f>
        <v>45084</v>
      </c>
      <c r="F4" s="40">
        <f>IF(DAY(JunSun1)=1,JunSun1+4,JunSun1+11)</f>
        <v>45085</v>
      </c>
      <c r="G4" s="40">
        <f>IF(DAY(JunSun1)=1,JunSun1+5,JunSun1+12)</f>
        <v>45086</v>
      </c>
      <c r="H4" s="40">
        <f>IF(DAY(JunSun1)=1,JunSun1+6,JunSun1+13)</f>
        <v>45087</v>
      </c>
      <c r="I4" s="40">
        <f>IF(DAY(JunSun1)=1,JunSun1+7,JunSun1+14)</f>
        <v>45088</v>
      </c>
      <c r="J4" s="9"/>
      <c r="K4" s="2"/>
    </row>
    <row r="5" spans="1:12" ht="30" customHeight="1" x14ac:dyDescent="0.25">
      <c r="A5" s="12"/>
      <c r="C5" s="40">
        <f>IF(DAY(JunSun1)=1,JunSun1+8,JunSun1+15)</f>
        <v>45089</v>
      </c>
      <c r="D5" s="40">
        <f>IF(DAY(JunSun1)=1,JunSun1+9,JunSun1+16)</f>
        <v>45090</v>
      </c>
      <c r="E5" s="40">
        <f>IF(DAY(JunSun1)=1,JunSun1+10,JunSun1+17)</f>
        <v>45091</v>
      </c>
      <c r="F5" s="40">
        <f>IF(DAY(JunSun1)=1,JunSun1+11,JunSun1+18)</f>
        <v>45092</v>
      </c>
      <c r="G5" s="40">
        <f>IF(DAY(JunSun1)=1,JunSun1+12,JunSun1+19)</f>
        <v>45093</v>
      </c>
      <c r="H5" s="40">
        <f>IF(DAY(JunSun1)=1,JunSun1+13,JunSun1+20)</f>
        <v>45094</v>
      </c>
      <c r="I5" s="40">
        <f>IF(DAY(JunSun1)=1,JunSun1+14,JunSun1+21)</f>
        <v>45095</v>
      </c>
      <c r="J5" s="9"/>
      <c r="K5" s="2"/>
    </row>
    <row r="6" spans="1:12" ht="30" customHeight="1" x14ac:dyDescent="0.25">
      <c r="A6" s="12"/>
      <c r="C6" s="40">
        <f>IF(DAY(JunSun1)=1,JunSun1+15,JunSun1+22)</f>
        <v>45096</v>
      </c>
      <c r="D6" s="40">
        <f>IF(DAY(JunSun1)=1,JunSun1+16,JunSun1+23)</f>
        <v>45097</v>
      </c>
      <c r="E6" s="40">
        <f>IF(DAY(JunSun1)=1,JunSun1+17,JunSun1+24)</f>
        <v>45098</v>
      </c>
      <c r="F6" s="40">
        <f>IF(DAY(JunSun1)=1,JunSun1+18,JunSun1+25)</f>
        <v>45099</v>
      </c>
      <c r="G6" s="40">
        <f>IF(DAY(JunSun1)=1,JunSun1+19,JunSun1+26)</f>
        <v>45100</v>
      </c>
      <c r="H6" s="40">
        <f>IF(DAY(JunSun1)=1,JunSun1+20,JunSun1+27)</f>
        <v>45101</v>
      </c>
      <c r="I6" s="40">
        <f>IF(DAY(JunSun1)=1,JunSun1+21,JunSun1+28)</f>
        <v>45102</v>
      </c>
      <c r="J6" s="9"/>
      <c r="K6" s="2"/>
    </row>
    <row r="7" spans="1:12" ht="30" customHeight="1" x14ac:dyDescent="0.25">
      <c r="A7" s="12"/>
      <c r="C7" s="40">
        <f>IF(DAY(JunSun1)=1,JunSun1+22,JunSun1+29)</f>
        <v>45103</v>
      </c>
      <c r="D7" s="40">
        <f>IF(DAY(JunSun1)=1,JunSun1+23,JunSun1+30)</f>
        <v>45104</v>
      </c>
      <c r="E7" s="40">
        <f>IF(DAY(JunSun1)=1,JunSun1+24,JunSun1+31)</f>
        <v>45105</v>
      </c>
      <c r="F7" s="40">
        <f>IF(DAY(JunSun1)=1,JunSun1+25,JunSun1+32)</f>
        <v>45106</v>
      </c>
      <c r="G7" s="40">
        <f>IF(DAY(JunSun1)=1,JunSun1+26,JunSun1+33)</f>
        <v>45107</v>
      </c>
      <c r="H7" s="40">
        <f>IF(DAY(JunSun1)=1,JunSun1+27,JunSun1+34)</f>
        <v>45108</v>
      </c>
      <c r="I7" s="40">
        <f>IF(DAY(JunSun1)=1,JunSun1+28,JunSun1+35)</f>
        <v>45109</v>
      </c>
      <c r="J7" s="39"/>
      <c r="K7" s="43"/>
    </row>
    <row r="8" spans="1:12" ht="30" customHeight="1" x14ac:dyDescent="0.25">
      <c r="A8" s="12"/>
      <c r="B8" s="17"/>
      <c r="C8" s="40">
        <f>IF(DAY(JunSun1)=1,JunSun1+29,JunSun1+36)</f>
        <v>45110</v>
      </c>
      <c r="D8" s="40">
        <f>IF(DAY(JunSun1)=1,JunSun1+30,JunSun1+37)</f>
        <v>45111</v>
      </c>
      <c r="E8" s="40">
        <f>IF(DAY(JunSun1)=1,JunSun1+31,JunSun1+38)</f>
        <v>45112</v>
      </c>
      <c r="F8" s="40">
        <f>IF(DAY(JunSun1)=1,JunSun1+32,JunSun1+39)</f>
        <v>45113</v>
      </c>
      <c r="G8" s="40">
        <f>IF(DAY(JunSun1)=1,JunSun1+33,JunSun1+40)</f>
        <v>45114</v>
      </c>
      <c r="H8" s="40">
        <f>IF(DAY(JunSun1)=1,JunSun1+34,JunSun1+41)</f>
        <v>45115</v>
      </c>
      <c r="I8" s="40">
        <f>IF(DAY(JunSun1)=1,JunSun1+35,JunSun1+42)</f>
        <v>45116</v>
      </c>
      <c r="J8" s="9" t="s">
        <v>10</v>
      </c>
      <c r="K8" s="22"/>
    </row>
    <row r="9" spans="1:12" ht="30" customHeight="1" x14ac:dyDescent="0.25">
      <c r="A9" s="12"/>
      <c r="C9" s="4"/>
      <c r="D9" s="4"/>
      <c r="E9" s="4"/>
      <c r="F9" s="4"/>
      <c r="G9" s="4"/>
      <c r="H9" s="4"/>
      <c r="I9" s="4"/>
      <c r="J9" s="9"/>
      <c r="K9" s="2"/>
    </row>
    <row r="10" spans="1:12" ht="30" customHeight="1" x14ac:dyDescent="0.25">
      <c r="A10" s="12"/>
      <c r="B10" s="16" t="s">
        <v>1</v>
      </c>
      <c r="C10" s="8"/>
      <c r="D10" s="8"/>
      <c r="E10" s="8"/>
      <c r="F10" s="8"/>
      <c r="G10" s="8"/>
      <c r="H10" s="8"/>
      <c r="I10" s="8"/>
      <c r="J10" s="9"/>
      <c r="K10" s="2"/>
    </row>
    <row r="11" spans="1:12" ht="30" customHeight="1" x14ac:dyDescent="0.25">
      <c r="A11" s="24"/>
      <c r="B11" s="13" t="s">
        <v>2</v>
      </c>
      <c r="C11" s="48" t="s">
        <v>10</v>
      </c>
      <c r="D11" s="49"/>
      <c r="E11" s="48" t="s">
        <v>15</v>
      </c>
      <c r="F11" s="49"/>
      <c r="G11" s="48" t="s">
        <v>16</v>
      </c>
      <c r="H11" s="49"/>
      <c r="I11" s="3" t="s">
        <v>17</v>
      </c>
      <c r="J11" s="9"/>
      <c r="K11" s="2"/>
    </row>
    <row r="12" spans="1:12" ht="30" customHeight="1" x14ac:dyDescent="0.25">
      <c r="A12" s="24"/>
      <c r="B12" s="44" t="s">
        <v>3</v>
      </c>
      <c r="C12" s="50"/>
      <c r="D12" s="50"/>
      <c r="E12" s="50" t="s">
        <v>3</v>
      </c>
      <c r="F12" s="50"/>
      <c r="G12" s="50"/>
      <c r="H12" s="50"/>
      <c r="I12" s="46" t="s">
        <v>3</v>
      </c>
      <c r="J12" s="9"/>
      <c r="K12" s="2"/>
    </row>
    <row r="13" spans="1:12" ht="30" customHeight="1" x14ac:dyDescent="0.25">
      <c r="A13" s="24"/>
      <c r="B13" s="25" t="s">
        <v>4</v>
      </c>
      <c r="C13" s="51"/>
      <c r="D13" s="51"/>
      <c r="E13" s="51" t="s">
        <v>4</v>
      </c>
      <c r="F13" s="51"/>
      <c r="G13" s="51"/>
      <c r="H13" s="51"/>
      <c r="I13" s="30" t="s">
        <v>4</v>
      </c>
      <c r="J13" s="1"/>
      <c r="K13" s="19"/>
      <c r="L13" s="18"/>
    </row>
    <row r="14" spans="1:12" ht="30" customHeight="1" x14ac:dyDescent="0.25">
      <c r="A14" s="24"/>
      <c r="B14" s="44"/>
      <c r="C14" s="50" t="s">
        <v>11</v>
      </c>
      <c r="D14" s="50"/>
      <c r="E14" s="50"/>
      <c r="F14" s="50"/>
      <c r="G14" s="50" t="s">
        <v>11</v>
      </c>
      <c r="H14" s="50"/>
      <c r="I14" s="46"/>
      <c r="J14" s="9" t="s">
        <v>15</v>
      </c>
      <c r="K14" s="22"/>
    </row>
    <row r="15" spans="1:12" ht="30" customHeight="1" x14ac:dyDescent="0.25">
      <c r="A15" s="24"/>
      <c r="B15" s="25"/>
      <c r="C15" s="51" t="s">
        <v>12</v>
      </c>
      <c r="D15" s="51"/>
      <c r="E15" s="51"/>
      <c r="F15" s="51"/>
      <c r="G15" s="51" t="s">
        <v>12</v>
      </c>
      <c r="H15" s="51"/>
      <c r="I15" s="30"/>
      <c r="J15" s="9"/>
      <c r="K15" s="2"/>
    </row>
    <row r="16" spans="1:12" ht="30" customHeight="1" x14ac:dyDescent="0.25">
      <c r="A16" s="24"/>
      <c r="B16" s="44" t="s">
        <v>5</v>
      </c>
      <c r="C16" s="50"/>
      <c r="D16" s="50"/>
      <c r="E16" s="50" t="s">
        <v>5</v>
      </c>
      <c r="F16" s="50"/>
      <c r="G16" s="50"/>
      <c r="H16" s="50"/>
      <c r="I16" s="47" t="s">
        <v>5</v>
      </c>
      <c r="J16" s="9"/>
      <c r="K16" s="2"/>
    </row>
    <row r="17" spans="1:12" ht="30" customHeight="1" x14ac:dyDescent="0.25">
      <c r="A17" s="24"/>
      <c r="B17" s="25" t="s">
        <v>6</v>
      </c>
      <c r="C17" s="51"/>
      <c r="D17" s="51"/>
      <c r="E17" s="51" t="s">
        <v>6</v>
      </c>
      <c r="F17" s="51"/>
      <c r="G17" s="51"/>
      <c r="H17" s="51"/>
      <c r="I17" s="30" t="s">
        <v>6</v>
      </c>
      <c r="J17" s="9"/>
      <c r="K17" s="2"/>
    </row>
    <row r="18" spans="1:12" ht="30" customHeight="1" x14ac:dyDescent="0.25">
      <c r="A18" s="24"/>
      <c r="B18" s="44"/>
      <c r="C18" s="50"/>
      <c r="D18" s="50"/>
      <c r="E18" s="50"/>
      <c r="F18" s="50"/>
      <c r="G18" s="50"/>
      <c r="H18" s="50"/>
      <c r="I18" s="46"/>
      <c r="J18" s="9"/>
      <c r="K18" s="2"/>
    </row>
    <row r="19" spans="1:12" ht="30" customHeight="1" x14ac:dyDescent="0.25">
      <c r="A19" s="24"/>
      <c r="B19" s="25"/>
      <c r="C19" s="51"/>
      <c r="D19" s="51"/>
      <c r="E19" s="51"/>
      <c r="F19" s="51"/>
      <c r="G19" s="51"/>
      <c r="H19" s="51"/>
      <c r="I19" s="31"/>
      <c r="J19" s="1"/>
      <c r="K19" s="19"/>
      <c r="L19" s="23"/>
    </row>
    <row r="20" spans="1:12" ht="30" customHeight="1" x14ac:dyDescent="0.25">
      <c r="A20" s="24"/>
      <c r="B20" s="44"/>
      <c r="C20" s="50"/>
      <c r="D20" s="50"/>
      <c r="E20" s="50"/>
      <c r="F20" s="50"/>
      <c r="G20" s="50"/>
      <c r="H20" s="50"/>
      <c r="I20" s="46"/>
      <c r="J20" s="9" t="s">
        <v>16</v>
      </c>
      <c r="K20" s="22"/>
    </row>
    <row r="21" spans="1:12" ht="30" customHeight="1" x14ac:dyDescent="0.25">
      <c r="A21" s="24"/>
      <c r="B21" s="25"/>
      <c r="C21" s="51"/>
      <c r="D21" s="51"/>
      <c r="E21" s="51"/>
      <c r="F21" s="51"/>
      <c r="G21" s="51"/>
      <c r="H21" s="51"/>
      <c r="I21" s="30"/>
      <c r="J21" s="9"/>
      <c r="K21" s="2"/>
    </row>
    <row r="22" spans="1:12" ht="30" customHeight="1" x14ac:dyDescent="0.25">
      <c r="A22" s="24"/>
      <c r="B22" s="44"/>
      <c r="C22" s="50"/>
      <c r="D22" s="50"/>
      <c r="E22" s="50"/>
      <c r="F22" s="50"/>
      <c r="G22" s="50"/>
      <c r="H22" s="50"/>
      <c r="I22" s="46"/>
      <c r="J22" s="9"/>
      <c r="K22" s="2"/>
    </row>
    <row r="23" spans="1:12" ht="30" customHeight="1" x14ac:dyDescent="0.25">
      <c r="A23" s="24"/>
      <c r="B23" s="25"/>
      <c r="C23" s="51"/>
      <c r="D23" s="51"/>
      <c r="E23" s="51"/>
      <c r="F23" s="51"/>
      <c r="G23" s="51"/>
      <c r="H23" s="51"/>
      <c r="I23" s="30"/>
      <c r="J23" s="9"/>
      <c r="K23" s="2"/>
    </row>
    <row r="24" spans="1:12" ht="30" customHeight="1" x14ac:dyDescent="0.25">
      <c r="A24" s="24"/>
      <c r="B24" s="44" t="s">
        <v>7</v>
      </c>
      <c r="C24" s="50"/>
      <c r="D24" s="50"/>
      <c r="E24" s="50" t="s">
        <v>7</v>
      </c>
      <c r="F24" s="50"/>
      <c r="G24" s="50"/>
      <c r="H24" s="50"/>
      <c r="I24" s="46" t="s">
        <v>7</v>
      </c>
      <c r="J24" s="9"/>
      <c r="K24" s="2"/>
    </row>
    <row r="25" spans="1:12" ht="30" customHeight="1" x14ac:dyDescent="0.25">
      <c r="A25" s="24"/>
      <c r="B25" s="25" t="s">
        <v>8</v>
      </c>
      <c r="C25" s="51"/>
      <c r="D25" s="51"/>
      <c r="E25" s="51" t="s">
        <v>8</v>
      </c>
      <c r="F25" s="51"/>
      <c r="G25" s="51"/>
      <c r="H25" s="51"/>
      <c r="I25" s="30" t="s">
        <v>8</v>
      </c>
      <c r="J25" s="1"/>
      <c r="K25" s="19"/>
      <c r="L25" s="23"/>
    </row>
    <row r="26" spans="1:12" ht="30" customHeight="1" x14ac:dyDescent="0.25">
      <c r="A26" s="24"/>
      <c r="B26" s="44"/>
      <c r="C26" s="50"/>
      <c r="D26" s="50"/>
      <c r="E26" s="50"/>
      <c r="F26" s="50"/>
      <c r="G26" s="50"/>
      <c r="H26" s="50"/>
      <c r="I26" s="46"/>
      <c r="J26" s="9" t="s">
        <v>17</v>
      </c>
      <c r="K26" s="22"/>
    </row>
    <row r="27" spans="1:12" ht="30" customHeight="1" x14ac:dyDescent="0.25">
      <c r="A27" s="24"/>
      <c r="B27" s="25"/>
      <c r="C27" s="51"/>
      <c r="D27" s="51"/>
      <c r="E27" s="51"/>
      <c r="F27" s="51"/>
      <c r="G27" s="51"/>
      <c r="H27" s="51"/>
      <c r="I27" s="30"/>
      <c r="J27" s="9"/>
      <c r="K27" s="2"/>
    </row>
    <row r="28" spans="1:12" ht="30" customHeight="1" x14ac:dyDescent="0.25">
      <c r="A28" s="24"/>
      <c r="B28" s="44"/>
      <c r="C28" s="50" t="s">
        <v>13</v>
      </c>
      <c r="D28" s="50"/>
      <c r="E28" s="50"/>
      <c r="F28" s="50"/>
      <c r="G28" s="50" t="s">
        <v>13</v>
      </c>
      <c r="H28" s="50"/>
      <c r="I28" s="46"/>
      <c r="J28" s="9"/>
      <c r="K28" s="2"/>
    </row>
    <row r="29" spans="1:12" ht="30" customHeight="1" x14ac:dyDescent="0.25">
      <c r="A29" s="24"/>
      <c r="B29" s="25"/>
      <c r="C29" s="51" t="s">
        <v>14</v>
      </c>
      <c r="D29" s="51"/>
      <c r="E29" s="51"/>
      <c r="F29" s="51"/>
      <c r="G29" s="51" t="s">
        <v>14</v>
      </c>
      <c r="H29" s="51"/>
      <c r="I29" s="30"/>
      <c r="J29" s="9"/>
      <c r="K29" s="2"/>
    </row>
    <row r="30" spans="1:12" ht="30" customHeight="1" x14ac:dyDescent="0.25">
      <c r="A30" s="24"/>
      <c r="B30" s="44"/>
      <c r="C30" s="50"/>
      <c r="D30" s="50"/>
      <c r="E30" s="50"/>
      <c r="F30" s="50"/>
      <c r="G30" s="50"/>
      <c r="H30" s="50"/>
      <c r="I30" s="46"/>
      <c r="J30" s="9"/>
      <c r="K30" s="2"/>
    </row>
    <row r="31" spans="1:12" ht="30" customHeight="1" x14ac:dyDescent="0.25">
      <c r="A31" s="24"/>
      <c r="B31" s="28"/>
      <c r="C31" s="52"/>
      <c r="D31" s="52"/>
      <c r="E31" s="52"/>
      <c r="F31" s="52"/>
      <c r="G31" s="52"/>
      <c r="H31" s="52"/>
      <c r="I31" s="29"/>
      <c r="J31" s="9"/>
      <c r="K31" s="19"/>
    </row>
  </sheetData>
  <mergeCells count="63">
    <mergeCell ref="C31:D31"/>
    <mergeCell ref="E31:F31"/>
    <mergeCell ref="G31:H31"/>
    <mergeCell ref="C29:D29"/>
    <mergeCell ref="E29:F29"/>
    <mergeCell ref="G29:H29"/>
    <mergeCell ref="C30:D30"/>
    <mergeCell ref="E30:F30"/>
    <mergeCell ref="G30:H30"/>
    <mergeCell ref="C27:D27"/>
    <mergeCell ref="E27:F27"/>
    <mergeCell ref="G27:H27"/>
    <mergeCell ref="C28:D28"/>
    <mergeCell ref="E28:F28"/>
    <mergeCell ref="G28:H28"/>
    <mergeCell ref="C25:D25"/>
    <mergeCell ref="E25:F25"/>
    <mergeCell ref="G25:H25"/>
    <mergeCell ref="C26:D26"/>
    <mergeCell ref="E26:F26"/>
    <mergeCell ref="G26:H26"/>
    <mergeCell ref="C23:D23"/>
    <mergeCell ref="E23:F23"/>
    <mergeCell ref="G23:H23"/>
    <mergeCell ref="C24:D24"/>
    <mergeCell ref="E24:F24"/>
    <mergeCell ref="G24:H24"/>
    <mergeCell ref="C21:D21"/>
    <mergeCell ref="E21:F21"/>
    <mergeCell ref="G21:H21"/>
    <mergeCell ref="C22:D22"/>
    <mergeCell ref="E22:F22"/>
    <mergeCell ref="G22:H22"/>
    <mergeCell ref="C19:D19"/>
    <mergeCell ref="E19:F19"/>
    <mergeCell ref="G19:H19"/>
    <mergeCell ref="C20:D20"/>
    <mergeCell ref="E20:F20"/>
    <mergeCell ref="G20:H20"/>
    <mergeCell ref="C17:D17"/>
    <mergeCell ref="E17:F17"/>
    <mergeCell ref="G17:H17"/>
    <mergeCell ref="C18:D18"/>
    <mergeCell ref="E18:F18"/>
    <mergeCell ref="G18:H18"/>
    <mergeCell ref="C15:D15"/>
    <mergeCell ref="E15:F15"/>
    <mergeCell ref="G15:H15"/>
    <mergeCell ref="C16:D16"/>
    <mergeCell ref="E16:F16"/>
    <mergeCell ref="G16:H16"/>
    <mergeCell ref="C13:D13"/>
    <mergeCell ref="E13:F13"/>
    <mergeCell ref="G13:H13"/>
    <mergeCell ref="C14:D14"/>
    <mergeCell ref="E14:F14"/>
    <mergeCell ref="G14:H14"/>
    <mergeCell ref="C11:D11"/>
    <mergeCell ref="E11:F11"/>
    <mergeCell ref="G11:H11"/>
    <mergeCell ref="C12:D12"/>
    <mergeCell ref="E12:F12"/>
    <mergeCell ref="G12:H12"/>
  </mergeCells>
  <conditionalFormatting sqref="B12:I12 B14:I14 B16:I16 B18:I18 B20:I20 B22:I22 B24:I24 B26:I26 B28:I28 B30:I30">
    <cfRule type="expression" dxfId="50" priority="3">
      <formula>B12&lt;&gt;""</formula>
    </cfRule>
  </conditionalFormatting>
  <conditionalFormatting sqref="B12:I31">
    <cfRule type="expression" dxfId="49" priority="1">
      <formula>COLUMN(B12)&gt;2</formula>
    </cfRule>
  </conditionalFormatting>
  <conditionalFormatting sqref="B13:I13 B15:I15 B17:I17 B19:I19 B21:I21 B23:I23 B25:I25 B27:I27 B29:I29 B31:I31">
    <cfRule type="expression" dxfId="48" priority="4">
      <formula>B13&lt;&gt;""</formula>
    </cfRule>
  </conditionalFormatting>
  <conditionalFormatting sqref="B13:I13 B15:I15 B17:I17 B19:I19 B21:I21 B23:I23 B25:I25 B27:I27 B29:I29">
    <cfRule type="expression" dxfId="47" priority="2">
      <formula>COLUMN(B13)&gt;=2</formula>
    </cfRule>
  </conditionalFormatting>
  <conditionalFormatting sqref="C3:H3">
    <cfRule type="expression" dxfId="46" priority="6" stopIfTrue="1">
      <formula>DAY(C3)&gt;8</formula>
    </cfRule>
  </conditionalFormatting>
  <conditionalFormatting sqref="C3:I8">
    <cfRule type="expression" dxfId="45" priority="7">
      <formula>VLOOKUP(DAY(C3),AssignmentDays,1,FALSE)=DAY(C3)</formula>
    </cfRule>
  </conditionalFormatting>
  <conditionalFormatting sqref="C7:I8">
    <cfRule type="expression" dxfId="44" priority="5" stopIfTrue="1">
      <formula>AND(DAY(C7)&gt;=1,DAY(C7)&lt;=15)</formula>
    </cfRule>
  </conditionalFormatting>
  <dataValidations xWindow="282" yWindow="780" count="16">
    <dataValidation allowBlank="1" showInputMessage="1" showErrorMessage="1" prompt="El calendario de junio resalta automáticamente las entradas de la lista de tareas para el mes. Las fuentes más oscuras indican tareas. Las fuentes más claras indican días que pertenecen al mes anterior o al mes siguiente" sqref="B2" xr:uid="{00000000-0002-0000-0500-000000000000}"/>
    <dataValidation allowBlank="1" showInputMessage="1" showErrorMessage="1" prompt="Se actualiza automáticamente el año natural. Para cambiar el año, actualice la celda B1 en la hoja de cálculo ene" sqref="B1" xr:uid="{00000000-0002-0000-0500-000001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500-000002000000}"/>
    <dataValidation allowBlank="1" showInputMessage="1" showErrorMessage="1" prompt="Las celdas C2 a I2 contienen días de la semana." sqref="C2" xr:uid="{00000000-0002-0000-0500-000003000000}"/>
    <dataValidation allowBlank="1" showInputMessage="1" showErrorMessage="1" prompt="Si esta celda no contiene el número 1, se trata de un día de del mes anterior. Las celdas C3 a I8 contienen fechas para el mes actual" sqref="C3" xr:uid="{00000000-0002-0000-0500-000004000000}"/>
    <dataValidation allowBlank="1" showInputMessage="1" showErrorMessage="1" prompt="Si esta fila contiene un número menor que el número o la fila de números anterior, en ese caso, esta fila contiene fechas para el próximo mes del calendario." sqref="C8" xr:uid="{00000000-0002-0000-0500-000005000000}"/>
    <dataValidation allowBlank="1" showInputMessage="1" showErrorMessage="1" prompt="Escriba la hora en esta fila, de la columna B a la I" sqref="B12" xr:uid="{00000000-0002-0000-0500-000006000000}"/>
    <dataValidation allowBlank="1" showInputMessage="1" showErrorMessage="1" prompt="Escriba la clase en esta fila, de la columna B a la I." sqref="B13" xr:uid="{00000000-0002-0000-05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500-000008000000}"/>
    <dataValidation allowBlank="1" showInputMessage="1" showErrorMessage="1" prompt="Escriba en esta columna los detalles de la tarea correspondientes al día de la semana en la columna J y al día en la columna K del mes calendario de la izquierda." sqref="L1" xr:uid="{00000000-0002-0000-05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500-00000A000000}"/>
    <dataValidation allowBlank="1" showInputMessage="1" showErrorMessage="1" prompt="Los días de la semana se encuentran en esta fila, del lunes al viernes." sqref="B11" xr:uid="{00000000-0002-0000-05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500-00000C000000}"/>
    <dataValidation allowBlank="1" showInputMessage="1" showErrorMessage="1" prompt="El nombre de la clase va en esta fila, empezando en la celda a la derecha" sqref="A13 A15 A17 A19 A21 A23 A25 A27 A29 A31" xr:uid="{188FC040-C6C6-4986-84F4-8D08FE285A17}"/>
    <dataValidation allowBlank="1" showInputMessage="1" showErrorMessage="1" prompt="El tiempo de clase va en esta fila, empezando en la celda hasta la derecha_x000a_" sqref="A12 A14 A16 A18 A20 A22 A24 A26 A28 A30" xr:uid="{6B86CD8A-81CD-406F-AFBF-55BFEE011832}"/>
    <dataValidation allowBlank="1" showInputMessage="1" showErrorMessage="1" prompt="El día de la semana va en esta fila, empezando en la celda B11" sqref="A11" xr:uid="{634ABA3B-AE96-427A-BD7A-3178682C330B}"/>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pageSetUpPr fitToPage="1"/>
  </sheetPr>
  <dimension ref="A1:L31"/>
  <sheetViews>
    <sheetView showGridLines="0"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37" t="s">
        <v>31</v>
      </c>
      <c r="C2" s="6" t="s">
        <v>2</v>
      </c>
      <c r="D2" s="6" t="s">
        <v>10</v>
      </c>
      <c r="E2" s="6" t="s">
        <v>15</v>
      </c>
      <c r="F2" s="6" t="s">
        <v>16</v>
      </c>
      <c r="G2" s="6" t="s">
        <v>17</v>
      </c>
      <c r="H2" s="6" t="s">
        <v>18</v>
      </c>
      <c r="I2" s="6" t="s">
        <v>19</v>
      </c>
      <c r="J2" s="9" t="s">
        <v>2</v>
      </c>
      <c r="K2" s="22"/>
    </row>
    <row r="3" spans="1:12" ht="30" customHeight="1" x14ac:dyDescent="0.25">
      <c r="A3" s="12"/>
      <c r="C3" s="40">
        <f>IF(DAY(JulSun1)=1,JulSun1-6,JulSun1+1)</f>
        <v>45103</v>
      </c>
      <c r="D3" s="40">
        <f>IF(DAY(JulSun1)=1,JulSun1-5,JulSun1+2)</f>
        <v>45104</v>
      </c>
      <c r="E3" s="40">
        <f>IF(DAY(JulSun1)=1,JulSun1-4,JulSun1+3)</f>
        <v>45105</v>
      </c>
      <c r="F3" s="40">
        <f>IF(DAY(JulSun1)=1,JulSun1-3,JulSun1+4)</f>
        <v>45106</v>
      </c>
      <c r="G3" s="40">
        <f>IF(DAY(JulSun1)=1,JulSun1-2,JulSun1+5)</f>
        <v>45107</v>
      </c>
      <c r="H3" s="40">
        <f>IF(DAY(JulSun1)=1,JulSun1-1,JulSun1+6)</f>
        <v>45108</v>
      </c>
      <c r="I3" s="40">
        <f>IF(DAY(JulSun1)=1,JulSun1,JulSun1+7)</f>
        <v>45109</v>
      </c>
      <c r="J3" s="9"/>
      <c r="K3" s="2"/>
    </row>
    <row r="4" spans="1:12" ht="30" customHeight="1" x14ac:dyDescent="0.25">
      <c r="A4" s="12"/>
      <c r="C4" s="40">
        <f>IF(DAY(JulSun1)=1,JulSun1+1,JulSun1+8)</f>
        <v>45110</v>
      </c>
      <c r="D4" s="40">
        <f>IF(DAY(JulSun1)=1,JulSun1+2,JulSun1+9)</f>
        <v>45111</v>
      </c>
      <c r="E4" s="40">
        <f>IF(DAY(JulSun1)=1,JulSun1+3,JulSun1+10)</f>
        <v>45112</v>
      </c>
      <c r="F4" s="40">
        <f>IF(DAY(JulSun1)=1,JulSun1+4,JulSun1+11)</f>
        <v>45113</v>
      </c>
      <c r="G4" s="40">
        <f>IF(DAY(JulSun1)=1,JulSun1+5,JulSun1+12)</f>
        <v>45114</v>
      </c>
      <c r="H4" s="40">
        <f>IF(DAY(JulSun1)=1,JulSun1+6,JulSun1+13)</f>
        <v>45115</v>
      </c>
      <c r="I4" s="40">
        <f>IF(DAY(JulSun1)=1,JulSun1+7,JulSun1+14)</f>
        <v>45116</v>
      </c>
      <c r="J4" s="9"/>
      <c r="K4" s="2"/>
    </row>
    <row r="5" spans="1:12" ht="30" customHeight="1" x14ac:dyDescent="0.25">
      <c r="A5" s="12"/>
      <c r="C5" s="40">
        <f>IF(DAY(JulSun1)=1,JulSun1+8,JulSun1+15)</f>
        <v>45117</v>
      </c>
      <c r="D5" s="40">
        <f>IF(DAY(JulSun1)=1,JulSun1+9,JulSun1+16)</f>
        <v>45118</v>
      </c>
      <c r="E5" s="40">
        <f>IF(DAY(JulSun1)=1,JulSun1+10,JulSun1+17)</f>
        <v>45119</v>
      </c>
      <c r="F5" s="40">
        <f>IF(DAY(JulSun1)=1,JulSun1+11,JulSun1+18)</f>
        <v>45120</v>
      </c>
      <c r="G5" s="40">
        <f>IF(DAY(JulSun1)=1,JulSun1+12,JulSun1+19)</f>
        <v>45121</v>
      </c>
      <c r="H5" s="40">
        <f>IF(DAY(JulSun1)=1,JulSun1+13,JulSun1+20)</f>
        <v>45122</v>
      </c>
      <c r="I5" s="40">
        <f>IF(DAY(JulSun1)=1,JulSun1+14,JulSun1+21)</f>
        <v>45123</v>
      </c>
      <c r="J5" s="9"/>
      <c r="K5" s="2"/>
    </row>
    <row r="6" spans="1:12" ht="30" customHeight="1" x14ac:dyDescent="0.25">
      <c r="A6" s="12"/>
      <c r="C6" s="40">
        <f>IF(DAY(JulSun1)=1,JulSun1+15,JulSun1+22)</f>
        <v>45124</v>
      </c>
      <c r="D6" s="40">
        <f>IF(DAY(JulSun1)=1,JulSun1+16,JulSun1+23)</f>
        <v>45125</v>
      </c>
      <c r="E6" s="40">
        <f>IF(DAY(JulSun1)=1,JulSun1+17,JulSun1+24)</f>
        <v>45126</v>
      </c>
      <c r="F6" s="40">
        <f>IF(DAY(JulSun1)=1,JulSun1+18,JulSun1+25)</f>
        <v>45127</v>
      </c>
      <c r="G6" s="40">
        <f>IF(DAY(JulSun1)=1,JulSun1+19,JulSun1+26)</f>
        <v>45128</v>
      </c>
      <c r="H6" s="40">
        <f>IF(DAY(JulSun1)=1,JulSun1+20,JulSun1+27)</f>
        <v>45129</v>
      </c>
      <c r="I6" s="40">
        <f>IF(DAY(JulSun1)=1,JulSun1+21,JulSun1+28)</f>
        <v>45130</v>
      </c>
      <c r="J6" s="9"/>
      <c r="K6" s="2"/>
    </row>
    <row r="7" spans="1:12" ht="30" customHeight="1" x14ac:dyDescent="0.25">
      <c r="A7" s="12"/>
      <c r="C7" s="40">
        <f>IF(DAY(JulSun1)=1,JulSun1+22,JulSun1+29)</f>
        <v>45131</v>
      </c>
      <c r="D7" s="40">
        <f>IF(DAY(JulSun1)=1,JulSun1+23,JulSun1+30)</f>
        <v>45132</v>
      </c>
      <c r="E7" s="40">
        <f>IF(DAY(JulSun1)=1,JulSun1+24,JulSun1+31)</f>
        <v>45133</v>
      </c>
      <c r="F7" s="40">
        <f>IF(DAY(JulSun1)=1,JulSun1+25,JulSun1+32)</f>
        <v>45134</v>
      </c>
      <c r="G7" s="40">
        <f>IF(DAY(JulSun1)=1,JulSun1+26,JulSun1+33)</f>
        <v>45135</v>
      </c>
      <c r="H7" s="40">
        <f>IF(DAY(JulSun1)=1,JulSun1+27,JulSun1+34)</f>
        <v>45136</v>
      </c>
      <c r="I7" s="40">
        <f>IF(DAY(JulSun1)=1,JulSun1+28,JulSun1+35)</f>
        <v>45137</v>
      </c>
      <c r="J7" s="1"/>
      <c r="K7" s="19"/>
    </row>
    <row r="8" spans="1:12" ht="30" customHeight="1" x14ac:dyDescent="0.25">
      <c r="A8" s="12"/>
      <c r="B8" s="17"/>
      <c r="C8" s="40">
        <f>IF(DAY(JulSun1)=1,JulSun1+29,JulSun1+36)</f>
        <v>45138</v>
      </c>
      <c r="D8" s="40">
        <f>IF(DAY(JulSun1)=1,JulSun1+30,JulSun1+37)</f>
        <v>45139</v>
      </c>
      <c r="E8" s="40">
        <f>IF(DAY(JulSun1)=1,JulSun1+31,JulSun1+38)</f>
        <v>45140</v>
      </c>
      <c r="F8" s="40">
        <f>IF(DAY(JulSun1)=1,JulSun1+32,JulSun1+39)</f>
        <v>45141</v>
      </c>
      <c r="G8" s="40">
        <f>IF(DAY(JulSun1)=1,JulSun1+33,JulSun1+40)</f>
        <v>45142</v>
      </c>
      <c r="H8" s="40">
        <f>IF(DAY(JulSun1)=1,JulSun1+34,JulSun1+41)</f>
        <v>45143</v>
      </c>
      <c r="I8" s="40">
        <f>IF(DAY(JulSun1)=1,JulSun1+35,JulSun1+42)</f>
        <v>45144</v>
      </c>
      <c r="J8" s="9" t="s">
        <v>10</v>
      </c>
      <c r="K8" s="22"/>
    </row>
    <row r="9" spans="1:12" ht="30" customHeight="1" x14ac:dyDescent="0.25">
      <c r="A9" s="12"/>
      <c r="C9" s="4"/>
      <c r="D9" s="4"/>
      <c r="E9" s="4"/>
      <c r="F9" s="4"/>
      <c r="G9" s="4"/>
      <c r="H9" s="4"/>
      <c r="I9" s="4"/>
      <c r="J9" s="9"/>
      <c r="K9" s="2"/>
    </row>
    <row r="10" spans="1:12" ht="30" customHeight="1" x14ac:dyDescent="0.25">
      <c r="A10" s="12"/>
      <c r="B10" s="16" t="s">
        <v>1</v>
      </c>
      <c r="C10" s="8"/>
      <c r="D10" s="8"/>
      <c r="E10" s="8"/>
      <c r="F10" s="8"/>
      <c r="G10" s="8"/>
      <c r="H10" s="8"/>
      <c r="I10" s="8"/>
      <c r="J10" s="9"/>
      <c r="K10" s="2"/>
    </row>
    <row r="11" spans="1:12" ht="30" customHeight="1" x14ac:dyDescent="0.25">
      <c r="A11" s="24"/>
      <c r="B11" s="13" t="s">
        <v>2</v>
      </c>
      <c r="C11" s="48" t="s">
        <v>10</v>
      </c>
      <c r="D11" s="49"/>
      <c r="E11" s="48" t="s">
        <v>15</v>
      </c>
      <c r="F11" s="49"/>
      <c r="G11" s="48" t="s">
        <v>16</v>
      </c>
      <c r="H11" s="49"/>
      <c r="I11" s="3" t="s">
        <v>17</v>
      </c>
      <c r="J11" s="9"/>
      <c r="K11" s="2"/>
    </row>
    <row r="12" spans="1:12" ht="30" customHeight="1" x14ac:dyDescent="0.25">
      <c r="A12" s="24"/>
      <c r="B12" s="44" t="s">
        <v>3</v>
      </c>
      <c r="C12" s="50"/>
      <c r="D12" s="50"/>
      <c r="E12" s="50" t="s">
        <v>3</v>
      </c>
      <c r="F12" s="50"/>
      <c r="G12" s="50"/>
      <c r="H12" s="50"/>
      <c r="I12" s="46" t="s">
        <v>3</v>
      </c>
      <c r="J12" s="9"/>
      <c r="K12" s="2"/>
    </row>
    <row r="13" spans="1:12" ht="30" customHeight="1" x14ac:dyDescent="0.25">
      <c r="A13" s="24"/>
      <c r="B13" s="25" t="s">
        <v>4</v>
      </c>
      <c r="C13" s="51"/>
      <c r="D13" s="51"/>
      <c r="E13" s="51" t="s">
        <v>4</v>
      </c>
      <c r="F13" s="51"/>
      <c r="G13" s="51"/>
      <c r="H13" s="51"/>
      <c r="I13" s="30" t="s">
        <v>4</v>
      </c>
      <c r="J13" s="1"/>
      <c r="K13" s="19"/>
      <c r="L13" s="18"/>
    </row>
    <row r="14" spans="1:12" ht="30" customHeight="1" x14ac:dyDescent="0.25">
      <c r="A14" s="24"/>
      <c r="B14" s="44"/>
      <c r="C14" s="50" t="s">
        <v>11</v>
      </c>
      <c r="D14" s="50"/>
      <c r="E14" s="50"/>
      <c r="F14" s="50"/>
      <c r="G14" s="50" t="s">
        <v>11</v>
      </c>
      <c r="H14" s="50"/>
      <c r="I14" s="46"/>
      <c r="J14" s="9" t="s">
        <v>15</v>
      </c>
      <c r="K14" s="22"/>
    </row>
    <row r="15" spans="1:12" ht="30" customHeight="1" x14ac:dyDescent="0.25">
      <c r="A15" s="24"/>
      <c r="B15" s="25"/>
      <c r="C15" s="51" t="s">
        <v>12</v>
      </c>
      <c r="D15" s="51"/>
      <c r="E15" s="51"/>
      <c r="F15" s="51"/>
      <c r="G15" s="51" t="s">
        <v>12</v>
      </c>
      <c r="H15" s="51"/>
      <c r="I15" s="30"/>
      <c r="J15" s="9"/>
      <c r="K15" s="2"/>
    </row>
    <row r="16" spans="1:12" ht="30" customHeight="1" x14ac:dyDescent="0.25">
      <c r="A16" s="24"/>
      <c r="B16" s="44" t="s">
        <v>5</v>
      </c>
      <c r="C16" s="50"/>
      <c r="D16" s="50"/>
      <c r="E16" s="50" t="s">
        <v>5</v>
      </c>
      <c r="F16" s="50"/>
      <c r="G16" s="50"/>
      <c r="H16" s="50"/>
      <c r="I16" s="47" t="s">
        <v>5</v>
      </c>
      <c r="J16" s="9"/>
      <c r="K16" s="2"/>
    </row>
    <row r="17" spans="1:12" ht="30" customHeight="1" x14ac:dyDescent="0.25">
      <c r="A17" s="24"/>
      <c r="B17" s="25" t="s">
        <v>6</v>
      </c>
      <c r="C17" s="51"/>
      <c r="D17" s="51"/>
      <c r="E17" s="51" t="s">
        <v>6</v>
      </c>
      <c r="F17" s="51"/>
      <c r="G17" s="51"/>
      <c r="H17" s="51"/>
      <c r="I17" s="30" t="s">
        <v>6</v>
      </c>
      <c r="J17" s="9"/>
      <c r="K17" s="2"/>
    </row>
    <row r="18" spans="1:12" ht="30" customHeight="1" x14ac:dyDescent="0.25">
      <c r="A18" s="24"/>
      <c r="B18" s="44"/>
      <c r="C18" s="50"/>
      <c r="D18" s="50"/>
      <c r="E18" s="50"/>
      <c r="F18" s="50"/>
      <c r="G18" s="50"/>
      <c r="H18" s="50"/>
      <c r="I18" s="46"/>
      <c r="J18" s="9"/>
      <c r="K18" s="2"/>
    </row>
    <row r="19" spans="1:12" ht="30" customHeight="1" x14ac:dyDescent="0.25">
      <c r="A19" s="24"/>
      <c r="B19" s="25"/>
      <c r="C19" s="51"/>
      <c r="D19" s="51"/>
      <c r="E19" s="51"/>
      <c r="F19" s="51"/>
      <c r="G19" s="51"/>
      <c r="H19" s="51"/>
      <c r="I19" s="31"/>
      <c r="J19" s="1"/>
      <c r="K19" s="19"/>
      <c r="L19" s="23"/>
    </row>
    <row r="20" spans="1:12" ht="30" customHeight="1" x14ac:dyDescent="0.25">
      <c r="A20" s="24"/>
      <c r="B20" s="44"/>
      <c r="C20" s="50"/>
      <c r="D20" s="50"/>
      <c r="E20" s="50"/>
      <c r="F20" s="50"/>
      <c r="G20" s="50"/>
      <c r="H20" s="50"/>
      <c r="I20" s="46"/>
      <c r="J20" s="9" t="s">
        <v>16</v>
      </c>
      <c r="K20" s="22"/>
    </row>
    <row r="21" spans="1:12" ht="30" customHeight="1" x14ac:dyDescent="0.25">
      <c r="A21" s="24"/>
      <c r="B21" s="25"/>
      <c r="C21" s="51"/>
      <c r="D21" s="51"/>
      <c r="E21" s="51"/>
      <c r="F21" s="51"/>
      <c r="G21" s="51"/>
      <c r="H21" s="51"/>
      <c r="I21" s="30"/>
      <c r="J21" s="9"/>
      <c r="K21" s="2"/>
    </row>
    <row r="22" spans="1:12" ht="30" customHeight="1" x14ac:dyDescent="0.25">
      <c r="A22" s="24"/>
      <c r="B22" s="44"/>
      <c r="C22" s="50"/>
      <c r="D22" s="50"/>
      <c r="E22" s="50"/>
      <c r="F22" s="50"/>
      <c r="G22" s="50"/>
      <c r="H22" s="50"/>
      <c r="I22" s="46"/>
      <c r="J22" s="9"/>
      <c r="K22" s="2"/>
    </row>
    <row r="23" spans="1:12" ht="30" customHeight="1" x14ac:dyDescent="0.25">
      <c r="A23" s="24"/>
      <c r="B23" s="25"/>
      <c r="C23" s="51"/>
      <c r="D23" s="51"/>
      <c r="E23" s="51"/>
      <c r="F23" s="51"/>
      <c r="G23" s="51"/>
      <c r="H23" s="51"/>
      <c r="I23" s="30"/>
      <c r="J23" s="9"/>
      <c r="K23" s="2"/>
    </row>
    <row r="24" spans="1:12" ht="30" customHeight="1" x14ac:dyDescent="0.25">
      <c r="A24" s="24"/>
      <c r="B24" s="44" t="s">
        <v>7</v>
      </c>
      <c r="C24" s="50"/>
      <c r="D24" s="50"/>
      <c r="E24" s="50" t="s">
        <v>7</v>
      </c>
      <c r="F24" s="50"/>
      <c r="G24" s="50"/>
      <c r="H24" s="50"/>
      <c r="I24" s="46" t="s">
        <v>7</v>
      </c>
      <c r="J24" s="9"/>
      <c r="K24" s="2"/>
    </row>
    <row r="25" spans="1:12" ht="30" customHeight="1" x14ac:dyDescent="0.25">
      <c r="A25" s="24"/>
      <c r="B25" s="25" t="s">
        <v>8</v>
      </c>
      <c r="C25" s="51"/>
      <c r="D25" s="51"/>
      <c r="E25" s="51" t="s">
        <v>8</v>
      </c>
      <c r="F25" s="51"/>
      <c r="G25" s="51"/>
      <c r="H25" s="51"/>
      <c r="I25" s="30" t="s">
        <v>8</v>
      </c>
      <c r="J25" s="1"/>
      <c r="K25" s="19"/>
      <c r="L25" s="23"/>
    </row>
    <row r="26" spans="1:12" ht="30" customHeight="1" x14ac:dyDescent="0.25">
      <c r="A26" s="24"/>
      <c r="B26" s="44"/>
      <c r="C26" s="50"/>
      <c r="D26" s="50"/>
      <c r="E26" s="50"/>
      <c r="F26" s="50"/>
      <c r="G26" s="50"/>
      <c r="H26" s="50"/>
      <c r="I26" s="46"/>
      <c r="J26" s="9" t="s">
        <v>17</v>
      </c>
      <c r="K26" s="22"/>
    </row>
    <row r="27" spans="1:12" ht="30" customHeight="1" x14ac:dyDescent="0.25">
      <c r="A27" s="24"/>
      <c r="B27" s="25"/>
      <c r="C27" s="51"/>
      <c r="D27" s="51"/>
      <c r="E27" s="51"/>
      <c r="F27" s="51"/>
      <c r="G27" s="51"/>
      <c r="H27" s="51"/>
      <c r="I27" s="30"/>
      <c r="J27" s="9"/>
      <c r="K27" s="2"/>
    </row>
    <row r="28" spans="1:12" ht="30" customHeight="1" x14ac:dyDescent="0.25">
      <c r="A28" s="24"/>
      <c r="B28" s="44"/>
      <c r="C28" s="50" t="s">
        <v>13</v>
      </c>
      <c r="D28" s="50"/>
      <c r="E28" s="50"/>
      <c r="F28" s="50"/>
      <c r="G28" s="50" t="s">
        <v>13</v>
      </c>
      <c r="H28" s="50"/>
      <c r="I28" s="46"/>
      <c r="J28" s="9"/>
      <c r="K28" s="2"/>
    </row>
    <row r="29" spans="1:12" ht="30" customHeight="1" x14ac:dyDescent="0.25">
      <c r="A29" s="24"/>
      <c r="B29" s="25"/>
      <c r="C29" s="51" t="s">
        <v>14</v>
      </c>
      <c r="D29" s="51"/>
      <c r="E29" s="51"/>
      <c r="F29" s="51"/>
      <c r="G29" s="51" t="s">
        <v>14</v>
      </c>
      <c r="H29" s="51"/>
      <c r="I29" s="30"/>
      <c r="J29" s="9"/>
      <c r="K29" s="2"/>
    </row>
    <row r="30" spans="1:12" ht="30" customHeight="1" x14ac:dyDescent="0.25">
      <c r="A30" s="24"/>
      <c r="B30" s="44"/>
      <c r="C30" s="50"/>
      <c r="D30" s="50"/>
      <c r="E30" s="50"/>
      <c r="F30" s="50"/>
      <c r="G30" s="50"/>
      <c r="H30" s="50"/>
      <c r="I30" s="46"/>
      <c r="J30" s="9"/>
      <c r="K30" s="2"/>
    </row>
    <row r="31" spans="1:12" ht="30" customHeight="1" x14ac:dyDescent="0.25">
      <c r="A31" s="24"/>
      <c r="B31" s="28"/>
      <c r="C31" s="52"/>
      <c r="D31" s="52"/>
      <c r="E31" s="52"/>
      <c r="F31" s="52"/>
      <c r="G31" s="52"/>
      <c r="H31" s="52"/>
      <c r="I31" s="29"/>
      <c r="J31" s="9"/>
      <c r="K31" s="19"/>
    </row>
  </sheetData>
  <mergeCells count="63">
    <mergeCell ref="C31:D31"/>
    <mergeCell ref="E31:F31"/>
    <mergeCell ref="G31:H31"/>
    <mergeCell ref="C29:D29"/>
    <mergeCell ref="E29:F29"/>
    <mergeCell ref="G29:H29"/>
    <mergeCell ref="C30:D30"/>
    <mergeCell ref="E30:F30"/>
    <mergeCell ref="G30:H30"/>
    <mergeCell ref="C27:D27"/>
    <mergeCell ref="E27:F27"/>
    <mergeCell ref="G27:H27"/>
    <mergeCell ref="C28:D28"/>
    <mergeCell ref="E28:F28"/>
    <mergeCell ref="G28:H28"/>
    <mergeCell ref="C25:D25"/>
    <mergeCell ref="E25:F25"/>
    <mergeCell ref="G25:H25"/>
    <mergeCell ref="C26:D26"/>
    <mergeCell ref="E26:F26"/>
    <mergeCell ref="G26:H26"/>
    <mergeCell ref="C23:D23"/>
    <mergeCell ref="E23:F23"/>
    <mergeCell ref="G23:H23"/>
    <mergeCell ref="C24:D24"/>
    <mergeCell ref="E24:F24"/>
    <mergeCell ref="G24:H24"/>
    <mergeCell ref="C21:D21"/>
    <mergeCell ref="E21:F21"/>
    <mergeCell ref="G21:H21"/>
    <mergeCell ref="C22:D22"/>
    <mergeCell ref="E22:F22"/>
    <mergeCell ref="G22:H22"/>
    <mergeCell ref="C19:D19"/>
    <mergeCell ref="E19:F19"/>
    <mergeCell ref="G19:H19"/>
    <mergeCell ref="C20:D20"/>
    <mergeCell ref="E20:F20"/>
    <mergeCell ref="G20:H20"/>
    <mergeCell ref="C17:D17"/>
    <mergeCell ref="E17:F17"/>
    <mergeCell ref="G17:H17"/>
    <mergeCell ref="C18:D18"/>
    <mergeCell ref="E18:F18"/>
    <mergeCell ref="G18:H18"/>
    <mergeCell ref="C15:D15"/>
    <mergeCell ref="E15:F15"/>
    <mergeCell ref="G15:H15"/>
    <mergeCell ref="C16:D16"/>
    <mergeCell ref="E16:F16"/>
    <mergeCell ref="G16:H16"/>
    <mergeCell ref="C13:D13"/>
    <mergeCell ref="E13:F13"/>
    <mergeCell ref="G13:H13"/>
    <mergeCell ref="C14:D14"/>
    <mergeCell ref="E14:F14"/>
    <mergeCell ref="G14:H14"/>
    <mergeCell ref="C11:D11"/>
    <mergeCell ref="E11:F11"/>
    <mergeCell ref="G11:H11"/>
    <mergeCell ref="C12:D12"/>
    <mergeCell ref="E12:F12"/>
    <mergeCell ref="G12:H12"/>
  </mergeCells>
  <conditionalFormatting sqref="B12:I12 B14:I14 B16:I16 B18:I18 B20:I20 B22:I22 B24:I24 B26:I26 B28:I28 B30:I30">
    <cfRule type="expression" dxfId="43" priority="4">
      <formula>B12&lt;&gt;""</formula>
    </cfRule>
  </conditionalFormatting>
  <conditionalFormatting sqref="B12:I31">
    <cfRule type="expression" dxfId="42" priority="1">
      <formula>COLUMN(B12)&gt;2</formula>
    </cfRule>
  </conditionalFormatting>
  <conditionalFormatting sqref="B13:I13 B15:I15 B17:I17 B19:I19 B21:I21 B23:I23 B25:I25 B27:I27 B29:I29 B31:I31">
    <cfRule type="expression" dxfId="41" priority="3">
      <formula>B13&lt;&gt;""</formula>
    </cfRule>
  </conditionalFormatting>
  <conditionalFormatting sqref="B13:I13 B15:I15 B17:I17 B19:I19 B21:I21 B23:I23 B25:I25 B27:I27 B29:I29">
    <cfRule type="expression" dxfId="40" priority="2">
      <formula>COLUMN(B13)&gt;=2</formula>
    </cfRule>
  </conditionalFormatting>
  <conditionalFormatting sqref="C3:H3">
    <cfRule type="expression" dxfId="39" priority="6" stopIfTrue="1">
      <formula>DAY(C3)&gt;8</formula>
    </cfRule>
  </conditionalFormatting>
  <conditionalFormatting sqref="C3:I8">
    <cfRule type="expression" dxfId="38" priority="7">
      <formula>VLOOKUP(DAY(C3),AssignmentDays,1,FALSE)=DAY(C3)</formula>
    </cfRule>
  </conditionalFormatting>
  <conditionalFormatting sqref="C7:I8">
    <cfRule type="expression" dxfId="37" priority="5" stopIfTrue="1">
      <formula>AND(DAY(C7)&gt;=1,DAY(C7)&lt;=15)</formula>
    </cfRule>
  </conditionalFormatting>
  <dataValidations xWindow="239" yWindow="583" count="16">
    <dataValidation allowBlank="1" showInputMessage="1" showErrorMessage="1" prompt="Escriba la clase en esta fila, de la columna B a la I." sqref="B13" xr:uid="{00000000-0002-0000-0600-000000000000}"/>
    <dataValidation allowBlank="1" showInputMessage="1" showErrorMessage="1" prompt="Escriba la hora en esta fila, de la columna B a la I" sqref="B12" xr:uid="{00000000-0002-0000-0600-000001000000}"/>
    <dataValidation allowBlank="1" showInputMessage="1" showErrorMessage="1" prompt="Si esta fila contiene un número menor que el número o la fila de números anterior, en ese caso, esta fila contiene fechas para el próximo mes del calendario." sqref="C8" xr:uid="{00000000-0002-0000-0600-000002000000}"/>
    <dataValidation allowBlank="1" showInputMessage="1" showErrorMessage="1" prompt="Si esta celda no contiene el número 1, se trata de un día de del mes anterior. Las celdas C3 a I8 contienen fechas para el mes actual" sqref="C3" xr:uid="{00000000-0002-0000-0600-000003000000}"/>
    <dataValidation allowBlank="1" showInputMessage="1" showErrorMessage="1" prompt="Las celdas C2 a I2 contienen días de la semana." sqref="C2" xr:uid="{00000000-0002-0000-0600-000004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600-000005000000}"/>
    <dataValidation allowBlank="1" showInputMessage="1" showErrorMessage="1" prompt="Se actualiza automáticamente el año natural. Para cambiar el año, actualice la celda B1 en la hoja de cálculo ene" sqref="B1" xr:uid="{00000000-0002-0000-0600-000006000000}"/>
    <dataValidation allowBlank="1" showInputMessage="1" showErrorMessage="1" prompt="El calendario de julio resalta automáticamente las entradas de la lista de tareas para el mes. Las fuentes más oscuras indican tareas. Las fuentes más claras indican días que pertenecen al mes anterior o al mes siguiente" sqref="B2" xr:uid="{00000000-0002-0000-06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600-000008000000}"/>
    <dataValidation allowBlank="1" showInputMessage="1" showErrorMessage="1" prompt="Escriba en esta columna los detalles de la tarea correspondientes al día de la semana en la columna J y al día en la columna K del mes calendario de la izquierda." sqref="L1" xr:uid="{00000000-0002-0000-06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600-00000A000000}"/>
    <dataValidation allowBlank="1" showInputMessage="1" showErrorMessage="1" prompt="Los días de la semana se encuentran en esta fila, del lunes al viernes." sqref="B11" xr:uid="{00000000-0002-0000-06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600-00000C000000}"/>
    <dataValidation allowBlank="1" showInputMessage="1" showErrorMessage="1" prompt="El nombre de la clase va en esta fila, empezando en la celda a la derecha" sqref="A13 A15 A17 A19 A21 A23 A25 A27 A29 A31" xr:uid="{189F8C19-08F5-4583-9FF3-CD200BE06F89}"/>
    <dataValidation allowBlank="1" showInputMessage="1" showErrorMessage="1" prompt="El tiempo de clase va en esta fila, empezando en la celda hasta la derecha_x000a_" sqref="A12 A14 A16 A18 A20 A22 A24 A26 A28 A30" xr:uid="{56E51AE5-F638-4235-8B70-96DDC96962C1}"/>
    <dataValidation allowBlank="1" showInputMessage="1" showErrorMessage="1" prompt="El día de la semana va en esta fila, empezando en la celda B11" sqref="A11" xr:uid="{EA8CD20E-030F-477F-9247-BACAAD291DDE}"/>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4"/>
    <pageSetUpPr fitToPage="1"/>
  </sheetPr>
  <dimension ref="A1:L31"/>
  <sheetViews>
    <sheetView showGridLines="0"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37" t="s">
        <v>32</v>
      </c>
      <c r="C2" s="6" t="s">
        <v>2</v>
      </c>
      <c r="D2" s="6" t="s">
        <v>10</v>
      </c>
      <c r="E2" s="6" t="s">
        <v>15</v>
      </c>
      <c r="F2" s="6" t="s">
        <v>16</v>
      </c>
      <c r="G2" s="6" t="s">
        <v>17</v>
      </c>
      <c r="H2" s="6" t="s">
        <v>18</v>
      </c>
      <c r="I2" s="6" t="s">
        <v>19</v>
      </c>
      <c r="J2" s="9" t="s">
        <v>2</v>
      </c>
      <c r="K2" s="22"/>
    </row>
    <row r="3" spans="1:12" ht="30" customHeight="1" x14ac:dyDescent="0.25">
      <c r="A3" s="12"/>
      <c r="C3" s="40">
        <f>IF(DAY(AgoDom1)=1,AgoDom1-6,AgoDom1+1)</f>
        <v>45138</v>
      </c>
      <c r="D3" s="40">
        <f>IF(DAY(AgoDom1)=1,AgoDom1-5,AgoDom1+2)</f>
        <v>45139</v>
      </c>
      <c r="E3" s="40">
        <f>IF(DAY(AgoDom1)=1,AgoDom1-4,AgoDom1+3)</f>
        <v>45140</v>
      </c>
      <c r="F3" s="40">
        <f>IF(DAY(AgoDom1)=1,AgoDom1-3,AgoDom1+4)</f>
        <v>45141</v>
      </c>
      <c r="G3" s="40">
        <f>IF(DAY(AgoDom1)=1,AgoDom1-2,AgoDom1+5)</f>
        <v>45142</v>
      </c>
      <c r="H3" s="40">
        <f>IF(DAY(AgoDom1)=1,AgoDom1-1,AgoDom1+6)</f>
        <v>45143</v>
      </c>
      <c r="I3" s="40">
        <f>IF(DAY(AgoDom1)=1,AgoDom1,AgoDom1+7)</f>
        <v>45144</v>
      </c>
      <c r="J3" s="9"/>
      <c r="K3" s="2"/>
    </row>
    <row r="4" spans="1:12" ht="30" customHeight="1" x14ac:dyDescent="0.25">
      <c r="A4" s="12"/>
      <c r="C4" s="40">
        <f>IF(DAY(AgoDom1)=1,AgoDom1+1,AgoDom1+8)</f>
        <v>45145</v>
      </c>
      <c r="D4" s="40">
        <f>IF(DAY(AgoDom1)=1,AgoDom1+2,AgoDom1+9)</f>
        <v>45146</v>
      </c>
      <c r="E4" s="40">
        <f>IF(DAY(AgoDom1)=1,AgoDom1+3,AgoDom1+10)</f>
        <v>45147</v>
      </c>
      <c r="F4" s="40">
        <f>IF(DAY(AgoDom1)=1,AgoDom1+4,AgoDom1+11)</f>
        <v>45148</v>
      </c>
      <c r="G4" s="40">
        <f>IF(DAY(AgoDom1)=1,AgoDom1+5,AgoDom1+12)</f>
        <v>45149</v>
      </c>
      <c r="H4" s="40">
        <f>IF(DAY(AgoDom1)=1,AgoDom1+6,AgoDom1+13)</f>
        <v>45150</v>
      </c>
      <c r="I4" s="40">
        <f>IF(DAY(AgoDom1)=1,AgoDom1+7,AgoDom1+14)</f>
        <v>45151</v>
      </c>
      <c r="J4" s="9"/>
      <c r="K4" s="2"/>
    </row>
    <row r="5" spans="1:12" ht="30" customHeight="1" x14ac:dyDescent="0.25">
      <c r="A5" s="12"/>
      <c r="C5" s="40">
        <f>IF(DAY(AgoDom1)=1,AgoDom1+8,AgoDom1+15)</f>
        <v>45152</v>
      </c>
      <c r="D5" s="40">
        <f>IF(DAY(AgoDom1)=1,AgoDom1+9,AgoDom1+16)</f>
        <v>45153</v>
      </c>
      <c r="E5" s="40">
        <f>IF(DAY(AgoDom1)=1,AgoDom1+10,AgoDom1+17)</f>
        <v>45154</v>
      </c>
      <c r="F5" s="40">
        <f>IF(DAY(AgoDom1)=1,AgoDom1+11,AgoDom1+18)</f>
        <v>45155</v>
      </c>
      <c r="G5" s="40">
        <f>IF(DAY(AgoDom1)=1,AgoDom1+12,AgoDom1+19)</f>
        <v>45156</v>
      </c>
      <c r="H5" s="40">
        <f>IF(DAY(AgoDom1)=1,AgoDom1+13,AgoDom1+20)</f>
        <v>45157</v>
      </c>
      <c r="I5" s="40">
        <f>IF(DAY(AgoDom1)=1,AgoDom1+14,AgoDom1+21)</f>
        <v>45158</v>
      </c>
      <c r="J5" s="9"/>
      <c r="K5" s="2"/>
    </row>
    <row r="6" spans="1:12" ht="30" customHeight="1" x14ac:dyDescent="0.25">
      <c r="A6" s="12"/>
      <c r="C6" s="40">
        <f>IF(DAY(AgoDom1)=1,AgoDom1+15,AgoDom1+22)</f>
        <v>45159</v>
      </c>
      <c r="D6" s="40">
        <f>IF(DAY(AgoDom1)=1,AgoDom1+16,AgoDom1+23)</f>
        <v>45160</v>
      </c>
      <c r="E6" s="40">
        <f>IF(DAY(AgoDom1)=1,AgoDom1+17,AgoDom1+24)</f>
        <v>45161</v>
      </c>
      <c r="F6" s="40">
        <f>IF(DAY(AgoDom1)=1,AgoDom1+18,AgoDom1+25)</f>
        <v>45162</v>
      </c>
      <c r="G6" s="40">
        <f>IF(DAY(AgoDom1)=1,AgoDom1+19,AgoDom1+26)</f>
        <v>45163</v>
      </c>
      <c r="H6" s="40">
        <f>IF(DAY(AgoDom1)=1,AgoDom1+20,AgoDom1+27)</f>
        <v>45164</v>
      </c>
      <c r="I6" s="40">
        <f>IF(DAY(AgoDom1)=1,AgoDom1+21,AgoDom1+28)</f>
        <v>45165</v>
      </c>
      <c r="J6" s="9"/>
      <c r="K6" s="2"/>
    </row>
    <row r="7" spans="1:12" ht="30" customHeight="1" x14ac:dyDescent="0.25">
      <c r="A7" s="12"/>
      <c r="C7" s="40">
        <f>IF(DAY(AgoDom1)=1,AgoDom1+22,AgoDom1+29)</f>
        <v>45166</v>
      </c>
      <c r="D7" s="40">
        <f>IF(DAY(AgoDom1)=1,AgoDom1+23,AgoDom1+30)</f>
        <v>45167</v>
      </c>
      <c r="E7" s="40">
        <f>IF(DAY(AgoDom1)=1,AgoDom1+24,AgoDom1+31)</f>
        <v>45168</v>
      </c>
      <c r="F7" s="40">
        <f>IF(DAY(AgoDom1)=1,AgoDom1+25,AgoDom1+32)</f>
        <v>45169</v>
      </c>
      <c r="G7" s="40">
        <f>IF(DAY(AgoDom1)=1,AgoDom1+26,AgoDom1+33)</f>
        <v>45170</v>
      </c>
      <c r="H7" s="40">
        <f>IF(DAY(AgoDom1)=1,AgoDom1+27,AgoDom1+34)</f>
        <v>45171</v>
      </c>
      <c r="I7" s="40">
        <f>IF(DAY(AgoDom1)=1,AgoDom1+28,AgoDom1+35)</f>
        <v>45172</v>
      </c>
      <c r="J7" s="21"/>
      <c r="K7" s="19"/>
    </row>
    <row r="8" spans="1:12" ht="30" customHeight="1" x14ac:dyDescent="0.25">
      <c r="A8" s="12"/>
      <c r="B8" s="17"/>
      <c r="C8" s="40">
        <f>IF(DAY(AgoDom1)=1,AgoDom1+29,AgoDom1+36)</f>
        <v>45173</v>
      </c>
      <c r="D8" s="40">
        <f>IF(DAY(AgoDom1)=1,AgoDom1+30,AgoDom1+37)</f>
        <v>45174</v>
      </c>
      <c r="E8" s="40">
        <f>IF(DAY(AgoDom1)=1,AgoDom1+31,AgoDom1+38)</f>
        <v>45175</v>
      </c>
      <c r="F8" s="40">
        <f>IF(DAY(AgoDom1)=1,AgoDom1+32,AgoDom1+39)</f>
        <v>45176</v>
      </c>
      <c r="G8" s="40">
        <f>IF(DAY(AgoDom1)=1,AgoDom1+33,AgoDom1+40)</f>
        <v>45177</v>
      </c>
      <c r="H8" s="40">
        <f>IF(DAY(AgoDom1)=1,AgoDom1+34,AgoDom1+41)</f>
        <v>45178</v>
      </c>
      <c r="I8" s="40">
        <f>IF(DAY(AgoDom1)=1,AgoDom1+35,AgoDom1+42)</f>
        <v>45179</v>
      </c>
      <c r="J8" s="9" t="s">
        <v>10</v>
      </c>
      <c r="K8" s="22"/>
    </row>
    <row r="9" spans="1:12" ht="30" customHeight="1" x14ac:dyDescent="0.25">
      <c r="A9" s="12"/>
      <c r="C9" s="4"/>
      <c r="D9" s="4"/>
      <c r="E9" s="4"/>
      <c r="F9" s="4"/>
      <c r="G9" s="4"/>
      <c r="H9" s="4"/>
      <c r="I9" s="4"/>
      <c r="J9" s="9"/>
      <c r="K9" s="2"/>
    </row>
    <row r="10" spans="1:12" ht="30" customHeight="1" x14ac:dyDescent="0.25">
      <c r="A10" s="12"/>
      <c r="B10" s="16" t="s">
        <v>1</v>
      </c>
      <c r="C10" s="8"/>
      <c r="D10" s="8"/>
      <c r="E10" s="8"/>
      <c r="F10" s="8"/>
      <c r="G10" s="8"/>
      <c r="H10" s="8"/>
      <c r="I10" s="8"/>
      <c r="J10" s="9"/>
      <c r="K10" s="2"/>
    </row>
    <row r="11" spans="1:12" ht="30" customHeight="1" x14ac:dyDescent="0.25">
      <c r="A11" s="24"/>
      <c r="B11" s="13" t="s">
        <v>2</v>
      </c>
      <c r="C11" s="48" t="s">
        <v>10</v>
      </c>
      <c r="D11" s="49"/>
      <c r="E11" s="48" t="s">
        <v>15</v>
      </c>
      <c r="F11" s="49"/>
      <c r="G11" s="48" t="s">
        <v>16</v>
      </c>
      <c r="H11" s="49"/>
      <c r="I11" s="3" t="s">
        <v>17</v>
      </c>
      <c r="J11" s="9"/>
      <c r="K11" s="2"/>
    </row>
    <row r="12" spans="1:12" ht="30" customHeight="1" x14ac:dyDescent="0.25">
      <c r="A12" s="24"/>
      <c r="B12" s="44" t="s">
        <v>3</v>
      </c>
      <c r="C12" s="50"/>
      <c r="D12" s="50"/>
      <c r="E12" s="50" t="s">
        <v>3</v>
      </c>
      <c r="F12" s="50"/>
      <c r="G12" s="50"/>
      <c r="H12" s="50"/>
      <c r="I12" s="46" t="s">
        <v>3</v>
      </c>
      <c r="J12" s="9"/>
      <c r="K12" s="2"/>
    </row>
    <row r="13" spans="1:12" ht="30" customHeight="1" x14ac:dyDescent="0.25">
      <c r="A13" s="24"/>
      <c r="B13" s="25" t="s">
        <v>4</v>
      </c>
      <c r="C13" s="51"/>
      <c r="D13" s="51"/>
      <c r="E13" s="51" t="s">
        <v>4</v>
      </c>
      <c r="F13" s="51"/>
      <c r="G13" s="51"/>
      <c r="H13" s="51"/>
      <c r="I13" s="30" t="s">
        <v>4</v>
      </c>
      <c r="J13" s="21"/>
      <c r="K13" s="19"/>
      <c r="L13" s="18"/>
    </row>
    <row r="14" spans="1:12" ht="30" customHeight="1" x14ac:dyDescent="0.25">
      <c r="A14" s="24"/>
      <c r="B14" s="44"/>
      <c r="C14" s="50" t="s">
        <v>11</v>
      </c>
      <c r="D14" s="50"/>
      <c r="E14" s="50"/>
      <c r="F14" s="50"/>
      <c r="G14" s="50" t="s">
        <v>11</v>
      </c>
      <c r="H14" s="50"/>
      <c r="I14" s="46"/>
      <c r="J14" s="9" t="s">
        <v>15</v>
      </c>
      <c r="K14" s="22"/>
    </row>
    <row r="15" spans="1:12" ht="30" customHeight="1" x14ac:dyDescent="0.25">
      <c r="A15" s="24"/>
      <c r="B15" s="25"/>
      <c r="C15" s="51" t="s">
        <v>12</v>
      </c>
      <c r="D15" s="51"/>
      <c r="E15" s="51"/>
      <c r="F15" s="51"/>
      <c r="G15" s="51" t="s">
        <v>12</v>
      </c>
      <c r="H15" s="51"/>
      <c r="I15" s="30"/>
      <c r="J15" s="9"/>
      <c r="K15" s="2"/>
    </row>
    <row r="16" spans="1:12" ht="30" customHeight="1" x14ac:dyDescent="0.25">
      <c r="A16" s="24"/>
      <c r="B16" s="44" t="s">
        <v>5</v>
      </c>
      <c r="C16" s="50"/>
      <c r="D16" s="50"/>
      <c r="E16" s="50" t="s">
        <v>5</v>
      </c>
      <c r="F16" s="50"/>
      <c r="G16" s="50"/>
      <c r="H16" s="50"/>
      <c r="I16" s="47" t="s">
        <v>5</v>
      </c>
      <c r="J16" s="9"/>
      <c r="K16" s="2"/>
    </row>
    <row r="17" spans="1:12" ht="30" customHeight="1" x14ac:dyDescent="0.25">
      <c r="A17" s="24"/>
      <c r="B17" s="25" t="s">
        <v>6</v>
      </c>
      <c r="C17" s="51"/>
      <c r="D17" s="51"/>
      <c r="E17" s="51" t="s">
        <v>6</v>
      </c>
      <c r="F17" s="51"/>
      <c r="G17" s="51"/>
      <c r="H17" s="51"/>
      <c r="I17" s="30" t="s">
        <v>6</v>
      </c>
      <c r="J17" s="9"/>
      <c r="K17" s="2"/>
    </row>
    <row r="18" spans="1:12" ht="30" customHeight="1" x14ac:dyDescent="0.25">
      <c r="A18" s="24"/>
      <c r="B18" s="44"/>
      <c r="C18" s="50"/>
      <c r="D18" s="50"/>
      <c r="E18" s="50"/>
      <c r="F18" s="50"/>
      <c r="G18" s="50"/>
      <c r="H18" s="50"/>
      <c r="I18" s="46"/>
      <c r="J18" s="9"/>
      <c r="K18" s="2"/>
    </row>
    <row r="19" spans="1:12" ht="30" customHeight="1" x14ac:dyDescent="0.25">
      <c r="A19" s="24"/>
      <c r="B19" s="25"/>
      <c r="C19" s="51"/>
      <c r="D19" s="51"/>
      <c r="E19" s="51"/>
      <c r="F19" s="51"/>
      <c r="G19" s="51"/>
      <c r="H19" s="51"/>
      <c r="I19" s="31"/>
      <c r="J19" s="21"/>
      <c r="K19" s="19"/>
      <c r="L19" s="23"/>
    </row>
    <row r="20" spans="1:12" ht="30" customHeight="1" x14ac:dyDescent="0.25">
      <c r="A20" s="24"/>
      <c r="B20" s="44"/>
      <c r="C20" s="50"/>
      <c r="D20" s="50"/>
      <c r="E20" s="50"/>
      <c r="F20" s="50"/>
      <c r="G20" s="50"/>
      <c r="H20" s="50"/>
      <c r="I20" s="46"/>
      <c r="J20" s="9" t="s">
        <v>16</v>
      </c>
      <c r="K20" s="22"/>
    </row>
    <row r="21" spans="1:12" ht="30" customHeight="1" x14ac:dyDescent="0.25">
      <c r="A21" s="24"/>
      <c r="B21" s="25"/>
      <c r="C21" s="51"/>
      <c r="D21" s="51"/>
      <c r="E21" s="51"/>
      <c r="F21" s="51"/>
      <c r="G21" s="51"/>
      <c r="H21" s="51"/>
      <c r="I21" s="30"/>
      <c r="J21" s="9"/>
      <c r="K21" s="2"/>
    </row>
    <row r="22" spans="1:12" ht="30" customHeight="1" x14ac:dyDescent="0.25">
      <c r="A22" s="24"/>
      <c r="B22" s="44"/>
      <c r="C22" s="50"/>
      <c r="D22" s="50"/>
      <c r="E22" s="50"/>
      <c r="F22" s="50"/>
      <c r="G22" s="50"/>
      <c r="H22" s="50"/>
      <c r="I22" s="46"/>
      <c r="J22" s="9"/>
      <c r="K22" s="2"/>
    </row>
    <row r="23" spans="1:12" ht="30" customHeight="1" x14ac:dyDescent="0.25">
      <c r="A23" s="24"/>
      <c r="B23" s="25"/>
      <c r="C23" s="51"/>
      <c r="D23" s="51"/>
      <c r="E23" s="51"/>
      <c r="F23" s="51"/>
      <c r="G23" s="51"/>
      <c r="H23" s="51"/>
      <c r="I23" s="30"/>
      <c r="J23" s="9"/>
      <c r="K23" s="2"/>
    </row>
    <row r="24" spans="1:12" ht="30" customHeight="1" x14ac:dyDescent="0.25">
      <c r="A24" s="24"/>
      <c r="B24" s="44" t="s">
        <v>7</v>
      </c>
      <c r="C24" s="50"/>
      <c r="D24" s="50"/>
      <c r="E24" s="50" t="s">
        <v>7</v>
      </c>
      <c r="F24" s="50"/>
      <c r="G24" s="50"/>
      <c r="H24" s="50"/>
      <c r="I24" s="46" t="s">
        <v>7</v>
      </c>
      <c r="J24" s="9"/>
      <c r="K24" s="2"/>
    </row>
    <row r="25" spans="1:12" ht="30" customHeight="1" x14ac:dyDescent="0.25">
      <c r="A25" s="24"/>
      <c r="B25" s="25" t="s">
        <v>8</v>
      </c>
      <c r="C25" s="51"/>
      <c r="D25" s="51"/>
      <c r="E25" s="51" t="s">
        <v>8</v>
      </c>
      <c r="F25" s="51"/>
      <c r="G25" s="51"/>
      <c r="H25" s="51"/>
      <c r="I25" s="30" t="s">
        <v>8</v>
      </c>
      <c r="J25" s="21"/>
      <c r="K25" s="19"/>
      <c r="L25" s="23"/>
    </row>
    <row r="26" spans="1:12" ht="30" customHeight="1" x14ac:dyDescent="0.25">
      <c r="A26" s="24"/>
      <c r="B26" s="44"/>
      <c r="C26" s="50"/>
      <c r="D26" s="50"/>
      <c r="E26" s="50"/>
      <c r="F26" s="50"/>
      <c r="G26" s="50"/>
      <c r="H26" s="50"/>
      <c r="I26" s="46"/>
      <c r="J26" s="9" t="s">
        <v>17</v>
      </c>
      <c r="K26" s="22"/>
    </row>
    <row r="27" spans="1:12" ht="30" customHeight="1" x14ac:dyDescent="0.25">
      <c r="A27" s="24"/>
      <c r="B27" s="25"/>
      <c r="C27" s="51"/>
      <c r="D27" s="51"/>
      <c r="E27" s="51"/>
      <c r="F27" s="51"/>
      <c r="G27" s="51"/>
      <c r="H27" s="51"/>
      <c r="I27" s="30"/>
      <c r="J27" s="9"/>
      <c r="K27" s="2"/>
    </row>
    <row r="28" spans="1:12" ht="30" customHeight="1" x14ac:dyDescent="0.25">
      <c r="A28" s="24"/>
      <c r="B28" s="44"/>
      <c r="C28" s="50" t="s">
        <v>13</v>
      </c>
      <c r="D28" s="50"/>
      <c r="E28" s="50"/>
      <c r="F28" s="50"/>
      <c r="G28" s="50" t="s">
        <v>13</v>
      </c>
      <c r="H28" s="50"/>
      <c r="I28" s="46"/>
      <c r="J28" s="9"/>
      <c r="K28" s="2"/>
    </row>
    <row r="29" spans="1:12" ht="30" customHeight="1" x14ac:dyDescent="0.25">
      <c r="A29" s="24"/>
      <c r="B29" s="25"/>
      <c r="C29" s="51" t="s">
        <v>14</v>
      </c>
      <c r="D29" s="51"/>
      <c r="E29" s="51"/>
      <c r="F29" s="51"/>
      <c r="G29" s="51" t="s">
        <v>14</v>
      </c>
      <c r="H29" s="51"/>
      <c r="I29" s="30"/>
      <c r="J29" s="9"/>
      <c r="K29" s="2"/>
    </row>
    <row r="30" spans="1:12" ht="30" customHeight="1" x14ac:dyDescent="0.25">
      <c r="A30" s="24"/>
      <c r="B30" s="44"/>
      <c r="C30" s="50"/>
      <c r="D30" s="50"/>
      <c r="E30" s="50"/>
      <c r="F30" s="50"/>
      <c r="G30" s="50"/>
      <c r="H30" s="50"/>
      <c r="I30" s="46"/>
      <c r="J30" s="9"/>
      <c r="K30" s="2"/>
    </row>
    <row r="31" spans="1:12" ht="30" customHeight="1" x14ac:dyDescent="0.25">
      <c r="A31" s="24"/>
      <c r="B31" s="33"/>
      <c r="C31" s="55"/>
      <c r="D31" s="55"/>
      <c r="E31" s="55"/>
      <c r="F31" s="55"/>
      <c r="G31" s="55"/>
      <c r="H31" s="55"/>
      <c r="I31" s="34"/>
      <c r="J31" s="9"/>
      <c r="K31" s="19"/>
    </row>
  </sheetData>
  <mergeCells count="63">
    <mergeCell ref="C31:D31"/>
    <mergeCell ref="E31:F31"/>
    <mergeCell ref="G31:H31"/>
    <mergeCell ref="C29:D29"/>
    <mergeCell ref="E29:F29"/>
    <mergeCell ref="G29:H29"/>
    <mergeCell ref="C30:D30"/>
    <mergeCell ref="E30:F30"/>
    <mergeCell ref="G30:H30"/>
    <mergeCell ref="C27:D27"/>
    <mergeCell ref="E27:F27"/>
    <mergeCell ref="G27:H27"/>
    <mergeCell ref="C28:D28"/>
    <mergeCell ref="E28:F28"/>
    <mergeCell ref="G28:H28"/>
    <mergeCell ref="C25:D25"/>
    <mergeCell ref="E25:F25"/>
    <mergeCell ref="G25:H25"/>
    <mergeCell ref="C26:D26"/>
    <mergeCell ref="E26:F26"/>
    <mergeCell ref="G26:H26"/>
    <mergeCell ref="C23:D23"/>
    <mergeCell ref="E23:F23"/>
    <mergeCell ref="G23:H23"/>
    <mergeCell ref="C24:D24"/>
    <mergeCell ref="E24:F24"/>
    <mergeCell ref="G24:H24"/>
    <mergeCell ref="C21:D21"/>
    <mergeCell ref="E21:F21"/>
    <mergeCell ref="G21:H21"/>
    <mergeCell ref="C22:D22"/>
    <mergeCell ref="E22:F22"/>
    <mergeCell ref="G22:H22"/>
    <mergeCell ref="C19:D19"/>
    <mergeCell ref="E19:F19"/>
    <mergeCell ref="G19:H19"/>
    <mergeCell ref="C20:D20"/>
    <mergeCell ref="E20:F20"/>
    <mergeCell ref="G20:H20"/>
    <mergeCell ref="C17:D17"/>
    <mergeCell ref="E17:F17"/>
    <mergeCell ref="G17:H17"/>
    <mergeCell ref="C18:D18"/>
    <mergeCell ref="E18:F18"/>
    <mergeCell ref="G18:H18"/>
    <mergeCell ref="C15:D15"/>
    <mergeCell ref="E15:F15"/>
    <mergeCell ref="G15:H15"/>
    <mergeCell ref="C16:D16"/>
    <mergeCell ref="E16:F16"/>
    <mergeCell ref="G16:H16"/>
    <mergeCell ref="C13:D13"/>
    <mergeCell ref="E13:F13"/>
    <mergeCell ref="G13:H13"/>
    <mergeCell ref="C14:D14"/>
    <mergeCell ref="E14:F14"/>
    <mergeCell ref="G14:H14"/>
    <mergeCell ref="C11:D11"/>
    <mergeCell ref="E11:F11"/>
    <mergeCell ref="G11:H11"/>
    <mergeCell ref="C12:D12"/>
    <mergeCell ref="E12:F12"/>
    <mergeCell ref="G12:H12"/>
  </mergeCells>
  <conditionalFormatting sqref="B12:I12 B14:I14 B16:I16 B18:I18 B20:I20 B22:I22 B24:I24 B26:I26 B28:I28 B30:I30">
    <cfRule type="expression" dxfId="36" priority="4">
      <formula>B12&lt;&gt;""</formula>
    </cfRule>
  </conditionalFormatting>
  <conditionalFormatting sqref="B12:I31">
    <cfRule type="expression" dxfId="35" priority="1">
      <formula>COLUMN(B12)&gt;2</formula>
    </cfRule>
  </conditionalFormatting>
  <conditionalFormatting sqref="B13:I13 B15:I15 B17:I17 B19:I19 B21:I21 B23:I23 B25:I25 B27:I27 B29:I29 B31:I31">
    <cfRule type="expression" dxfId="34" priority="3">
      <formula>B12&lt;&gt;""</formula>
    </cfRule>
  </conditionalFormatting>
  <conditionalFormatting sqref="B13:I13 B15:I15 B17:I17 B19:I19 B21:I21 B23:I23 B25:I25 B27:I27 B29:I29">
    <cfRule type="expression" dxfId="33" priority="2">
      <formula>COLUMN(B13)&gt;=2</formula>
    </cfRule>
  </conditionalFormatting>
  <conditionalFormatting sqref="C3:H3">
    <cfRule type="expression" dxfId="32" priority="6" stopIfTrue="1">
      <formula>DAY(C3)&gt;8</formula>
    </cfRule>
  </conditionalFormatting>
  <conditionalFormatting sqref="C3:I8">
    <cfRule type="expression" dxfId="31" priority="7">
      <formula>VLOOKUP(DAY(C3),AssignmentDays,1,FALSE)=DAY(C3)</formula>
    </cfRule>
  </conditionalFormatting>
  <conditionalFormatting sqref="C7:I8">
    <cfRule type="expression" dxfId="30" priority="5" stopIfTrue="1">
      <formula>AND(DAY(C7)&gt;=1,DAY(C7)&lt;=15)</formula>
    </cfRule>
  </conditionalFormatting>
  <dataValidations xWindow="132" yWindow="585" count="16">
    <dataValidation allowBlank="1" showInputMessage="1" showErrorMessage="1" prompt="El calendario de agosto resalta automáticamente las entradas de la lista de tareas para el mes. Las fuentes más oscuras indican tareas. Las fuentes más claras indican días que pertenecen al mes anterior o al mes siguiente" sqref="B2" xr:uid="{00000000-0002-0000-0700-000000000000}"/>
    <dataValidation allowBlank="1" showInputMessage="1" showErrorMessage="1" prompt="Se actualiza automáticamente el año natural. Para cambiar el año, actualice la celda B1 en la hoja de cálculo ene" sqref="B1" xr:uid="{00000000-0002-0000-0700-000001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700-000002000000}"/>
    <dataValidation allowBlank="1" showInputMessage="1" showErrorMessage="1" prompt="Las celdas C2 a I2 contienen días de la semana." sqref="C2" xr:uid="{00000000-0002-0000-0700-000003000000}"/>
    <dataValidation allowBlank="1" showInputMessage="1" showErrorMessage="1" prompt="Si esta celda no contiene el número 1, se trata de un día de del mes anterior. Las celdas C3 a I8 contienen fechas para el mes actual" sqref="C3" xr:uid="{00000000-0002-0000-0700-000004000000}"/>
    <dataValidation allowBlank="1" showInputMessage="1" showErrorMessage="1" prompt="Si esta fila contiene un número menor que el número o la fila de números anterior, en ese caso, esta fila contiene fechas para el próximo mes del calendario." sqref="C8" xr:uid="{00000000-0002-0000-0700-000005000000}"/>
    <dataValidation allowBlank="1" showInputMessage="1" showErrorMessage="1" prompt="Escriba la hora en esta fila, de la columna B a la I" sqref="B12" xr:uid="{00000000-0002-0000-0700-000006000000}"/>
    <dataValidation allowBlank="1" showInputMessage="1" showErrorMessage="1" prompt="Escriba la clase en esta fila, de la columna B a la I." sqref="B13" xr:uid="{00000000-0002-0000-07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700-000008000000}"/>
    <dataValidation allowBlank="1" showInputMessage="1" showErrorMessage="1" prompt="Escriba en esta columna los detalles de la tarea correspondientes al día de la semana en la columna J y al día en la columna K del mes calendario de la izquierda." sqref="L1" xr:uid="{00000000-0002-0000-07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700-00000A000000}"/>
    <dataValidation allowBlank="1" showInputMessage="1" showErrorMessage="1" prompt="Los días de la semana se encuentran en esta fila, del lunes al viernes." sqref="B11" xr:uid="{00000000-0002-0000-07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700-00000C000000}"/>
    <dataValidation allowBlank="1" showInputMessage="1" showErrorMessage="1" prompt="El nombre de la clase va en esta fila, empezando en la celda a la derecha" sqref="A13 A15 A17 A19 A21 A23 A25 A27 A29 A31" xr:uid="{651DF7E9-087F-4EA0-BD6D-07883D17269A}"/>
    <dataValidation allowBlank="1" showInputMessage="1" showErrorMessage="1" prompt="El tiempo de clase va en esta fila, empezando en la celda hasta la derecha_x000a_" sqref="A12 A14 A16 A18 A20 A22 A24 A26 A28 A30" xr:uid="{40B2CD08-6B19-4BC4-9B54-A90DFCD754C6}"/>
    <dataValidation allowBlank="1" showInputMessage="1" showErrorMessage="1" prompt="El día de la semana va en esta fila, empezando en la celda B11" sqref="A11" xr:uid="{D5593762-90AE-4619-8D8D-B236E007D244}"/>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theme="4"/>
    <pageSetUpPr fitToPage="1"/>
  </sheetPr>
  <dimension ref="A1:L31"/>
  <sheetViews>
    <sheetView showGridLines="0"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37" t="s">
        <v>35</v>
      </c>
      <c r="C2" s="6" t="s">
        <v>2</v>
      </c>
      <c r="D2" s="6" t="s">
        <v>10</v>
      </c>
      <c r="E2" s="6" t="s">
        <v>15</v>
      </c>
      <c r="F2" s="6" t="s">
        <v>16</v>
      </c>
      <c r="G2" s="6" t="s">
        <v>17</v>
      </c>
      <c r="H2" s="6" t="s">
        <v>18</v>
      </c>
      <c r="I2" s="6" t="s">
        <v>19</v>
      </c>
      <c r="J2" s="9" t="s">
        <v>2</v>
      </c>
      <c r="K2" s="22"/>
    </row>
    <row r="3" spans="1:12" ht="30" customHeight="1" x14ac:dyDescent="0.25">
      <c r="A3" s="12"/>
      <c r="C3" s="40">
        <f>IF(DAY(NovSun1)=1,NovSun1-6,NovSun1+1)</f>
        <v>45229</v>
      </c>
      <c r="D3" s="40">
        <f>IF(DAY(NovSun1)=1,NovSun1-5,NovSun1+2)</f>
        <v>45230</v>
      </c>
      <c r="E3" s="40">
        <f>IF(DAY(NovSun1)=1,NovSun1-4,NovSun1+3)</f>
        <v>45231</v>
      </c>
      <c r="F3" s="40">
        <f>IF(DAY(NovSun1)=1,NovSun1-3,NovSun1+4)</f>
        <v>45232</v>
      </c>
      <c r="G3" s="40">
        <f>IF(DAY(NovSun1)=1,NovSun1-2,NovSun1+5)</f>
        <v>45233</v>
      </c>
      <c r="H3" s="40">
        <f>IF(DAY(NovSun1)=1,NovSun1-1,NovSun1+6)</f>
        <v>45234</v>
      </c>
      <c r="I3" s="40">
        <f>IF(DAY(NovSun1)=1,NovSun1,NovSun1+7)</f>
        <v>45235</v>
      </c>
      <c r="J3" s="9"/>
      <c r="K3" s="2"/>
    </row>
    <row r="4" spans="1:12" ht="30" customHeight="1" x14ac:dyDescent="0.25">
      <c r="A4" s="12"/>
      <c r="C4" s="40">
        <f>IF(DAY(NovSun1)=1,NovSun1+1,NovSun1+8)</f>
        <v>45236</v>
      </c>
      <c r="D4" s="40">
        <f>IF(DAY(NovSun1)=1,NovSun1+2,NovSun1+9)</f>
        <v>45237</v>
      </c>
      <c r="E4" s="40">
        <f>IF(DAY(NovSun1)=1,NovSun1+3,NovSun1+10)</f>
        <v>45238</v>
      </c>
      <c r="F4" s="40">
        <f>IF(DAY(NovSun1)=1,NovSun1+4,NovSun1+11)</f>
        <v>45239</v>
      </c>
      <c r="G4" s="40">
        <f>IF(DAY(NovSun1)=1,NovSun1+5,NovSun1+12)</f>
        <v>45240</v>
      </c>
      <c r="H4" s="40">
        <f>IF(DAY(NovSun1)=1,NovSun1+6,NovSun1+13)</f>
        <v>45241</v>
      </c>
      <c r="I4" s="40">
        <f>IF(DAY(NovSun1)=1,NovSun1+7,NovSun1+14)</f>
        <v>45242</v>
      </c>
      <c r="J4" s="9"/>
      <c r="K4" s="2"/>
    </row>
    <row r="5" spans="1:12" ht="30" customHeight="1" x14ac:dyDescent="0.25">
      <c r="A5" s="12"/>
      <c r="C5" s="40">
        <f>IF(DAY(NovSun1)=1,NovSun1+8,NovSun1+15)</f>
        <v>45243</v>
      </c>
      <c r="D5" s="40">
        <f>IF(DAY(NovSun1)=1,NovSun1+9,NovSun1+16)</f>
        <v>45244</v>
      </c>
      <c r="E5" s="40">
        <f>IF(DAY(NovSun1)=1,NovSun1+10,NovSun1+17)</f>
        <v>45245</v>
      </c>
      <c r="F5" s="40">
        <f>IF(DAY(NovSun1)=1,NovSun1+11,NovSun1+18)</f>
        <v>45246</v>
      </c>
      <c r="G5" s="40">
        <f>IF(DAY(NovSun1)=1,NovSun1+12,NovSun1+19)</f>
        <v>45247</v>
      </c>
      <c r="H5" s="40">
        <f>IF(DAY(NovSun1)=1,NovSun1+13,NovSun1+20)</f>
        <v>45248</v>
      </c>
      <c r="I5" s="40">
        <f>IF(DAY(NovSun1)=1,NovSun1+14,NovSun1+21)</f>
        <v>45249</v>
      </c>
      <c r="J5" s="9"/>
      <c r="K5" s="2"/>
    </row>
    <row r="6" spans="1:12" ht="30" customHeight="1" x14ac:dyDescent="0.25">
      <c r="A6" s="12"/>
      <c r="C6" s="40">
        <f>IF(DAY(NovSun1)=1,NovSun1+15,NovSun1+22)</f>
        <v>45250</v>
      </c>
      <c r="D6" s="40">
        <f>IF(DAY(NovSun1)=1,NovSun1+16,NovSun1+23)</f>
        <v>45251</v>
      </c>
      <c r="E6" s="40">
        <f>IF(DAY(NovSun1)=1,NovSun1+17,NovSun1+24)</f>
        <v>45252</v>
      </c>
      <c r="F6" s="40">
        <f>IF(DAY(NovSun1)=1,NovSun1+18,NovSun1+25)</f>
        <v>45253</v>
      </c>
      <c r="G6" s="40">
        <f>IF(DAY(NovSun1)=1,NovSun1+19,NovSun1+26)</f>
        <v>45254</v>
      </c>
      <c r="H6" s="40">
        <f>IF(DAY(NovSun1)=1,NovSun1+20,NovSun1+27)</f>
        <v>45255</v>
      </c>
      <c r="I6" s="40">
        <f>IF(DAY(NovSun1)=1,NovSun1+21,NovSun1+28)</f>
        <v>45256</v>
      </c>
      <c r="J6" s="9"/>
      <c r="K6" s="2"/>
    </row>
    <row r="7" spans="1:12" ht="30" customHeight="1" x14ac:dyDescent="0.25">
      <c r="A7" s="12"/>
      <c r="C7" s="40">
        <f>IF(DAY(NovSun1)=1,NovSun1+22,NovSun1+29)</f>
        <v>45257</v>
      </c>
      <c r="D7" s="40">
        <f>IF(DAY(NovSun1)=1,NovSun1+23,NovSun1+30)</f>
        <v>45258</v>
      </c>
      <c r="E7" s="40">
        <f>IF(DAY(NovSun1)=1,NovSun1+24,NovSun1+31)</f>
        <v>45259</v>
      </c>
      <c r="F7" s="40">
        <f>IF(DAY(NovSun1)=1,NovSun1+25,NovSun1+32)</f>
        <v>45260</v>
      </c>
      <c r="G7" s="40">
        <f>IF(DAY(NovSun1)=1,NovSun1+26,NovSun1+33)</f>
        <v>45261</v>
      </c>
      <c r="H7" s="40">
        <f>IF(DAY(NovSun1)=1,NovSun1+27,NovSun1+34)</f>
        <v>45262</v>
      </c>
      <c r="I7" s="40">
        <f>IF(DAY(NovSun1)=1,NovSun1+28,NovSun1+35)</f>
        <v>45263</v>
      </c>
      <c r="J7" s="1"/>
      <c r="K7" s="19"/>
    </row>
    <row r="8" spans="1:12" ht="30" customHeight="1" x14ac:dyDescent="0.25">
      <c r="A8" s="12"/>
      <c r="B8" s="17"/>
      <c r="C8" s="40">
        <f>IF(DAY(NovSun1)=1,NovSun1+29,NovSun1+36)</f>
        <v>45264</v>
      </c>
      <c r="D8" s="40">
        <f>IF(DAY(NovSun1)=1,NovSun1+30,NovSun1+37)</f>
        <v>45265</v>
      </c>
      <c r="E8" s="40">
        <f>IF(DAY(NovSun1)=1,NovSun1+31,NovSun1+38)</f>
        <v>45266</v>
      </c>
      <c r="F8" s="40">
        <f>IF(DAY(NovSun1)=1,NovSun1+32,NovSun1+39)</f>
        <v>45267</v>
      </c>
      <c r="G8" s="40">
        <f>IF(DAY(NovSun1)=1,NovSun1+33,NovSun1+40)</f>
        <v>45268</v>
      </c>
      <c r="H8" s="40">
        <f>IF(DAY(NovSun1)=1,NovSun1+34,NovSun1+41)</f>
        <v>45269</v>
      </c>
      <c r="I8" s="40">
        <f>IF(DAY(NovSun1)=1,NovSun1+35,NovSun1+42)</f>
        <v>45270</v>
      </c>
      <c r="J8" s="9" t="s">
        <v>10</v>
      </c>
      <c r="K8" s="22"/>
    </row>
    <row r="9" spans="1:12" ht="30" customHeight="1" x14ac:dyDescent="0.25">
      <c r="A9" s="12"/>
      <c r="C9" s="4"/>
      <c r="D9" s="4"/>
      <c r="E9" s="4"/>
      <c r="F9" s="4"/>
      <c r="G9" s="4"/>
      <c r="H9" s="4"/>
      <c r="I9" s="4"/>
      <c r="J9" s="9"/>
      <c r="K9" s="2"/>
    </row>
    <row r="10" spans="1:12" ht="30" customHeight="1" x14ac:dyDescent="0.25">
      <c r="A10" s="12"/>
      <c r="B10" s="16" t="s">
        <v>1</v>
      </c>
      <c r="C10" s="8"/>
      <c r="D10" s="8"/>
      <c r="E10" s="8"/>
      <c r="F10" s="8"/>
      <c r="G10" s="8"/>
      <c r="H10" s="8"/>
      <c r="I10" s="8"/>
      <c r="J10" s="9"/>
      <c r="K10" s="2"/>
    </row>
    <row r="11" spans="1:12" ht="30" customHeight="1" x14ac:dyDescent="0.25">
      <c r="A11" s="24"/>
      <c r="B11" s="13" t="s">
        <v>2</v>
      </c>
      <c r="C11" s="48" t="s">
        <v>10</v>
      </c>
      <c r="D11" s="49"/>
      <c r="E11" s="48" t="s">
        <v>15</v>
      </c>
      <c r="F11" s="49"/>
      <c r="G11" s="48" t="s">
        <v>16</v>
      </c>
      <c r="H11" s="49"/>
      <c r="I11" s="3" t="s">
        <v>17</v>
      </c>
      <c r="J11" s="9"/>
      <c r="K11" s="2"/>
    </row>
    <row r="12" spans="1:12" ht="30" customHeight="1" x14ac:dyDescent="0.25">
      <c r="A12" s="24"/>
      <c r="B12" s="44" t="s">
        <v>3</v>
      </c>
      <c r="C12" s="50"/>
      <c r="D12" s="50"/>
      <c r="E12" s="50" t="s">
        <v>3</v>
      </c>
      <c r="F12" s="50"/>
      <c r="G12" s="50"/>
      <c r="H12" s="50"/>
      <c r="I12" s="46" t="s">
        <v>3</v>
      </c>
      <c r="J12" s="9"/>
      <c r="K12" s="2"/>
    </row>
    <row r="13" spans="1:12" ht="30" customHeight="1" x14ac:dyDescent="0.25">
      <c r="A13" s="24"/>
      <c r="B13" s="25" t="s">
        <v>4</v>
      </c>
      <c r="C13" s="51"/>
      <c r="D13" s="51"/>
      <c r="E13" s="51" t="s">
        <v>4</v>
      </c>
      <c r="F13" s="51"/>
      <c r="G13" s="51"/>
      <c r="H13" s="51"/>
      <c r="I13" s="30" t="s">
        <v>4</v>
      </c>
      <c r="J13" s="1"/>
      <c r="K13" s="19"/>
      <c r="L13" s="18"/>
    </row>
    <row r="14" spans="1:12" ht="30" customHeight="1" x14ac:dyDescent="0.25">
      <c r="A14" s="24"/>
      <c r="B14" s="44"/>
      <c r="C14" s="50" t="s">
        <v>11</v>
      </c>
      <c r="D14" s="50"/>
      <c r="E14" s="50"/>
      <c r="F14" s="50"/>
      <c r="G14" s="50" t="s">
        <v>11</v>
      </c>
      <c r="H14" s="50"/>
      <c r="I14" s="46"/>
      <c r="J14" s="9" t="s">
        <v>15</v>
      </c>
      <c r="K14" s="22"/>
    </row>
    <row r="15" spans="1:12" ht="30" customHeight="1" x14ac:dyDescent="0.25">
      <c r="A15" s="24"/>
      <c r="B15" s="25"/>
      <c r="C15" s="51" t="s">
        <v>12</v>
      </c>
      <c r="D15" s="51"/>
      <c r="E15" s="51"/>
      <c r="F15" s="51"/>
      <c r="G15" s="51" t="s">
        <v>12</v>
      </c>
      <c r="H15" s="51"/>
      <c r="I15" s="30"/>
      <c r="J15" s="9"/>
      <c r="K15" s="2"/>
    </row>
    <row r="16" spans="1:12" ht="30" customHeight="1" x14ac:dyDescent="0.25">
      <c r="A16" s="24"/>
      <c r="B16" s="44" t="s">
        <v>5</v>
      </c>
      <c r="C16" s="50"/>
      <c r="D16" s="50"/>
      <c r="E16" s="50" t="s">
        <v>5</v>
      </c>
      <c r="F16" s="50"/>
      <c r="G16" s="50"/>
      <c r="H16" s="50"/>
      <c r="I16" s="47" t="s">
        <v>5</v>
      </c>
      <c r="J16" s="9"/>
      <c r="K16" s="2"/>
    </row>
    <row r="17" spans="1:12" ht="30" customHeight="1" x14ac:dyDescent="0.25">
      <c r="A17" s="24"/>
      <c r="B17" s="25" t="s">
        <v>6</v>
      </c>
      <c r="C17" s="51"/>
      <c r="D17" s="51"/>
      <c r="E17" s="51" t="s">
        <v>6</v>
      </c>
      <c r="F17" s="51"/>
      <c r="G17" s="51"/>
      <c r="H17" s="51"/>
      <c r="I17" s="30" t="s">
        <v>6</v>
      </c>
      <c r="J17" s="9"/>
      <c r="K17" s="2"/>
    </row>
    <row r="18" spans="1:12" ht="30" customHeight="1" x14ac:dyDescent="0.25">
      <c r="A18" s="24"/>
      <c r="B18" s="44"/>
      <c r="C18" s="50"/>
      <c r="D18" s="50"/>
      <c r="E18" s="50"/>
      <c r="F18" s="50"/>
      <c r="G18" s="50"/>
      <c r="H18" s="50"/>
      <c r="I18" s="46"/>
      <c r="J18" s="9"/>
      <c r="K18" s="2"/>
    </row>
    <row r="19" spans="1:12" ht="30" customHeight="1" x14ac:dyDescent="0.25">
      <c r="A19" s="24"/>
      <c r="B19" s="25"/>
      <c r="C19" s="51"/>
      <c r="D19" s="51"/>
      <c r="E19" s="51"/>
      <c r="F19" s="51"/>
      <c r="G19" s="51"/>
      <c r="H19" s="51"/>
      <c r="I19" s="31"/>
      <c r="J19" s="1"/>
      <c r="K19" s="19"/>
      <c r="L19" s="23"/>
    </row>
    <row r="20" spans="1:12" ht="30" customHeight="1" x14ac:dyDescent="0.25">
      <c r="A20" s="24"/>
      <c r="B20" s="44"/>
      <c r="C20" s="50"/>
      <c r="D20" s="50"/>
      <c r="E20" s="50"/>
      <c r="F20" s="50"/>
      <c r="G20" s="50"/>
      <c r="H20" s="50"/>
      <c r="I20" s="46"/>
      <c r="J20" s="9" t="s">
        <v>16</v>
      </c>
      <c r="K20" s="22"/>
    </row>
    <row r="21" spans="1:12" ht="30" customHeight="1" x14ac:dyDescent="0.25">
      <c r="A21" s="24"/>
      <c r="B21" s="25"/>
      <c r="C21" s="51"/>
      <c r="D21" s="51"/>
      <c r="E21" s="51"/>
      <c r="F21" s="51"/>
      <c r="G21" s="51"/>
      <c r="H21" s="51"/>
      <c r="I21" s="30"/>
      <c r="J21" s="9"/>
      <c r="K21" s="2"/>
    </row>
    <row r="22" spans="1:12" ht="30" customHeight="1" x14ac:dyDescent="0.25">
      <c r="A22" s="24"/>
      <c r="B22" s="44"/>
      <c r="C22" s="50"/>
      <c r="D22" s="50"/>
      <c r="E22" s="50"/>
      <c r="F22" s="50"/>
      <c r="G22" s="50"/>
      <c r="H22" s="50"/>
      <c r="I22" s="46"/>
      <c r="J22" s="9"/>
      <c r="K22" s="2"/>
    </row>
    <row r="23" spans="1:12" ht="30" customHeight="1" x14ac:dyDescent="0.25">
      <c r="A23" s="24"/>
      <c r="B23" s="25"/>
      <c r="C23" s="51"/>
      <c r="D23" s="51"/>
      <c r="E23" s="51"/>
      <c r="F23" s="51"/>
      <c r="G23" s="51"/>
      <c r="H23" s="51"/>
      <c r="I23" s="30"/>
      <c r="J23" s="9"/>
      <c r="K23" s="2"/>
    </row>
    <row r="24" spans="1:12" ht="30" customHeight="1" x14ac:dyDescent="0.25">
      <c r="A24" s="24"/>
      <c r="B24" s="44" t="s">
        <v>7</v>
      </c>
      <c r="C24" s="50"/>
      <c r="D24" s="50"/>
      <c r="E24" s="50" t="s">
        <v>7</v>
      </c>
      <c r="F24" s="50"/>
      <c r="G24" s="50"/>
      <c r="H24" s="50"/>
      <c r="I24" s="46" t="s">
        <v>7</v>
      </c>
      <c r="J24" s="9"/>
      <c r="K24" s="2"/>
    </row>
    <row r="25" spans="1:12" ht="30" customHeight="1" x14ac:dyDescent="0.25">
      <c r="A25" s="24"/>
      <c r="B25" s="25" t="s">
        <v>8</v>
      </c>
      <c r="C25" s="51"/>
      <c r="D25" s="51"/>
      <c r="E25" s="51" t="s">
        <v>8</v>
      </c>
      <c r="F25" s="51"/>
      <c r="G25" s="51"/>
      <c r="H25" s="51"/>
      <c r="I25" s="30" t="s">
        <v>8</v>
      </c>
      <c r="J25" s="1"/>
      <c r="K25" s="19"/>
      <c r="L25" s="23"/>
    </row>
    <row r="26" spans="1:12" ht="30" customHeight="1" x14ac:dyDescent="0.25">
      <c r="A26" s="24"/>
      <c r="B26" s="44"/>
      <c r="C26" s="50"/>
      <c r="D26" s="50"/>
      <c r="E26" s="50"/>
      <c r="F26" s="50"/>
      <c r="G26" s="50"/>
      <c r="H26" s="50"/>
      <c r="I26" s="46"/>
      <c r="J26" s="9" t="s">
        <v>17</v>
      </c>
      <c r="K26" s="22"/>
    </row>
    <row r="27" spans="1:12" ht="30" customHeight="1" x14ac:dyDescent="0.25">
      <c r="A27" s="24"/>
      <c r="B27" s="25"/>
      <c r="C27" s="51"/>
      <c r="D27" s="51"/>
      <c r="E27" s="51"/>
      <c r="F27" s="51"/>
      <c r="G27" s="51"/>
      <c r="H27" s="51"/>
      <c r="I27" s="30"/>
      <c r="J27" s="9"/>
      <c r="K27" s="2"/>
    </row>
    <row r="28" spans="1:12" ht="30" customHeight="1" x14ac:dyDescent="0.25">
      <c r="A28" s="24"/>
      <c r="B28" s="44"/>
      <c r="C28" s="50" t="s">
        <v>13</v>
      </c>
      <c r="D28" s="50"/>
      <c r="E28" s="50"/>
      <c r="F28" s="50"/>
      <c r="G28" s="50" t="s">
        <v>13</v>
      </c>
      <c r="H28" s="50"/>
      <c r="I28" s="46"/>
      <c r="J28" s="9"/>
      <c r="K28" s="2"/>
    </row>
    <row r="29" spans="1:12" ht="30" customHeight="1" x14ac:dyDescent="0.25">
      <c r="A29" s="24"/>
      <c r="B29" s="25"/>
      <c r="C29" s="51" t="s">
        <v>14</v>
      </c>
      <c r="D29" s="51"/>
      <c r="E29" s="51"/>
      <c r="F29" s="51"/>
      <c r="G29" s="51" t="s">
        <v>14</v>
      </c>
      <c r="H29" s="51"/>
      <c r="I29" s="30"/>
      <c r="J29" s="9"/>
      <c r="K29" s="2"/>
    </row>
    <row r="30" spans="1:12" ht="30" customHeight="1" x14ac:dyDescent="0.25">
      <c r="A30" s="24"/>
      <c r="B30" s="44"/>
      <c r="C30" s="50"/>
      <c r="D30" s="50"/>
      <c r="E30" s="50"/>
      <c r="F30" s="50"/>
      <c r="G30" s="50"/>
      <c r="H30" s="50"/>
      <c r="I30" s="46"/>
      <c r="J30" s="9"/>
      <c r="K30" s="2"/>
    </row>
    <row r="31" spans="1:12" ht="30" customHeight="1" x14ac:dyDescent="0.25">
      <c r="A31" s="24"/>
      <c r="B31" s="33"/>
      <c r="C31" s="55"/>
      <c r="D31" s="55"/>
      <c r="E31" s="55"/>
      <c r="F31" s="55"/>
      <c r="G31" s="55"/>
      <c r="H31" s="55"/>
      <c r="I31" s="34"/>
      <c r="J31" s="9"/>
      <c r="K31" s="19"/>
    </row>
  </sheetData>
  <mergeCells count="63">
    <mergeCell ref="C31:D31"/>
    <mergeCell ref="E31:F31"/>
    <mergeCell ref="G31:H31"/>
    <mergeCell ref="C29:D29"/>
    <mergeCell ref="E29:F29"/>
    <mergeCell ref="G29:H29"/>
    <mergeCell ref="C30:D30"/>
    <mergeCell ref="E30:F30"/>
    <mergeCell ref="G30:H30"/>
    <mergeCell ref="C27:D27"/>
    <mergeCell ref="E27:F27"/>
    <mergeCell ref="G27:H27"/>
    <mergeCell ref="C28:D28"/>
    <mergeCell ref="E28:F28"/>
    <mergeCell ref="G28:H28"/>
    <mergeCell ref="C25:D25"/>
    <mergeCell ref="E25:F25"/>
    <mergeCell ref="G25:H25"/>
    <mergeCell ref="C26:D26"/>
    <mergeCell ref="E26:F26"/>
    <mergeCell ref="G26:H26"/>
    <mergeCell ref="C23:D23"/>
    <mergeCell ref="E23:F23"/>
    <mergeCell ref="G23:H23"/>
    <mergeCell ref="C24:D24"/>
    <mergeCell ref="E24:F24"/>
    <mergeCell ref="G24:H24"/>
    <mergeCell ref="C21:D21"/>
    <mergeCell ref="E21:F21"/>
    <mergeCell ref="G21:H21"/>
    <mergeCell ref="C22:D22"/>
    <mergeCell ref="E22:F22"/>
    <mergeCell ref="G22:H22"/>
    <mergeCell ref="C19:D19"/>
    <mergeCell ref="E19:F19"/>
    <mergeCell ref="G19:H19"/>
    <mergeCell ref="C20:D20"/>
    <mergeCell ref="E20:F20"/>
    <mergeCell ref="G20:H20"/>
    <mergeCell ref="C17:D17"/>
    <mergeCell ref="E17:F17"/>
    <mergeCell ref="G17:H17"/>
    <mergeCell ref="C18:D18"/>
    <mergeCell ref="E18:F18"/>
    <mergeCell ref="G18:H18"/>
    <mergeCell ref="C15:D15"/>
    <mergeCell ref="E15:F15"/>
    <mergeCell ref="G15:H15"/>
    <mergeCell ref="C16:D16"/>
    <mergeCell ref="E16:F16"/>
    <mergeCell ref="G16:H16"/>
    <mergeCell ref="C13:D13"/>
    <mergeCell ref="E13:F13"/>
    <mergeCell ref="G13:H13"/>
    <mergeCell ref="C14:D14"/>
    <mergeCell ref="E14:F14"/>
    <mergeCell ref="G14:H14"/>
    <mergeCell ref="C11:D11"/>
    <mergeCell ref="E11:F11"/>
    <mergeCell ref="G11:H11"/>
    <mergeCell ref="C12:D12"/>
    <mergeCell ref="E12:F12"/>
    <mergeCell ref="G12:H12"/>
  </mergeCells>
  <conditionalFormatting sqref="B12:I12 B14:I14 B16:I16 B18:I18 B20:I20 B22:I22 B24:I24 B26:I26 B28:I28 B30:I30">
    <cfRule type="expression" dxfId="13" priority="3">
      <formula>B12&lt;&gt;""</formula>
    </cfRule>
  </conditionalFormatting>
  <conditionalFormatting sqref="B12:I31">
    <cfRule type="expression" dxfId="12" priority="1">
      <formula>COLUMN(B12)&gt;2</formula>
    </cfRule>
  </conditionalFormatting>
  <conditionalFormatting sqref="B13:I13 B15:I15 B17:I17 B19:I19 B21:I21 B23:I23 B25:I25 B27:I27 B29:I29 B31:I31">
    <cfRule type="expression" dxfId="11" priority="4">
      <formula>B13&lt;&gt;""</formula>
    </cfRule>
  </conditionalFormatting>
  <conditionalFormatting sqref="B13:I13 B15:I15 B17:I17 B19:I19 B21:I21 B23:I23 B25:I25 B27:I27 B29:I29">
    <cfRule type="expression" dxfId="10" priority="2">
      <formula>COLUMN(B13)&gt;=2</formula>
    </cfRule>
  </conditionalFormatting>
  <conditionalFormatting sqref="C3:H3">
    <cfRule type="expression" dxfId="9" priority="6" stopIfTrue="1">
      <formula>DAY(C3)&gt;8</formula>
    </cfRule>
  </conditionalFormatting>
  <conditionalFormatting sqref="C3:I8">
    <cfRule type="expression" dxfId="8" priority="7">
      <formula>VLOOKUP(DAY(C3),AssignmentDays,1,FALSE)=DAY(C3)</formula>
    </cfRule>
  </conditionalFormatting>
  <conditionalFormatting sqref="C7:I8">
    <cfRule type="expression" dxfId="7" priority="5" stopIfTrue="1">
      <formula>AND(DAY(C7)&gt;=1,DAY(C7)&lt;=15)</formula>
    </cfRule>
  </conditionalFormatting>
  <dataValidations xWindow="136" yWindow="382" count="16">
    <dataValidation allowBlank="1" showInputMessage="1" showErrorMessage="1" prompt="Escriba la clase en esta fila, de la columna B a la I." sqref="B13" xr:uid="{00000000-0002-0000-0A00-000000000000}"/>
    <dataValidation allowBlank="1" showInputMessage="1" showErrorMessage="1" prompt="Escriba la hora en esta fila, de la columna B a la I" sqref="B12" xr:uid="{00000000-0002-0000-0A00-000001000000}"/>
    <dataValidation allowBlank="1" showInputMessage="1" showErrorMessage="1" prompt="Si esta fila contiene un número menor que el número o la fila de números anterior, en ese caso, esta fila contiene fechas para el próximo mes del calendario." sqref="C8" xr:uid="{00000000-0002-0000-0A00-000002000000}"/>
    <dataValidation allowBlank="1" showInputMessage="1" showErrorMessage="1" prompt="Si esta celda no contiene el número 1, se trata de un día de del mes anterior. Las celdas C3 a I8 contienen fechas para el mes actual" sqref="C3" xr:uid="{00000000-0002-0000-0A00-000003000000}"/>
    <dataValidation allowBlank="1" showInputMessage="1" showErrorMessage="1" prompt="Las celdas C2 a I2 contienen días de la semana." sqref="C2" xr:uid="{00000000-0002-0000-0A00-000004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A00-000005000000}"/>
    <dataValidation allowBlank="1" showInputMessage="1" showErrorMessage="1" prompt="Se actualiza automáticamente el año natural. Para cambiar el año, actualice la celda B1 en la hoja de cálculo ene" sqref="B1" xr:uid="{00000000-0002-0000-0A00-000006000000}"/>
    <dataValidation allowBlank="1" showInputMessage="1" showErrorMessage="1" prompt="El calendario de noviembre resalta automáticamente las entradas de la lista de tareas para el mes. Las fuentes más oscuras indican tareas. Las fuentes más claras indican días que pertenecen al mes anterior o al mes siguiente" sqref="B2" xr:uid="{00000000-0002-0000-0A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A00-000008000000}"/>
    <dataValidation allowBlank="1" showInputMessage="1" showErrorMessage="1" prompt="Escriba en esta columna los detalles de la tarea correspondientes al día de la semana en la columna J y al día en la columna K del mes calendario de la izquierda." sqref="L1" xr:uid="{00000000-0002-0000-0A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A00-00000A000000}"/>
    <dataValidation allowBlank="1" showInputMessage="1" showErrorMessage="1" prompt="Los días de la semana se encuentran en esta fila, del lunes al viernes." sqref="B11" xr:uid="{00000000-0002-0000-0A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A00-00000C000000}"/>
    <dataValidation allowBlank="1" showInputMessage="1" showErrorMessage="1" prompt="El nombre de la clase va en esta fila, empezando en la celda a la derecha" sqref="A13 A15 A17 A19 A21 A23 A25 A27 A29 A31" xr:uid="{A4EADA76-19FD-46F7-AF54-199FB313697F}"/>
    <dataValidation allowBlank="1" showInputMessage="1" showErrorMessage="1" prompt="El tiempo de clase va en esta fila, empezando en la celda hasta la derecha_x000a_" sqref="A12 A14 A16 A18 A20 A22 A24 A26 A28 A30" xr:uid="{15463A7A-D122-456B-9195-71523A803B5F}"/>
    <dataValidation allowBlank="1" showInputMessage="1" showErrorMessage="1" prompt="El día de la semana va en esta fila, empezando en la celda B11" sqref="A11" xr:uid="{FF617D2C-95EA-46B1-9A76-A36F0A9FAF15}"/>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4"/>
    <pageSetUpPr fitToPage="1"/>
  </sheetPr>
  <dimension ref="A1:L31"/>
  <sheetViews>
    <sheetView showGridLines="0"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37" t="s">
        <v>36</v>
      </c>
      <c r="C2" s="6" t="s">
        <v>2</v>
      </c>
      <c r="D2" s="6" t="s">
        <v>10</v>
      </c>
      <c r="E2" s="6" t="s">
        <v>15</v>
      </c>
      <c r="F2" s="6" t="s">
        <v>16</v>
      </c>
      <c r="G2" s="6" t="s">
        <v>17</v>
      </c>
      <c r="H2" s="6" t="s">
        <v>18</v>
      </c>
      <c r="I2" s="6" t="s">
        <v>19</v>
      </c>
      <c r="J2" s="9" t="s">
        <v>2</v>
      </c>
      <c r="K2" s="2"/>
    </row>
    <row r="3" spans="1:12" ht="30" customHeight="1" x14ac:dyDescent="0.25">
      <c r="A3" s="12"/>
      <c r="C3" s="40">
        <f>IF(DAY(DecSun1)=1,DecSun1-6,DecSun1+1)</f>
        <v>45257</v>
      </c>
      <c r="D3" s="40">
        <f>IF(DAY(DecSun1)=1,DecSun1-5,DecSun1+2)</f>
        <v>45258</v>
      </c>
      <c r="E3" s="40">
        <f>IF(DAY(DecSun1)=1,DecSun1-4,DecSun1+3)</f>
        <v>45259</v>
      </c>
      <c r="F3" s="40">
        <f>IF(DAY(DecSun1)=1,DecSun1-3,DecSun1+4)</f>
        <v>45260</v>
      </c>
      <c r="G3" s="40">
        <f>IF(DAY(DecSun1)=1,DecSun1-2,DecSun1+5)</f>
        <v>45261</v>
      </c>
      <c r="H3" s="40">
        <f>IF(DAY(DecSun1)=1,DecSun1-1,DecSun1+6)</f>
        <v>45262</v>
      </c>
      <c r="I3" s="40">
        <f>IF(DAY(DecSun1)=1,DecSun1,DecSun1+7)</f>
        <v>45263</v>
      </c>
      <c r="J3" s="9"/>
      <c r="K3" s="2"/>
    </row>
    <row r="4" spans="1:12" ht="30" customHeight="1" x14ac:dyDescent="0.25">
      <c r="A4" s="12"/>
      <c r="C4" s="40">
        <f>IF(DAY(DecSun1)=1,DecSun1+1,DecSun1+8)</f>
        <v>45264</v>
      </c>
      <c r="D4" s="40">
        <f>IF(DAY(DecSun1)=1,DecSun1+2,DecSun1+9)</f>
        <v>45265</v>
      </c>
      <c r="E4" s="40">
        <f>IF(DAY(DecSun1)=1,DecSun1+3,DecSun1+10)</f>
        <v>45266</v>
      </c>
      <c r="F4" s="40">
        <f>IF(DAY(DecSun1)=1,DecSun1+4,DecSun1+11)</f>
        <v>45267</v>
      </c>
      <c r="G4" s="40">
        <f>IF(DAY(DecSun1)=1,DecSun1+5,DecSun1+12)</f>
        <v>45268</v>
      </c>
      <c r="H4" s="40">
        <f>IF(DAY(DecSun1)=1,DecSun1+6,DecSun1+13)</f>
        <v>45269</v>
      </c>
      <c r="I4" s="40">
        <f>IF(DAY(DecSun1)=1,DecSun1+7,DecSun1+14)</f>
        <v>45270</v>
      </c>
      <c r="J4" s="9"/>
      <c r="K4" s="2"/>
    </row>
    <row r="5" spans="1:12" ht="30" customHeight="1" x14ac:dyDescent="0.25">
      <c r="A5" s="12"/>
      <c r="C5" s="40">
        <f>IF(DAY(DecSun1)=1,DecSun1+8,DecSun1+15)</f>
        <v>45271</v>
      </c>
      <c r="D5" s="40">
        <f>IF(DAY(DecSun1)=1,DecSun1+9,DecSun1+16)</f>
        <v>45272</v>
      </c>
      <c r="E5" s="40">
        <f>IF(DAY(DecSun1)=1,DecSun1+10,DecSun1+17)</f>
        <v>45273</v>
      </c>
      <c r="F5" s="40">
        <f>IF(DAY(DecSun1)=1,DecSun1+11,DecSun1+18)</f>
        <v>45274</v>
      </c>
      <c r="G5" s="40">
        <f>IF(DAY(DecSun1)=1,DecSun1+12,DecSun1+19)</f>
        <v>45275</v>
      </c>
      <c r="H5" s="40">
        <f>IF(DAY(DecSun1)=1,DecSun1+13,DecSun1+20)</f>
        <v>45276</v>
      </c>
      <c r="I5" s="40">
        <f>IF(DAY(DecSun1)=1,DecSun1+14,DecSun1+21)</f>
        <v>45277</v>
      </c>
      <c r="J5" s="9"/>
      <c r="K5" s="2"/>
    </row>
    <row r="6" spans="1:12" ht="30" customHeight="1" x14ac:dyDescent="0.25">
      <c r="A6" s="12"/>
      <c r="C6" s="40">
        <f>IF(DAY(DecSun1)=1,DecSun1+15,DecSun1+22)</f>
        <v>45278</v>
      </c>
      <c r="D6" s="40">
        <f>IF(DAY(DecSun1)=1,DecSun1+16,DecSun1+23)</f>
        <v>45279</v>
      </c>
      <c r="E6" s="40">
        <f>IF(DAY(DecSun1)=1,DecSun1+17,DecSun1+24)</f>
        <v>45280</v>
      </c>
      <c r="F6" s="40">
        <f>IF(DAY(DecSun1)=1,DecSun1+18,DecSun1+25)</f>
        <v>45281</v>
      </c>
      <c r="G6" s="40">
        <f>IF(DAY(DecSun1)=1,DecSun1+19,DecSun1+26)</f>
        <v>45282</v>
      </c>
      <c r="H6" s="40">
        <f>IF(DAY(DecSun1)=1,DecSun1+20,DecSun1+27)</f>
        <v>45283</v>
      </c>
      <c r="I6" s="40">
        <f>IF(DAY(DecSun1)=1,DecSun1+21,DecSun1+28)</f>
        <v>45284</v>
      </c>
      <c r="J6" s="9"/>
      <c r="K6" s="2"/>
    </row>
    <row r="7" spans="1:12" ht="30" customHeight="1" x14ac:dyDescent="0.25">
      <c r="A7" s="12"/>
      <c r="C7" s="40">
        <f>IF(DAY(DecSun1)=1,DecSun1+22,DecSun1+29)</f>
        <v>45285</v>
      </c>
      <c r="D7" s="40">
        <f>IF(DAY(DecSun1)=1,DecSun1+23,DecSun1+30)</f>
        <v>45286</v>
      </c>
      <c r="E7" s="40">
        <f>IF(DAY(DecSun1)=1,DecSun1+24,DecSun1+31)</f>
        <v>45287</v>
      </c>
      <c r="F7" s="40">
        <f>IF(DAY(DecSun1)=1,DecSun1+25,DecSun1+32)</f>
        <v>45288</v>
      </c>
      <c r="G7" s="40">
        <f>IF(DAY(DecSun1)=1,DecSun1+26,DecSun1+33)</f>
        <v>45289</v>
      </c>
      <c r="H7" s="40">
        <f>IF(DAY(DecSun1)=1,DecSun1+27,DecSun1+34)</f>
        <v>45290</v>
      </c>
      <c r="I7" s="40">
        <f>IF(DAY(DecSun1)=1,DecSun1+28,DecSun1+35)</f>
        <v>45291</v>
      </c>
      <c r="J7" s="21"/>
      <c r="K7" s="19"/>
      <c r="L7" s="17"/>
    </row>
    <row r="8" spans="1:12" ht="30" customHeight="1" x14ac:dyDescent="0.25">
      <c r="A8" s="12"/>
      <c r="B8" s="17"/>
      <c r="C8" s="40">
        <f>IF(DAY(DecSun1)=1,DecSun1+29,DecSun1+36)</f>
        <v>45292</v>
      </c>
      <c r="D8" s="40">
        <f>IF(DAY(DecSun1)=1,DecSun1+30,DecSun1+37)</f>
        <v>45293</v>
      </c>
      <c r="E8" s="40">
        <f>IF(DAY(DecSun1)=1,DecSun1+31,DecSun1+38)</f>
        <v>45294</v>
      </c>
      <c r="F8" s="40">
        <f>IF(DAY(DecSun1)=1,DecSun1+32,DecSun1+39)</f>
        <v>45295</v>
      </c>
      <c r="G8" s="40">
        <f>IF(DAY(DecSun1)=1,DecSun1+33,DecSun1+40)</f>
        <v>45296</v>
      </c>
      <c r="H8" s="40">
        <f>IF(DAY(DecSun1)=1,DecSun1+34,DecSun1+41)</f>
        <v>45297</v>
      </c>
      <c r="I8" s="40">
        <f>IF(DAY(DecSun1)=1,DecSun1+35,DecSun1+42)</f>
        <v>45298</v>
      </c>
      <c r="J8" s="9" t="s">
        <v>10</v>
      </c>
      <c r="K8" s="2"/>
    </row>
    <row r="9" spans="1:12" ht="30" customHeight="1" x14ac:dyDescent="0.25">
      <c r="A9" s="12"/>
      <c r="C9" s="4"/>
      <c r="D9" s="4"/>
      <c r="E9" s="4"/>
      <c r="F9" s="4"/>
      <c r="G9" s="4"/>
      <c r="H9" s="4"/>
      <c r="I9" s="4"/>
      <c r="J9" s="9"/>
      <c r="K9" s="2"/>
    </row>
    <row r="10" spans="1:12" ht="30" customHeight="1" x14ac:dyDescent="0.25">
      <c r="A10" s="12"/>
      <c r="B10" s="16" t="s">
        <v>1</v>
      </c>
      <c r="C10" s="8"/>
      <c r="D10" s="8"/>
      <c r="E10" s="8"/>
      <c r="F10" s="8"/>
      <c r="G10" s="8"/>
      <c r="H10" s="8"/>
      <c r="I10" s="8"/>
      <c r="J10" s="9"/>
      <c r="K10" s="2"/>
    </row>
    <row r="11" spans="1:12" ht="30" customHeight="1" x14ac:dyDescent="0.25">
      <c r="A11" s="24"/>
      <c r="B11" s="13" t="s">
        <v>2</v>
      </c>
      <c r="C11" s="48" t="s">
        <v>10</v>
      </c>
      <c r="D11" s="49"/>
      <c r="E11" s="48" t="s">
        <v>15</v>
      </c>
      <c r="F11" s="49"/>
      <c r="G11" s="48" t="s">
        <v>16</v>
      </c>
      <c r="H11" s="49"/>
      <c r="I11" s="3" t="s">
        <v>17</v>
      </c>
      <c r="J11" s="9"/>
      <c r="K11" s="2"/>
    </row>
    <row r="12" spans="1:12" ht="30" customHeight="1" x14ac:dyDescent="0.25">
      <c r="A12" s="24"/>
      <c r="B12" s="44" t="s">
        <v>3</v>
      </c>
      <c r="C12" s="50"/>
      <c r="D12" s="50"/>
      <c r="E12" s="50" t="s">
        <v>3</v>
      </c>
      <c r="F12" s="50"/>
      <c r="G12" s="50"/>
      <c r="H12" s="50"/>
      <c r="I12" s="46" t="s">
        <v>3</v>
      </c>
      <c r="J12" s="9"/>
      <c r="K12" s="2"/>
    </row>
    <row r="13" spans="1:12" ht="30" customHeight="1" x14ac:dyDescent="0.25">
      <c r="A13" s="24"/>
      <c r="B13" s="25" t="s">
        <v>4</v>
      </c>
      <c r="C13" s="51"/>
      <c r="D13" s="51"/>
      <c r="E13" s="51" t="s">
        <v>4</v>
      </c>
      <c r="F13" s="51"/>
      <c r="G13" s="51"/>
      <c r="H13" s="51"/>
      <c r="I13" s="30" t="s">
        <v>4</v>
      </c>
      <c r="J13" s="21"/>
      <c r="K13" s="19"/>
      <c r="L13" s="17"/>
    </row>
    <row r="14" spans="1:12" ht="30" customHeight="1" x14ac:dyDescent="0.25">
      <c r="A14" s="24"/>
      <c r="B14" s="44"/>
      <c r="C14" s="50" t="s">
        <v>11</v>
      </c>
      <c r="D14" s="50"/>
      <c r="E14" s="50"/>
      <c r="F14" s="50"/>
      <c r="G14" s="50" t="s">
        <v>11</v>
      </c>
      <c r="H14" s="50"/>
      <c r="I14" s="46"/>
      <c r="J14" s="9" t="s">
        <v>15</v>
      </c>
      <c r="K14" s="2"/>
    </row>
    <row r="15" spans="1:12" ht="30" customHeight="1" x14ac:dyDescent="0.25">
      <c r="A15" s="24"/>
      <c r="B15" s="25"/>
      <c r="C15" s="51" t="s">
        <v>12</v>
      </c>
      <c r="D15" s="51"/>
      <c r="E15" s="51"/>
      <c r="F15" s="51"/>
      <c r="G15" s="51" t="s">
        <v>12</v>
      </c>
      <c r="H15" s="51"/>
      <c r="I15" s="30"/>
      <c r="J15" s="9"/>
      <c r="K15" s="2"/>
    </row>
    <row r="16" spans="1:12" ht="30" customHeight="1" x14ac:dyDescent="0.25">
      <c r="A16" s="24"/>
      <c r="B16" s="44" t="s">
        <v>5</v>
      </c>
      <c r="C16" s="50"/>
      <c r="D16" s="50"/>
      <c r="E16" s="50" t="s">
        <v>5</v>
      </c>
      <c r="F16" s="50"/>
      <c r="G16" s="50"/>
      <c r="H16" s="50"/>
      <c r="I16" s="47" t="s">
        <v>5</v>
      </c>
      <c r="J16" s="9"/>
      <c r="K16" s="2"/>
    </row>
    <row r="17" spans="1:12" ht="30" customHeight="1" x14ac:dyDescent="0.25">
      <c r="A17" s="24"/>
      <c r="B17" s="25" t="s">
        <v>6</v>
      </c>
      <c r="C17" s="51"/>
      <c r="D17" s="51"/>
      <c r="E17" s="51" t="s">
        <v>6</v>
      </c>
      <c r="F17" s="51"/>
      <c r="G17" s="51"/>
      <c r="H17" s="51"/>
      <c r="I17" s="30" t="s">
        <v>6</v>
      </c>
      <c r="J17" s="9"/>
      <c r="K17" s="2"/>
    </row>
    <row r="18" spans="1:12" ht="30" customHeight="1" x14ac:dyDescent="0.25">
      <c r="A18" s="24"/>
      <c r="B18" s="44"/>
      <c r="C18" s="50"/>
      <c r="D18" s="50"/>
      <c r="E18" s="50"/>
      <c r="F18" s="50"/>
      <c r="G18" s="50"/>
      <c r="H18" s="50"/>
      <c r="I18" s="46"/>
      <c r="J18" s="9"/>
      <c r="K18" s="2"/>
    </row>
    <row r="19" spans="1:12" ht="30" customHeight="1" x14ac:dyDescent="0.25">
      <c r="A19" s="24"/>
      <c r="B19" s="25"/>
      <c r="C19" s="51"/>
      <c r="D19" s="51"/>
      <c r="E19" s="51"/>
      <c r="F19" s="51"/>
      <c r="G19" s="51"/>
      <c r="H19" s="51"/>
      <c r="I19" s="31"/>
      <c r="J19" s="21"/>
      <c r="K19" s="19"/>
      <c r="L19" s="17"/>
    </row>
    <row r="20" spans="1:12" ht="30" customHeight="1" x14ac:dyDescent="0.25">
      <c r="A20" s="24"/>
      <c r="B20" s="44"/>
      <c r="C20" s="50"/>
      <c r="D20" s="50"/>
      <c r="E20" s="50"/>
      <c r="F20" s="50"/>
      <c r="G20" s="50"/>
      <c r="H20" s="50"/>
      <c r="I20" s="46"/>
      <c r="J20" s="9" t="s">
        <v>16</v>
      </c>
      <c r="K20" s="2"/>
    </row>
    <row r="21" spans="1:12" ht="30" customHeight="1" x14ac:dyDescent="0.25">
      <c r="A21" s="24"/>
      <c r="B21" s="25"/>
      <c r="C21" s="51"/>
      <c r="D21" s="51"/>
      <c r="E21" s="51"/>
      <c r="F21" s="51"/>
      <c r="G21" s="51"/>
      <c r="H21" s="51"/>
      <c r="I21" s="30"/>
      <c r="J21" s="9"/>
      <c r="K21" s="2"/>
    </row>
    <row r="22" spans="1:12" ht="30" customHeight="1" x14ac:dyDescent="0.25">
      <c r="A22" s="24"/>
      <c r="B22" s="44"/>
      <c r="C22" s="50"/>
      <c r="D22" s="50"/>
      <c r="E22" s="50"/>
      <c r="F22" s="50"/>
      <c r="G22" s="50"/>
      <c r="H22" s="50"/>
      <c r="I22" s="46"/>
      <c r="J22" s="9"/>
      <c r="K22" s="2"/>
    </row>
    <row r="23" spans="1:12" ht="30" customHeight="1" x14ac:dyDescent="0.25">
      <c r="A23" s="24"/>
      <c r="B23" s="25"/>
      <c r="C23" s="51"/>
      <c r="D23" s="51"/>
      <c r="E23" s="51"/>
      <c r="F23" s="51"/>
      <c r="G23" s="51"/>
      <c r="H23" s="51"/>
      <c r="I23" s="30"/>
      <c r="J23" s="9"/>
      <c r="K23" s="2"/>
    </row>
    <row r="24" spans="1:12" ht="30" customHeight="1" x14ac:dyDescent="0.25">
      <c r="A24" s="24"/>
      <c r="B24" s="44" t="s">
        <v>7</v>
      </c>
      <c r="C24" s="50"/>
      <c r="D24" s="50"/>
      <c r="E24" s="50" t="s">
        <v>7</v>
      </c>
      <c r="F24" s="50"/>
      <c r="G24" s="50"/>
      <c r="H24" s="50"/>
      <c r="I24" s="46" t="s">
        <v>7</v>
      </c>
      <c r="J24" s="9"/>
      <c r="K24" s="2"/>
    </row>
    <row r="25" spans="1:12" ht="30" customHeight="1" x14ac:dyDescent="0.25">
      <c r="A25" s="24"/>
      <c r="B25" s="25" t="s">
        <v>8</v>
      </c>
      <c r="C25" s="51"/>
      <c r="D25" s="51"/>
      <c r="E25" s="51" t="s">
        <v>8</v>
      </c>
      <c r="F25" s="51"/>
      <c r="G25" s="51"/>
      <c r="H25" s="51"/>
      <c r="I25" s="30" t="s">
        <v>8</v>
      </c>
      <c r="J25" s="21"/>
      <c r="K25" s="19"/>
      <c r="L25" s="17"/>
    </row>
    <row r="26" spans="1:12" ht="30" customHeight="1" x14ac:dyDescent="0.25">
      <c r="A26" s="24"/>
      <c r="B26" s="44"/>
      <c r="C26" s="50"/>
      <c r="D26" s="50"/>
      <c r="E26" s="50"/>
      <c r="F26" s="50"/>
      <c r="G26" s="50"/>
      <c r="H26" s="50"/>
      <c r="I26" s="46"/>
      <c r="J26" s="9" t="s">
        <v>17</v>
      </c>
      <c r="K26" s="2"/>
    </row>
    <row r="27" spans="1:12" ht="30" customHeight="1" x14ac:dyDescent="0.25">
      <c r="A27" s="24"/>
      <c r="B27" s="25"/>
      <c r="C27" s="51"/>
      <c r="D27" s="51"/>
      <c r="E27" s="51"/>
      <c r="F27" s="51"/>
      <c r="G27" s="51"/>
      <c r="H27" s="51"/>
      <c r="I27" s="30"/>
      <c r="J27" s="9"/>
      <c r="K27" s="2"/>
    </row>
    <row r="28" spans="1:12" ht="30" customHeight="1" x14ac:dyDescent="0.25">
      <c r="A28" s="24"/>
      <c r="B28" s="44"/>
      <c r="C28" s="50" t="s">
        <v>13</v>
      </c>
      <c r="D28" s="50"/>
      <c r="E28" s="50"/>
      <c r="F28" s="50"/>
      <c r="G28" s="50" t="s">
        <v>13</v>
      </c>
      <c r="H28" s="50"/>
      <c r="I28" s="46"/>
      <c r="J28" s="9"/>
      <c r="K28" s="2"/>
    </row>
    <row r="29" spans="1:12" ht="30" customHeight="1" x14ac:dyDescent="0.25">
      <c r="A29" s="24"/>
      <c r="B29" s="25"/>
      <c r="C29" s="51" t="s">
        <v>14</v>
      </c>
      <c r="D29" s="51"/>
      <c r="E29" s="51"/>
      <c r="F29" s="51"/>
      <c r="G29" s="51" t="s">
        <v>14</v>
      </c>
      <c r="H29" s="51"/>
      <c r="I29" s="30"/>
      <c r="J29" s="9"/>
      <c r="K29" s="2"/>
    </row>
    <row r="30" spans="1:12" ht="30" customHeight="1" x14ac:dyDescent="0.25">
      <c r="A30" s="24"/>
      <c r="B30" s="44"/>
      <c r="C30" s="50"/>
      <c r="D30" s="50"/>
      <c r="E30" s="50"/>
      <c r="F30" s="50"/>
      <c r="G30" s="50"/>
      <c r="H30" s="50"/>
      <c r="I30" s="46"/>
      <c r="J30" s="9"/>
      <c r="K30" s="2"/>
    </row>
    <row r="31" spans="1:12" ht="30" customHeight="1" x14ac:dyDescent="0.25">
      <c r="A31" s="24"/>
      <c r="B31" s="28"/>
      <c r="C31" s="52"/>
      <c r="D31" s="52"/>
      <c r="E31" s="52"/>
      <c r="F31" s="52"/>
      <c r="G31" s="52"/>
      <c r="H31" s="52"/>
      <c r="I31" s="29"/>
      <c r="J31" s="21"/>
      <c r="K31" s="19"/>
      <c r="L31" s="17"/>
    </row>
  </sheetData>
  <mergeCells count="63">
    <mergeCell ref="C31:D31"/>
    <mergeCell ref="E31:F31"/>
    <mergeCell ref="G31:H31"/>
    <mergeCell ref="C29:D29"/>
    <mergeCell ref="E29:F29"/>
    <mergeCell ref="G29:H29"/>
    <mergeCell ref="C30:D30"/>
    <mergeCell ref="E30:F30"/>
    <mergeCell ref="G30:H30"/>
    <mergeCell ref="C27:D27"/>
    <mergeCell ref="E27:F27"/>
    <mergeCell ref="G27:H27"/>
    <mergeCell ref="C28:D28"/>
    <mergeCell ref="E28:F28"/>
    <mergeCell ref="G28:H28"/>
    <mergeCell ref="C25:D25"/>
    <mergeCell ref="E25:F25"/>
    <mergeCell ref="G25:H25"/>
    <mergeCell ref="C26:D26"/>
    <mergeCell ref="E26:F26"/>
    <mergeCell ref="G26:H26"/>
    <mergeCell ref="C23:D23"/>
    <mergeCell ref="E23:F23"/>
    <mergeCell ref="G23:H23"/>
    <mergeCell ref="C24:D24"/>
    <mergeCell ref="E24:F24"/>
    <mergeCell ref="G24:H24"/>
    <mergeCell ref="C21:D21"/>
    <mergeCell ref="E21:F21"/>
    <mergeCell ref="G21:H21"/>
    <mergeCell ref="C22:D22"/>
    <mergeCell ref="E22:F22"/>
    <mergeCell ref="G22:H22"/>
    <mergeCell ref="C19:D19"/>
    <mergeCell ref="E19:F19"/>
    <mergeCell ref="G19:H19"/>
    <mergeCell ref="C20:D20"/>
    <mergeCell ref="E20:F20"/>
    <mergeCell ref="G20:H20"/>
    <mergeCell ref="C17:D17"/>
    <mergeCell ref="E17:F17"/>
    <mergeCell ref="G17:H17"/>
    <mergeCell ref="C18:D18"/>
    <mergeCell ref="E18:F18"/>
    <mergeCell ref="G18:H18"/>
    <mergeCell ref="C15:D15"/>
    <mergeCell ref="E15:F15"/>
    <mergeCell ref="G15:H15"/>
    <mergeCell ref="C16:D16"/>
    <mergeCell ref="E16:F16"/>
    <mergeCell ref="G16:H16"/>
    <mergeCell ref="C13:D13"/>
    <mergeCell ref="E13:F13"/>
    <mergeCell ref="G13:H13"/>
    <mergeCell ref="C14:D14"/>
    <mergeCell ref="E14:F14"/>
    <mergeCell ref="G14:H14"/>
    <mergeCell ref="C11:D11"/>
    <mergeCell ref="E11:F11"/>
    <mergeCell ref="G11:H11"/>
    <mergeCell ref="C12:D12"/>
    <mergeCell ref="E12:F12"/>
    <mergeCell ref="G12:H12"/>
  </mergeCells>
  <conditionalFormatting sqref="B12:I12 B14:I14 B16:I16 B18:I18 B20:I20 B22:I22 B24:I24 B26:I26 B28:I28 B30:I30">
    <cfRule type="expression" dxfId="6" priority="3">
      <formula>B12&lt;&gt;""</formula>
    </cfRule>
  </conditionalFormatting>
  <conditionalFormatting sqref="B12:I31">
    <cfRule type="expression" dxfId="5" priority="1">
      <formula>COLUMN(B12)&gt;2</formula>
    </cfRule>
  </conditionalFormatting>
  <conditionalFormatting sqref="B13:I13 B15:I15 B17:I17 B19:I19 B21:I21 B23:I23 B25:I25 B27:I27 B29:I29 B31:I31">
    <cfRule type="expression" dxfId="4" priority="4">
      <formula>B13&lt;&gt;""</formula>
    </cfRule>
  </conditionalFormatting>
  <conditionalFormatting sqref="B13:I13 B15:I15 B17:I17 B19:I19 B21:I21 B23:I23 B25:I25 B27:I27 B29:I29">
    <cfRule type="expression" dxfId="3" priority="2">
      <formula>COLUMN(B13)&gt;=2</formula>
    </cfRule>
  </conditionalFormatting>
  <conditionalFormatting sqref="C3:H3">
    <cfRule type="expression" dxfId="2" priority="6" stopIfTrue="1">
      <formula>DAY(C3)&gt;8</formula>
    </cfRule>
  </conditionalFormatting>
  <conditionalFormatting sqref="C3:I8">
    <cfRule type="expression" dxfId="1" priority="7">
      <formula>VLOOKUP(DAY(C3),AssignmentDays,1,FALSE)=DAY(C3)</formula>
    </cfRule>
  </conditionalFormatting>
  <conditionalFormatting sqref="C7:I8">
    <cfRule type="expression" dxfId="0" priority="5" stopIfTrue="1">
      <formula>AND(DAY(C7)&gt;=1,DAY(C7)&lt;=15)</formula>
    </cfRule>
  </conditionalFormatting>
  <dataValidations xWindow="282" yWindow="695" count="16">
    <dataValidation allowBlank="1" showInputMessage="1" showErrorMessage="1" prompt="El calendario de diciembre resalta automáticamente las entradas de la lista de tareas para el mes. Las fuentes más oscuras indican tareas. Las fuentes más claras indican días que pertenecen al mes anterior o al mes siguiente" sqref="B2" xr:uid="{00000000-0002-0000-0B00-000000000000}"/>
    <dataValidation allowBlank="1" showInputMessage="1" showErrorMessage="1" prompt="Se actualiza automáticamente el año natural. Para cambiar el año, actualice la celda B1 en la hoja de cálculo ene" sqref="B1" xr:uid="{00000000-0002-0000-0B00-000001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B00-000002000000}"/>
    <dataValidation allowBlank="1" showInputMessage="1" showErrorMessage="1" prompt="Las celdas C2 a I2 contienen días de la semana." sqref="C2" xr:uid="{00000000-0002-0000-0B00-000003000000}"/>
    <dataValidation allowBlank="1" showInputMessage="1" showErrorMessage="1" prompt="Si esta celda no contiene el número 1, se trata de un día de del mes anterior. Las celdas C3 a I8 contienen fechas para el mes actual" sqref="C3" xr:uid="{00000000-0002-0000-0B00-000004000000}"/>
    <dataValidation allowBlank="1" showInputMessage="1" showErrorMessage="1" prompt="Si esta fila contiene un número menor que el número o la fila de números anterior, en ese caso, esta fila contiene fechas para el próximo mes del calendario." sqref="C8" xr:uid="{00000000-0002-0000-0B00-000005000000}"/>
    <dataValidation allowBlank="1" showInputMessage="1" showErrorMessage="1" prompt="Escriba la hora en esta fila, de la columna B a la I" sqref="B12" xr:uid="{00000000-0002-0000-0B00-000006000000}"/>
    <dataValidation allowBlank="1" showInputMessage="1" showErrorMessage="1" prompt="Escriba la clase en esta fila, de la columna B a la I." sqref="B13" xr:uid="{00000000-0002-0000-0B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B00-000008000000}"/>
    <dataValidation allowBlank="1" showInputMessage="1" showErrorMessage="1" prompt="Escriba en esta columna los detalles de la tarea correspondientes al día de la semana en la columna J y al día en la columna K del mes calendario de la izquierda." sqref="L1" xr:uid="{00000000-0002-0000-0B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B00-00000A000000}"/>
    <dataValidation allowBlank="1" showInputMessage="1" showErrorMessage="1" prompt="Los días de la semana se encuentran en esta fila, del lunes al viernes." sqref="B11" xr:uid="{00000000-0002-0000-0B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B00-00000C000000}"/>
    <dataValidation allowBlank="1" showInputMessage="1" showErrorMessage="1" prompt="El nombre de la clase va en esta fila, empezando en la celda a la derecha" sqref="A13 A15 A17 A19 A21 A23 A25 A27 A29 A31" xr:uid="{6B4CEE85-3E0F-4C4E-84A8-5B61A9837575}"/>
    <dataValidation allowBlank="1" showInputMessage="1" showErrorMessage="1" prompt="El tiempo de clase va en esta fila, empezando en la celda hasta la derecha_x000a_" sqref="A12 A14 A16 A18 A20 A22 A24 A26 A28 A30" xr:uid="{90DE2C82-6D96-4EA9-A0AA-FD6DB50FAB0C}"/>
    <dataValidation allowBlank="1" showInputMessage="1" showErrorMessage="1" prompt="El día de la semana va en esta fila, empezando en la celda B11" sqref="A11" xr:uid="{AE989AEA-F06D-4191-B6C8-96AF4EABFF99}"/>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xl/worksheets/sheet4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4"/>
    <pageSetUpPr fitToPage="1"/>
  </sheetPr>
  <dimension ref="A1:L31"/>
  <sheetViews>
    <sheetView showGridLines="0" zoomScaleNormal="100" zoomScalePageLayoutView="84" workbookViewId="0"/>
  </sheetViews>
  <sheetFormatPr baseColWidth="10" defaultColWidth="8.625" defaultRowHeight="30" customHeight="1" x14ac:dyDescent="0.25"/>
  <cols>
    <col min="1" max="1" width="2.625" customWidth="1"/>
    <col min="2" max="2" width="20.625" customWidth="1"/>
    <col min="3" max="8" width="10.625" customWidth="1"/>
    <col min="9" max="9" width="20.625" customWidth="1"/>
    <col min="10" max="10" width="10.625" style="9" customWidth="1"/>
    <col min="11"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38" t="s">
        <v>27</v>
      </c>
      <c r="C2" s="6" t="s">
        <v>2</v>
      </c>
      <c r="D2" s="6" t="s">
        <v>10</v>
      </c>
      <c r="E2" s="6" t="s">
        <v>15</v>
      </c>
      <c r="F2" s="6" t="s">
        <v>16</v>
      </c>
      <c r="G2" s="6" t="s">
        <v>17</v>
      </c>
      <c r="H2" s="6" t="s">
        <v>18</v>
      </c>
      <c r="I2" s="6" t="s">
        <v>19</v>
      </c>
      <c r="J2" s="9" t="s">
        <v>2</v>
      </c>
      <c r="K2" s="22"/>
    </row>
    <row r="3" spans="1:12" ht="30" customHeight="1" x14ac:dyDescent="0.25">
      <c r="A3" s="12"/>
      <c r="C3" s="40">
        <f>IF(DAY(AbrDom1)=1,AbrDom1-6,AbrDom1+1)</f>
        <v>45012</v>
      </c>
      <c r="D3" s="40">
        <f>IF(DAY(AbrDom1)=1,AbrDom1-5,AbrDom1+2)</f>
        <v>45013</v>
      </c>
      <c r="E3" s="40">
        <f>IF(DAY(AbrDom1)=1,AbrDom1-4,AbrDom1+3)</f>
        <v>45014</v>
      </c>
      <c r="F3" s="40">
        <f>IF(DAY(AbrDom1)=1,AbrDom1-3,AbrDom1+4)</f>
        <v>45015</v>
      </c>
      <c r="G3" s="40">
        <f>IF(DAY(AbrDom1)=1,AbrDom1-2,AbrDom1+5)</f>
        <v>45016</v>
      </c>
      <c r="H3" s="40">
        <f>IF(DAY(AbrDom1)=1,AbrDom1-1,AbrDom1+6)</f>
        <v>45017</v>
      </c>
      <c r="I3" s="40">
        <f>IF(DAY(AbrDom1)=1,AbrDom1,AbrDom1+7)</f>
        <v>45018</v>
      </c>
      <c r="K3" s="2"/>
    </row>
    <row r="4" spans="1:12" ht="30" customHeight="1" x14ac:dyDescent="0.25">
      <c r="A4" s="12"/>
      <c r="C4" s="40">
        <f>IF(DAY(AbrDom1)=1,AbrDom1+1,AbrDom1+8)</f>
        <v>45019</v>
      </c>
      <c r="D4" s="40">
        <f>IF(DAY(AbrDom1)=1,AbrDom1+2,AbrDom1+9)</f>
        <v>45020</v>
      </c>
      <c r="E4" s="40">
        <f>IF(DAY(AbrDom1)=1,AbrDom1+3,AbrDom1+10)</f>
        <v>45021</v>
      </c>
      <c r="F4" s="40">
        <f>IF(DAY(AbrDom1)=1,AbrDom1+4,AbrDom1+11)</f>
        <v>45022</v>
      </c>
      <c r="G4" s="40">
        <f>IF(DAY(AbrDom1)=1,AbrDom1+5,AbrDom1+12)</f>
        <v>45023</v>
      </c>
      <c r="H4" s="40">
        <f>IF(DAY(AbrDom1)=1,AbrDom1+6,AbrDom1+13)</f>
        <v>45024</v>
      </c>
      <c r="I4" s="40">
        <f>IF(DAY(AbrDom1)=1,AbrDom1+7,AbrDom1+14)</f>
        <v>45025</v>
      </c>
      <c r="K4" s="2"/>
    </row>
    <row r="5" spans="1:12" ht="30" customHeight="1" x14ac:dyDescent="0.25">
      <c r="A5" s="12"/>
      <c r="C5" s="40">
        <f>IF(DAY(AbrDom1)=1,AbrDom1+8,AbrDom1+15)</f>
        <v>45026</v>
      </c>
      <c r="D5" s="40">
        <f>IF(DAY(AbrDom1)=1,AbrDom1+9,AbrDom1+16)</f>
        <v>45027</v>
      </c>
      <c r="E5" s="40">
        <f>IF(DAY(AbrDom1)=1,AbrDom1+10,AbrDom1+17)</f>
        <v>45028</v>
      </c>
      <c r="F5" s="40">
        <f>IF(DAY(AbrDom1)=1,AbrDom1+11,AbrDom1+18)</f>
        <v>45029</v>
      </c>
      <c r="G5" s="40">
        <f>IF(DAY(AbrDom1)=1,AbrDom1+12,AbrDom1+19)</f>
        <v>45030</v>
      </c>
      <c r="H5" s="40">
        <f>IF(DAY(AbrDom1)=1,AbrDom1+13,AbrDom1+20)</f>
        <v>45031</v>
      </c>
      <c r="I5" s="40">
        <f>IF(DAY(AbrDom1)=1,AbrDom1+14,AbrDom1+21)</f>
        <v>45032</v>
      </c>
      <c r="K5" s="2"/>
    </row>
    <row r="6" spans="1:12" ht="30" customHeight="1" x14ac:dyDescent="0.25">
      <c r="A6" s="12"/>
      <c r="C6" s="40">
        <f>IF(DAY(AbrDom1)=1,AbrDom1+15,AbrDom1+22)</f>
        <v>45033</v>
      </c>
      <c r="D6" s="40">
        <f>IF(DAY(AbrDom1)=1,AbrDom1+16,AbrDom1+23)</f>
        <v>45034</v>
      </c>
      <c r="E6" s="40">
        <f>IF(DAY(AbrDom1)=1,AbrDom1+17,AbrDom1+24)</f>
        <v>45035</v>
      </c>
      <c r="F6" s="40">
        <f>IF(DAY(AbrDom1)=1,AbrDom1+18,AbrDom1+25)</f>
        <v>45036</v>
      </c>
      <c r="G6" s="40">
        <f>IF(DAY(AbrDom1)=1,AbrDom1+19,AbrDom1+26)</f>
        <v>45037</v>
      </c>
      <c r="H6" s="40">
        <f>IF(DAY(AbrDom1)=1,AbrDom1+20,AbrDom1+27)</f>
        <v>45038</v>
      </c>
      <c r="I6" s="40">
        <f>IF(DAY(AbrDom1)=1,AbrDom1+21,AbrDom1+28)</f>
        <v>45039</v>
      </c>
      <c r="K6" s="2"/>
    </row>
    <row r="7" spans="1:12" ht="30" customHeight="1" x14ac:dyDescent="0.25">
      <c r="A7" s="12"/>
      <c r="C7" s="40">
        <f>IF(DAY(AbrDom1)=1,AbrDom1+22,AbrDom1+29)</f>
        <v>45040</v>
      </c>
      <c r="D7" s="40">
        <f>IF(DAY(AbrDom1)=1,AbrDom1+23,AbrDom1+30)</f>
        <v>45041</v>
      </c>
      <c r="E7" s="40">
        <f>IF(DAY(AbrDom1)=1,AbrDom1+24,AbrDom1+31)</f>
        <v>45042</v>
      </c>
      <c r="F7" s="40">
        <f>IF(DAY(AbrDom1)=1,AbrDom1+25,AbrDom1+32)</f>
        <v>45043</v>
      </c>
      <c r="G7" s="40">
        <f>IF(DAY(AbrDom1)=1,AbrDom1+26,AbrDom1+33)</f>
        <v>45044</v>
      </c>
      <c r="H7" s="40">
        <f>IF(DAY(AbrDom1)=1,AbrDom1+27,AbrDom1+34)</f>
        <v>45045</v>
      </c>
      <c r="I7" s="40">
        <f>IF(DAY(AbrDom1)=1,AbrDom1+28,AbrDom1+35)</f>
        <v>45046</v>
      </c>
      <c r="J7" s="1"/>
      <c r="K7" s="19"/>
    </row>
    <row r="8" spans="1:12" ht="30" customHeight="1" x14ac:dyDescent="0.25">
      <c r="A8" s="12"/>
      <c r="B8" s="17"/>
      <c r="C8" s="40">
        <f>IF(DAY(AbrDom1)=1,AbrDom1+29,AbrDom1+36)</f>
        <v>45047</v>
      </c>
      <c r="D8" s="40">
        <f>IF(DAY(AbrDom1)=1,AbrDom1+30,AbrDom1+37)</f>
        <v>45048</v>
      </c>
      <c r="E8" s="40">
        <f>IF(DAY(AbrDom1)=1,AbrDom1+31,AbrDom1+38)</f>
        <v>45049</v>
      </c>
      <c r="F8" s="40">
        <f>IF(DAY(AbrDom1)=1,AbrDom1+32,AbrDom1+39)</f>
        <v>45050</v>
      </c>
      <c r="G8" s="40">
        <f>IF(DAY(AbrDom1)=1,AbrDom1+33,AbrDom1+40)</f>
        <v>45051</v>
      </c>
      <c r="H8" s="40">
        <f>IF(DAY(AbrDom1)=1,AbrDom1+34,AbrDom1+41)</f>
        <v>45052</v>
      </c>
      <c r="I8" s="40">
        <f>IF(DAY(AbrDom1)=1,AbrDom1+35,AbrDom1+42)</f>
        <v>45053</v>
      </c>
      <c r="J8" s="9" t="s">
        <v>10</v>
      </c>
      <c r="K8" s="22"/>
    </row>
    <row r="9" spans="1:12" ht="30" customHeight="1" x14ac:dyDescent="0.25">
      <c r="A9" s="12"/>
      <c r="C9" s="4"/>
      <c r="D9" s="4"/>
      <c r="E9" s="4"/>
      <c r="F9" s="4"/>
      <c r="G9" s="4"/>
      <c r="H9" s="4"/>
      <c r="I9" s="4"/>
      <c r="K9" s="2"/>
    </row>
    <row r="10" spans="1:12" ht="30" customHeight="1" x14ac:dyDescent="0.25">
      <c r="A10" s="12"/>
      <c r="B10" s="16" t="s">
        <v>1</v>
      </c>
      <c r="C10" s="8"/>
      <c r="D10" s="8"/>
      <c r="E10" s="8"/>
      <c r="F10" s="8"/>
      <c r="G10" s="8"/>
      <c r="H10" s="8"/>
      <c r="I10" s="8"/>
      <c r="K10" s="2"/>
    </row>
    <row r="11" spans="1:12" ht="30" customHeight="1" x14ac:dyDescent="0.25">
      <c r="A11" s="24"/>
      <c r="B11" s="13" t="s">
        <v>2</v>
      </c>
      <c r="C11" s="48" t="s">
        <v>10</v>
      </c>
      <c r="D11" s="49"/>
      <c r="E11" s="48" t="s">
        <v>15</v>
      </c>
      <c r="F11" s="49"/>
      <c r="G11" s="48" t="s">
        <v>16</v>
      </c>
      <c r="H11" s="49"/>
      <c r="I11" s="3" t="s">
        <v>17</v>
      </c>
      <c r="K11" s="2"/>
    </row>
    <row r="12" spans="1:12" ht="30" customHeight="1" x14ac:dyDescent="0.25">
      <c r="A12" s="24"/>
      <c r="B12" s="44" t="s">
        <v>3</v>
      </c>
      <c r="C12" s="50"/>
      <c r="D12" s="50"/>
      <c r="E12" s="50" t="s">
        <v>3</v>
      </c>
      <c r="F12" s="50"/>
      <c r="G12" s="50"/>
      <c r="H12" s="50"/>
      <c r="I12" s="46" t="s">
        <v>3</v>
      </c>
      <c r="K12" s="2"/>
    </row>
    <row r="13" spans="1:12" ht="30" customHeight="1" x14ac:dyDescent="0.25">
      <c r="A13" s="24"/>
      <c r="B13" s="25" t="s">
        <v>4</v>
      </c>
      <c r="C13" s="51"/>
      <c r="D13" s="51"/>
      <c r="E13" s="51" t="s">
        <v>4</v>
      </c>
      <c r="F13" s="51"/>
      <c r="G13" s="51"/>
      <c r="H13" s="51"/>
      <c r="I13" s="30" t="s">
        <v>4</v>
      </c>
      <c r="J13" s="1"/>
      <c r="K13" s="19"/>
      <c r="L13" s="18"/>
    </row>
    <row r="14" spans="1:12" ht="30" customHeight="1" x14ac:dyDescent="0.25">
      <c r="A14" s="24"/>
      <c r="B14" s="44"/>
      <c r="C14" s="50" t="s">
        <v>11</v>
      </c>
      <c r="D14" s="50"/>
      <c r="E14" s="50"/>
      <c r="F14" s="50"/>
      <c r="G14" s="50" t="s">
        <v>11</v>
      </c>
      <c r="H14" s="50"/>
      <c r="I14" s="46"/>
      <c r="J14" s="9" t="s">
        <v>15</v>
      </c>
      <c r="K14" s="22"/>
    </row>
    <row r="15" spans="1:12" ht="30" customHeight="1" x14ac:dyDescent="0.25">
      <c r="A15" s="24"/>
      <c r="B15" s="25"/>
      <c r="C15" s="51" t="s">
        <v>12</v>
      </c>
      <c r="D15" s="51"/>
      <c r="E15" s="51"/>
      <c r="F15" s="51"/>
      <c r="G15" s="51" t="s">
        <v>12</v>
      </c>
      <c r="H15" s="51"/>
      <c r="I15" s="30"/>
      <c r="K15" s="2"/>
    </row>
    <row r="16" spans="1:12" ht="30" customHeight="1" x14ac:dyDescent="0.25">
      <c r="A16" s="24"/>
      <c r="B16" s="44" t="s">
        <v>5</v>
      </c>
      <c r="C16" s="50"/>
      <c r="D16" s="50"/>
      <c r="E16" s="50" t="s">
        <v>5</v>
      </c>
      <c r="F16" s="50"/>
      <c r="G16" s="50"/>
      <c r="H16" s="50"/>
      <c r="I16" s="47" t="s">
        <v>5</v>
      </c>
      <c r="K16" s="2"/>
    </row>
    <row r="17" spans="1:12" ht="30" customHeight="1" x14ac:dyDescent="0.25">
      <c r="A17" s="24"/>
      <c r="B17" s="25" t="s">
        <v>6</v>
      </c>
      <c r="C17" s="51"/>
      <c r="D17" s="51"/>
      <c r="E17" s="51" t="s">
        <v>6</v>
      </c>
      <c r="F17" s="51"/>
      <c r="G17" s="51"/>
      <c r="H17" s="51"/>
      <c r="I17" s="30" t="s">
        <v>6</v>
      </c>
      <c r="K17" s="2"/>
    </row>
    <row r="18" spans="1:12" ht="30" customHeight="1" x14ac:dyDescent="0.25">
      <c r="A18" s="24"/>
      <c r="B18" s="44"/>
      <c r="C18" s="50"/>
      <c r="D18" s="50"/>
      <c r="E18" s="50"/>
      <c r="F18" s="50"/>
      <c r="G18" s="50"/>
      <c r="H18" s="50"/>
      <c r="I18" s="46"/>
      <c r="K18" s="2"/>
    </row>
    <row r="19" spans="1:12" ht="30" customHeight="1" x14ac:dyDescent="0.25">
      <c r="A19" s="24"/>
      <c r="B19" s="25"/>
      <c r="C19" s="51"/>
      <c r="D19" s="51"/>
      <c r="E19" s="51"/>
      <c r="F19" s="51"/>
      <c r="G19" s="51"/>
      <c r="H19" s="51"/>
      <c r="I19" s="31"/>
      <c r="J19" s="1"/>
      <c r="K19" s="19"/>
      <c r="L19" s="23"/>
    </row>
    <row r="20" spans="1:12" ht="30" customHeight="1" x14ac:dyDescent="0.25">
      <c r="A20" s="24"/>
      <c r="B20" s="44"/>
      <c r="C20" s="50"/>
      <c r="D20" s="50"/>
      <c r="E20" s="50"/>
      <c r="F20" s="50"/>
      <c r="G20" s="50"/>
      <c r="H20" s="50"/>
      <c r="I20" s="46"/>
      <c r="J20" s="9" t="s">
        <v>16</v>
      </c>
      <c r="K20" s="22"/>
    </row>
    <row r="21" spans="1:12" ht="30" customHeight="1" x14ac:dyDescent="0.25">
      <c r="A21" s="24"/>
      <c r="B21" s="25"/>
      <c r="C21" s="51"/>
      <c r="D21" s="51"/>
      <c r="E21" s="51"/>
      <c r="F21" s="51"/>
      <c r="G21" s="51"/>
      <c r="H21" s="51"/>
      <c r="I21" s="30"/>
      <c r="K21" s="2"/>
    </row>
    <row r="22" spans="1:12" ht="30" customHeight="1" x14ac:dyDescent="0.25">
      <c r="A22" s="24"/>
      <c r="B22" s="44"/>
      <c r="C22" s="50"/>
      <c r="D22" s="50"/>
      <c r="E22" s="50"/>
      <c r="F22" s="50"/>
      <c r="G22" s="50"/>
      <c r="H22" s="50"/>
      <c r="I22" s="46"/>
      <c r="K22" s="2"/>
    </row>
    <row r="23" spans="1:12" ht="30" customHeight="1" x14ac:dyDescent="0.25">
      <c r="A23" s="24"/>
      <c r="B23" s="25"/>
      <c r="C23" s="51"/>
      <c r="D23" s="51"/>
      <c r="E23" s="51"/>
      <c r="F23" s="51"/>
      <c r="G23" s="51"/>
      <c r="H23" s="51"/>
      <c r="I23" s="30"/>
      <c r="K23" s="2"/>
    </row>
    <row r="24" spans="1:12" ht="30" customHeight="1" x14ac:dyDescent="0.25">
      <c r="A24" s="24"/>
      <c r="B24" s="44" t="s">
        <v>7</v>
      </c>
      <c r="C24" s="50"/>
      <c r="D24" s="50"/>
      <c r="E24" s="50" t="s">
        <v>7</v>
      </c>
      <c r="F24" s="50"/>
      <c r="G24" s="50"/>
      <c r="H24" s="50"/>
      <c r="I24" s="46" t="s">
        <v>7</v>
      </c>
      <c r="K24" s="2"/>
    </row>
    <row r="25" spans="1:12" ht="30" customHeight="1" x14ac:dyDescent="0.25">
      <c r="A25" s="24"/>
      <c r="B25" s="25" t="s">
        <v>8</v>
      </c>
      <c r="C25" s="51"/>
      <c r="D25" s="51"/>
      <c r="E25" s="51" t="s">
        <v>8</v>
      </c>
      <c r="F25" s="51"/>
      <c r="G25" s="51"/>
      <c r="H25" s="51"/>
      <c r="I25" s="30" t="s">
        <v>8</v>
      </c>
      <c r="J25" s="1"/>
      <c r="K25" s="19"/>
      <c r="L25" s="23"/>
    </row>
    <row r="26" spans="1:12" ht="30" customHeight="1" x14ac:dyDescent="0.25">
      <c r="A26" s="24"/>
      <c r="B26" s="44"/>
      <c r="C26" s="50"/>
      <c r="D26" s="50"/>
      <c r="E26" s="50"/>
      <c r="F26" s="50"/>
      <c r="G26" s="50"/>
      <c r="H26" s="50"/>
      <c r="I26" s="46"/>
      <c r="J26" s="9" t="s">
        <v>17</v>
      </c>
      <c r="K26" s="22"/>
      <c r="L26" t="s">
        <v>28</v>
      </c>
    </row>
    <row r="27" spans="1:12" ht="30" customHeight="1" x14ac:dyDescent="0.25">
      <c r="A27" s="24"/>
      <c r="B27" s="25"/>
      <c r="C27" s="51"/>
      <c r="D27" s="51"/>
      <c r="E27" s="51"/>
      <c r="F27" s="51"/>
      <c r="G27" s="51"/>
      <c r="H27" s="51"/>
      <c r="I27" s="30"/>
      <c r="K27" s="2"/>
    </row>
    <row r="28" spans="1:12" ht="30" customHeight="1" x14ac:dyDescent="0.25">
      <c r="A28" s="24"/>
      <c r="B28" s="44"/>
      <c r="C28" s="50" t="s">
        <v>13</v>
      </c>
      <c r="D28" s="50"/>
      <c r="E28" s="50"/>
      <c r="F28" s="50"/>
      <c r="G28" s="50" t="s">
        <v>13</v>
      </c>
      <c r="H28" s="50"/>
      <c r="I28" s="46"/>
      <c r="K28" s="2"/>
    </row>
    <row r="29" spans="1:12" ht="30" customHeight="1" x14ac:dyDescent="0.25">
      <c r="A29" s="24"/>
      <c r="B29" s="25"/>
      <c r="C29" s="51" t="s">
        <v>14</v>
      </c>
      <c r="D29" s="51"/>
      <c r="E29" s="51"/>
      <c r="F29" s="51"/>
      <c r="G29" s="51" t="s">
        <v>14</v>
      </c>
      <c r="H29" s="51"/>
      <c r="I29" s="30"/>
      <c r="K29" s="2"/>
    </row>
    <row r="30" spans="1:12" ht="30" customHeight="1" x14ac:dyDescent="0.25">
      <c r="A30" s="24"/>
      <c r="B30" s="44"/>
      <c r="C30" s="50"/>
      <c r="D30" s="50"/>
      <c r="E30" s="50"/>
      <c r="F30" s="50"/>
      <c r="G30" s="50"/>
      <c r="H30" s="50"/>
      <c r="I30" s="46"/>
      <c r="K30" s="2"/>
    </row>
    <row r="31" spans="1:12" ht="30" customHeight="1" x14ac:dyDescent="0.25">
      <c r="A31" s="24"/>
      <c r="B31" s="28"/>
      <c r="C31" s="52"/>
      <c r="D31" s="52"/>
      <c r="E31" s="52"/>
      <c r="F31" s="52"/>
      <c r="G31" s="52"/>
      <c r="H31" s="52"/>
      <c r="I31" s="29"/>
      <c r="K31" s="19"/>
    </row>
  </sheetData>
  <mergeCells count="63">
    <mergeCell ref="C31:D31"/>
    <mergeCell ref="E31:F31"/>
    <mergeCell ref="G31:H31"/>
    <mergeCell ref="C29:D29"/>
    <mergeCell ref="E29:F29"/>
    <mergeCell ref="G29:H29"/>
    <mergeCell ref="C30:D30"/>
    <mergeCell ref="E30:F30"/>
    <mergeCell ref="G30:H30"/>
    <mergeCell ref="C27:D27"/>
    <mergeCell ref="E27:F27"/>
    <mergeCell ref="G27:H27"/>
    <mergeCell ref="C28:D28"/>
    <mergeCell ref="E28:F28"/>
    <mergeCell ref="G28:H28"/>
    <mergeCell ref="C25:D25"/>
    <mergeCell ref="E25:F25"/>
    <mergeCell ref="G25:H25"/>
    <mergeCell ref="C26:D26"/>
    <mergeCell ref="E26:F26"/>
    <mergeCell ref="G26:H26"/>
    <mergeCell ref="C23:D23"/>
    <mergeCell ref="E23:F23"/>
    <mergeCell ref="G23:H23"/>
    <mergeCell ref="C24:D24"/>
    <mergeCell ref="E24:F24"/>
    <mergeCell ref="G24:H24"/>
    <mergeCell ref="C21:D21"/>
    <mergeCell ref="E21:F21"/>
    <mergeCell ref="G21:H21"/>
    <mergeCell ref="C22:D22"/>
    <mergeCell ref="E22:F22"/>
    <mergeCell ref="G22:H22"/>
    <mergeCell ref="C19:D19"/>
    <mergeCell ref="E19:F19"/>
    <mergeCell ref="G19:H19"/>
    <mergeCell ref="C20:D20"/>
    <mergeCell ref="E20:F20"/>
    <mergeCell ref="G20:H20"/>
    <mergeCell ref="C17:D17"/>
    <mergeCell ref="E17:F17"/>
    <mergeCell ref="G17:H17"/>
    <mergeCell ref="C18:D18"/>
    <mergeCell ref="E18:F18"/>
    <mergeCell ref="G18:H18"/>
    <mergeCell ref="C15:D15"/>
    <mergeCell ref="E15:F15"/>
    <mergeCell ref="G15:H15"/>
    <mergeCell ref="C16:D16"/>
    <mergeCell ref="E16:F16"/>
    <mergeCell ref="G16:H16"/>
    <mergeCell ref="C13:D13"/>
    <mergeCell ref="E13:F13"/>
    <mergeCell ref="G13:H13"/>
    <mergeCell ref="C14:D14"/>
    <mergeCell ref="E14:F14"/>
    <mergeCell ref="G14:H14"/>
    <mergeCell ref="C11:D11"/>
    <mergeCell ref="E11:F11"/>
    <mergeCell ref="G11:H11"/>
    <mergeCell ref="C12:D12"/>
    <mergeCell ref="E12:F12"/>
    <mergeCell ref="G12:H12"/>
  </mergeCells>
  <conditionalFormatting sqref="B12:I12 B14:I14 B16:I16 B18:I18 B20:I20 B22:I22 B24:I24 B26:I26 B28:I28 B30:I30">
    <cfRule type="expression" dxfId="64" priority="3">
      <formula>B12&lt;&gt;""</formula>
    </cfRule>
  </conditionalFormatting>
  <conditionalFormatting sqref="B12:I31">
    <cfRule type="expression" dxfId="63" priority="1">
      <formula>COLUMN(B12)&gt;2</formula>
    </cfRule>
  </conditionalFormatting>
  <conditionalFormatting sqref="B13:I13 B15:I15 B17:I17 B19:I19 B21:I21 B23:I23 B25:I25 B27:I27 B29:I29 B31:I31">
    <cfRule type="expression" dxfId="62" priority="4">
      <formula>B13&lt;&gt;""</formula>
    </cfRule>
  </conditionalFormatting>
  <conditionalFormatting sqref="B13:I13 B15:I15 B17:I17 B19:I19 B21:I21 B23:I23 B25:I25 B27:I27 B29:I29">
    <cfRule type="expression" dxfId="61" priority="2">
      <formula>COLUMN(B12)&gt;=2</formula>
    </cfRule>
  </conditionalFormatting>
  <conditionalFormatting sqref="C3:H3">
    <cfRule type="expression" dxfId="60" priority="6" stopIfTrue="1">
      <formula>DAY(C3)&gt;8</formula>
    </cfRule>
  </conditionalFormatting>
  <conditionalFormatting sqref="C3:I8">
    <cfRule type="expression" dxfId="59" priority="7">
      <formula>VLOOKUP(DAY(C3),AssignmentDays,1,FALSE)=DAY(C3)</formula>
    </cfRule>
  </conditionalFormatting>
  <conditionalFormatting sqref="C7:I8">
    <cfRule type="expression" dxfId="58" priority="5" stopIfTrue="1">
      <formula>AND(DAY(C7)&gt;=1,DAY(C7)&lt;=15)</formula>
    </cfRule>
  </conditionalFormatting>
  <dataValidations xWindow="209" yWindow="929" count="16">
    <dataValidation allowBlank="1" showInputMessage="1" showErrorMessage="1" prompt="El calendario de abril resalta automáticamente las entradas de la lista de tareas para el mes. Las fuentes más oscuras indican tareas. Las fuentes más claras indican días que pertenecen al mes anterior o al mes siguiente" sqref="B2" xr:uid="{00000000-0002-0000-0300-000000000000}"/>
    <dataValidation allowBlank="1" showInputMessage="1" showErrorMessage="1" prompt="Se actualiza automáticamente el año natural. Para cambiar el año, actualice la celda B1 en la hoja de cálculo ene" sqref="B1" xr:uid="{00000000-0002-0000-0300-000001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300-000002000000}"/>
    <dataValidation allowBlank="1" showInputMessage="1" showErrorMessage="1" prompt="Las celdas C2 a I2 contienen días de la semana." sqref="C2" xr:uid="{00000000-0002-0000-0300-000003000000}"/>
    <dataValidation allowBlank="1" showInputMessage="1" showErrorMessage="1" prompt="Si esta celda no contiene el número 1, se trata de un día de del mes anterior. Las celdas C3 a I8 contienen fechas para el mes actual" sqref="C3" xr:uid="{00000000-0002-0000-0300-000004000000}"/>
    <dataValidation allowBlank="1" showInputMessage="1" showErrorMessage="1" prompt="Si esta fila contiene un número menor que el número o la fila de números anterior, en ese caso, esta fila contiene fechas para el próximo mes del calendario." sqref="C8" xr:uid="{00000000-0002-0000-0300-000005000000}"/>
    <dataValidation allowBlank="1" showInputMessage="1" showErrorMessage="1" prompt="Escriba la hora en esta fila, de la columna B a la I" sqref="B12" xr:uid="{00000000-0002-0000-0300-000006000000}"/>
    <dataValidation allowBlank="1" showInputMessage="1" showErrorMessage="1" prompt="Escriba la clase en esta fila, de la columna B a la I." sqref="B13" xr:uid="{00000000-0002-0000-03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300-000008000000}"/>
    <dataValidation allowBlank="1" showInputMessage="1" showErrorMessage="1" prompt="Escriba en esta columna los detalles de la tarea correspondientes al día de la semana en la columna J y al día en la columna K del mes calendario de la izquierda." sqref="L1" xr:uid="{00000000-0002-0000-03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300-00000A000000}"/>
    <dataValidation allowBlank="1" showInputMessage="1" showErrorMessage="1" prompt="Los días de la semana se encuentran en esta fila, del lunes al viernes." sqref="B11" xr:uid="{00000000-0002-0000-03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300-00000C000000}"/>
    <dataValidation allowBlank="1" showInputMessage="1" showErrorMessage="1" prompt="El nombre de la clase va en esta fila, empezando en la celda a la derecha" sqref="A13 A15 A17 A19 A21 A23 A25 A27 A29 A31" xr:uid="{4B0B6FA6-A020-4BDF-9B1C-0041ED943239}"/>
    <dataValidation allowBlank="1" showInputMessage="1" showErrorMessage="1" prompt="El tiempo de clase va en esta fila, empezando en la celda hasta la derecha_x000a_" sqref="A12 A14 A16 A18 A20 A22 A24 A26 A28 A30" xr:uid="{2F08939B-E9DB-4A03-9303-DC2BFEB4B0CC}"/>
    <dataValidation allowBlank="1" showInputMessage="1" showErrorMessage="1" prompt="El día de la semana va en esta fila, empezando en la celda B11" sqref="A11" xr:uid="{2540073C-8A61-49E1-B5A1-B606D512E8D8}"/>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xl/worksheets/sheet9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4"/>
    <pageSetUpPr fitToPage="1"/>
  </sheetPr>
  <dimension ref="A1:L31"/>
  <sheetViews>
    <sheetView showGridLines="0"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37" t="s">
        <v>33</v>
      </c>
      <c r="C2" s="6" t="s">
        <v>2</v>
      </c>
      <c r="D2" s="6" t="s">
        <v>10</v>
      </c>
      <c r="E2" s="6" t="s">
        <v>15</v>
      </c>
      <c r="F2" s="6" t="s">
        <v>16</v>
      </c>
      <c r="G2" s="6" t="s">
        <v>17</v>
      </c>
      <c r="H2" s="6" t="s">
        <v>18</v>
      </c>
      <c r="I2" s="6" t="s">
        <v>19</v>
      </c>
      <c r="J2" s="9" t="s">
        <v>2</v>
      </c>
      <c r="K2" s="22"/>
    </row>
    <row r="3" spans="1:12" ht="30" customHeight="1" x14ac:dyDescent="0.25">
      <c r="A3" s="12"/>
      <c r="C3" s="40">
        <f>IF(DAY(SepSun1)=1,SepSun1-6,SepSun1+1)</f>
        <v>45166</v>
      </c>
      <c r="D3" s="40">
        <f>IF(DAY(SepSun1)=1,SepSun1-5,SepSun1+2)</f>
        <v>45167</v>
      </c>
      <c r="E3" s="40">
        <f>IF(DAY(SepSun1)=1,SepSun1-4,SepSun1+3)</f>
        <v>45168</v>
      </c>
      <c r="F3" s="40">
        <f>IF(DAY(SepSun1)=1,SepSun1-3,SepSun1+4)</f>
        <v>45169</v>
      </c>
      <c r="G3" s="40">
        <f>IF(DAY(SepSun1)=1,SepSun1-2,SepSun1+5)</f>
        <v>45170</v>
      </c>
      <c r="H3" s="40">
        <f>IF(DAY(SepSun1)=1,SepSun1-1,SepSun1+6)</f>
        <v>45171</v>
      </c>
      <c r="I3" s="40">
        <f>IF(DAY(SepSun1)=1,SepSun1,SepSun1+7)</f>
        <v>45172</v>
      </c>
      <c r="J3" s="9"/>
      <c r="K3" s="2"/>
    </row>
    <row r="4" spans="1:12" ht="30" customHeight="1" x14ac:dyDescent="0.25">
      <c r="A4" s="12"/>
      <c r="C4" s="40">
        <f>IF(DAY(SepSun1)=1,SepSun1+1,SepSun1+8)</f>
        <v>45173</v>
      </c>
      <c r="D4" s="40">
        <f>IF(DAY(SepSun1)=1,SepSun1+2,SepSun1+9)</f>
        <v>45174</v>
      </c>
      <c r="E4" s="40">
        <f>IF(DAY(SepSun1)=1,SepSun1+3,SepSun1+10)</f>
        <v>45175</v>
      </c>
      <c r="F4" s="40">
        <f>IF(DAY(SepSun1)=1,SepSun1+4,SepSun1+11)</f>
        <v>45176</v>
      </c>
      <c r="G4" s="40">
        <f>IF(DAY(SepSun1)=1,SepSun1+5,SepSun1+12)</f>
        <v>45177</v>
      </c>
      <c r="H4" s="40">
        <f>IF(DAY(SepSun1)=1,SepSun1+6,SepSun1+13)</f>
        <v>45178</v>
      </c>
      <c r="I4" s="40">
        <f>IF(DAY(SepSun1)=1,SepSun1+7,SepSun1+14)</f>
        <v>45179</v>
      </c>
      <c r="J4" s="9"/>
      <c r="K4" s="2"/>
    </row>
    <row r="5" spans="1:12" ht="30" customHeight="1" x14ac:dyDescent="0.25">
      <c r="A5" s="12"/>
      <c r="C5" s="40">
        <f>IF(DAY(SepSun1)=1,SepSun1+8,SepSun1+15)</f>
        <v>45180</v>
      </c>
      <c r="D5" s="40">
        <f>IF(DAY(SepSun1)=1,SepSun1+9,SepSun1+16)</f>
        <v>45181</v>
      </c>
      <c r="E5" s="40">
        <f>IF(DAY(SepSun1)=1,SepSun1+10,SepSun1+17)</f>
        <v>45182</v>
      </c>
      <c r="F5" s="40">
        <f>IF(DAY(SepSun1)=1,SepSun1+11,SepSun1+18)</f>
        <v>45183</v>
      </c>
      <c r="G5" s="40">
        <f>IF(DAY(SepSun1)=1,SepSun1+12,SepSun1+19)</f>
        <v>45184</v>
      </c>
      <c r="H5" s="40">
        <f>IF(DAY(SepSun1)=1,SepSun1+13,SepSun1+20)</f>
        <v>45185</v>
      </c>
      <c r="I5" s="40">
        <f>IF(DAY(SepSun1)=1,SepSun1+14,SepSun1+21)</f>
        <v>45186</v>
      </c>
      <c r="J5" s="9"/>
      <c r="K5" s="2"/>
    </row>
    <row r="6" spans="1:12" ht="30" customHeight="1" x14ac:dyDescent="0.25">
      <c r="A6" s="12"/>
      <c r="C6" s="40">
        <f>IF(DAY(SepSun1)=1,SepSun1+15,SepSun1+22)</f>
        <v>45187</v>
      </c>
      <c r="D6" s="40">
        <f>IF(DAY(SepSun1)=1,SepSun1+16,SepSun1+23)</f>
        <v>45188</v>
      </c>
      <c r="E6" s="40">
        <f>IF(DAY(SepSun1)=1,SepSun1+17,SepSun1+24)</f>
        <v>45189</v>
      </c>
      <c r="F6" s="40">
        <f>IF(DAY(SepSun1)=1,SepSun1+18,SepSun1+25)</f>
        <v>45190</v>
      </c>
      <c r="G6" s="40">
        <f>IF(DAY(SepSun1)=1,SepSun1+19,SepSun1+26)</f>
        <v>45191</v>
      </c>
      <c r="H6" s="40">
        <f>IF(DAY(SepSun1)=1,SepSun1+20,SepSun1+27)</f>
        <v>45192</v>
      </c>
      <c r="I6" s="40">
        <f>IF(DAY(SepSun1)=1,SepSun1+21,SepSun1+28)</f>
        <v>45193</v>
      </c>
      <c r="J6" s="9"/>
      <c r="K6" s="2"/>
    </row>
    <row r="7" spans="1:12" ht="30" customHeight="1" x14ac:dyDescent="0.25">
      <c r="A7" s="12"/>
      <c r="C7" s="40">
        <f>IF(DAY(SepSun1)=1,SepSun1+22,SepSun1+29)</f>
        <v>45194</v>
      </c>
      <c r="D7" s="40">
        <f>IF(DAY(SepSun1)=1,SepSun1+23,SepSun1+30)</f>
        <v>45195</v>
      </c>
      <c r="E7" s="40">
        <f>IF(DAY(SepSun1)=1,SepSun1+24,SepSun1+31)</f>
        <v>45196</v>
      </c>
      <c r="F7" s="40">
        <f>IF(DAY(SepSun1)=1,SepSun1+25,SepSun1+32)</f>
        <v>45197</v>
      </c>
      <c r="G7" s="40">
        <f>IF(DAY(SepSun1)=1,SepSun1+26,SepSun1+33)</f>
        <v>45198</v>
      </c>
      <c r="H7" s="40">
        <f>IF(DAY(SepSun1)=1,SepSun1+27,SepSun1+34)</f>
        <v>45199</v>
      </c>
      <c r="I7" s="40">
        <f>IF(DAY(SepSun1)=1,SepSun1+28,SepSun1+35)</f>
        <v>45200</v>
      </c>
      <c r="J7" s="1"/>
      <c r="K7" s="19"/>
    </row>
    <row r="8" spans="1:12" ht="30" customHeight="1" x14ac:dyDescent="0.25">
      <c r="A8" s="12"/>
      <c r="B8" s="17"/>
      <c r="C8" s="40">
        <f>IF(DAY(SepSun1)=1,SepSun1+29,SepSun1+36)</f>
        <v>45201</v>
      </c>
      <c r="D8" s="40">
        <f>IF(DAY(SepSun1)=1,SepSun1+30,SepSun1+37)</f>
        <v>45202</v>
      </c>
      <c r="E8" s="40">
        <f>IF(DAY(SepSun1)=1,SepSun1+31,SepSun1+38)</f>
        <v>45203</v>
      </c>
      <c r="F8" s="40">
        <f>IF(DAY(SepSun1)=1,SepSun1+32,SepSun1+39)</f>
        <v>45204</v>
      </c>
      <c r="G8" s="40">
        <f>IF(DAY(SepSun1)=1,SepSun1+33,SepSun1+40)</f>
        <v>45205</v>
      </c>
      <c r="H8" s="40">
        <f>IF(DAY(SepSun1)=1,SepSun1+34,SepSun1+41)</f>
        <v>45206</v>
      </c>
      <c r="I8" s="40">
        <f>IF(DAY(SepSun1)=1,SepSun1+35,SepSun1+42)</f>
        <v>45207</v>
      </c>
      <c r="J8" s="9" t="s">
        <v>10</v>
      </c>
      <c r="K8" s="22"/>
    </row>
    <row r="9" spans="1:12" ht="30" customHeight="1" x14ac:dyDescent="0.25">
      <c r="A9" s="12"/>
      <c r="C9" s="4"/>
      <c r="D9" s="4"/>
      <c r="E9" s="4"/>
      <c r="F9" s="4"/>
      <c r="G9" s="4"/>
      <c r="H9" s="4"/>
      <c r="I9" s="4"/>
      <c r="J9" s="9"/>
      <c r="K9" s="2"/>
    </row>
    <row r="10" spans="1:12" ht="30" customHeight="1" x14ac:dyDescent="0.25">
      <c r="A10" s="12"/>
      <c r="B10" s="16" t="s">
        <v>1</v>
      </c>
      <c r="C10" s="8"/>
      <c r="D10" s="8"/>
      <c r="E10" s="8"/>
      <c r="F10" s="8"/>
      <c r="G10" s="8"/>
      <c r="H10" s="8"/>
      <c r="I10" s="8"/>
      <c r="J10" s="9"/>
      <c r="K10" s="2"/>
    </row>
    <row r="11" spans="1:12" ht="30" customHeight="1" x14ac:dyDescent="0.25">
      <c r="A11" s="24"/>
      <c r="B11" s="13" t="s">
        <v>2</v>
      </c>
      <c r="C11" s="48" t="s">
        <v>10</v>
      </c>
      <c r="D11" s="49"/>
      <c r="E11" s="48" t="s">
        <v>15</v>
      </c>
      <c r="F11" s="49"/>
      <c r="G11" s="48" t="s">
        <v>16</v>
      </c>
      <c r="H11" s="49"/>
      <c r="I11" s="3" t="s">
        <v>17</v>
      </c>
      <c r="J11" s="9"/>
      <c r="K11" s="2"/>
    </row>
    <row r="12" spans="1:12" ht="30" customHeight="1" x14ac:dyDescent="0.25">
      <c r="A12" s="24"/>
      <c r="B12" s="44" t="s">
        <v>3</v>
      </c>
      <c r="C12" s="50"/>
      <c r="D12" s="50"/>
      <c r="E12" s="50" t="s">
        <v>3</v>
      </c>
      <c r="F12" s="50"/>
      <c r="G12" s="50"/>
      <c r="H12" s="50"/>
      <c r="I12" s="46" t="s">
        <v>3</v>
      </c>
      <c r="J12" s="9"/>
      <c r="K12" s="2"/>
    </row>
    <row r="13" spans="1:12" ht="30" customHeight="1" x14ac:dyDescent="0.25">
      <c r="A13" s="24"/>
      <c r="B13" s="25" t="s">
        <v>4</v>
      </c>
      <c r="C13" s="51"/>
      <c r="D13" s="51"/>
      <c r="E13" s="51" t="s">
        <v>4</v>
      </c>
      <c r="F13" s="51"/>
      <c r="G13" s="51"/>
      <c r="H13" s="51"/>
      <c r="I13" s="30" t="s">
        <v>4</v>
      </c>
      <c r="J13" s="1"/>
      <c r="K13" s="19"/>
      <c r="L13" s="18"/>
    </row>
    <row r="14" spans="1:12" ht="30" customHeight="1" x14ac:dyDescent="0.25">
      <c r="A14" s="24"/>
      <c r="B14" s="44"/>
      <c r="C14" s="50" t="s">
        <v>11</v>
      </c>
      <c r="D14" s="50"/>
      <c r="E14" s="50"/>
      <c r="F14" s="50"/>
      <c r="G14" s="50" t="s">
        <v>11</v>
      </c>
      <c r="H14" s="50"/>
      <c r="I14" s="46"/>
      <c r="J14" s="9" t="s">
        <v>15</v>
      </c>
      <c r="K14" s="22"/>
    </row>
    <row r="15" spans="1:12" ht="30" customHeight="1" x14ac:dyDescent="0.25">
      <c r="A15" s="24"/>
      <c r="B15" s="25"/>
      <c r="C15" s="51" t="s">
        <v>12</v>
      </c>
      <c r="D15" s="51"/>
      <c r="E15" s="51"/>
      <c r="F15" s="51"/>
      <c r="G15" s="51" t="s">
        <v>12</v>
      </c>
      <c r="H15" s="51"/>
      <c r="I15" s="30"/>
      <c r="J15" s="9"/>
      <c r="K15" s="2"/>
    </row>
    <row r="16" spans="1:12" ht="30" customHeight="1" x14ac:dyDescent="0.25">
      <c r="A16" s="24"/>
      <c r="B16" s="44" t="s">
        <v>5</v>
      </c>
      <c r="C16" s="50"/>
      <c r="D16" s="50"/>
      <c r="E16" s="50" t="s">
        <v>5</v>
      </c>
      <c r="F16" s="50"/>
      <c r="G16" s="50"/>
      <c r="H16" s="50"/>
      <c r="I16" s="47" t="s">
        <v>5</v>
      </c>
      <c r="J16" s="9"/>
      <c r="K16" s="2"/>
    </row>
    <row r="17" spans="1:12" ht="30" customHeight="1" x14ac:dyDescent="0.25">
      <c r="A17" s="24"/>
      <c r="B17" s="25" t="s">
        <v>6</v>
      </c>
      <c r="C17" s="51"/>
      <c r="D17" s="51"/>
      <c r="E17" s="51" t="s">
        <v>6</v>
      </c>
      <c r="F17" s="51"/>
      <c r="G17" s="51"/>
      <c r="H17" s="51"/>
      <c r="I17" s="30" t="s">
        <v>6</v>
      </c>
      <c r="J17" s="9"/>
      <c r="K17" s="2"/>
    </row>
    <row r="18" spans="1:12" ht="30" customHeight="1" x14ac:dyDescent="0.25">
      <c r="A18" s="24"/>
      <c r="B18" s="44"/>
      <c r="C18" s="50"/>
      <c r="D18" s="50"/>
      <c r="E18" s="50"/>
      <c r="F18" s="50"/>
      <c r="G18" s="50"/>
      <c r="H18" s="50"/>
      <c r="I18" s="46"/>
      <c r="J18" s="9"/>
      <c r="K18" s="2"/>
    </row>
    <row r="19" spans="1:12" ht="30" customHeight="1" x14ac:dyDescent="0.25">
      <c r="A19" s="24"/>
      <c r="B19" s="25"/>
      <c r="C19" s="51"/>
      <c r="D19" s="51"/>
      <c r="E19" s="51"/>
      <c r="F19" s="51"/>
      <c r="G19" s="51"/>
      <c r="H19" s="51"/>
      <c r="I19" s="31"/>
      <c r="J19" s="1"/>
      <c r="K19" s="19"/>
      <c r="L19" s="23"/>
    </row>
    <row r="20" spans="1:12" ht="30" customHeight="1" x14ac:dyDescent="0.25">
      <c r="A20" s="24"/>
      <c r="B20" s="44"/>
      <c r="C20" s="50"/>
      <c r="D20" s="50"/>
      <c r="E20" s="50"/>
      <c r="F20" s="50"/>
      <c r="G20" s="50"/>
      <c r="H20" s="50"/>
      <c r="I20" s="46"/>
      <c r="J20" s="9" t="s">
        <v>16</v>
      </c>
      <c r="K20" s="22"/>
    </row>
    <row r="21" spans="1:12" ht="30" customHeight="1" x14ac:dyDescent="0.25">
      <c r="A21" s="24"/>
      <c r="B21" s="25"/>
      <c r="C21" s="51"/>
      <c r="D21" s="51"/>
      <c r="E21" s="51"/>
      <c r="F21" s="51"/>
      <c r="G21" s="51"/>
      <c r="H21" s="51"/>
      <c r="I21" s="30"/>
      <c r="J21" s="9"/>
      <c r="K21" s="2"/>
    </row>
    <row r="22" spans="1:12" ht="30" customHeight="1" x14ac:dyDescent="0.25">
      <c r="A22" s="24"/>
      <c r="B22" s="44"/>
      <c r="C22" s="50"/>
      <c r="D22" s="50"/>
      <c r="E22" s="50"/>
      <c r="F22" s="50"/>
      <c r="G22" s="50"/>
      <c r="H22" s="50"/>
      <c r="I22" s="46"/>
      <c r="J22" s="9"/>
      <c r="K22" s="2"/>
    </row>
    <row r="23" spans="1:12" ht="30" customHeight="1" x14ac:dyDescent="0.25">
      <c r="A23" s="24"/>
      <c r="B23" s="25"/>
      <c r="C23" s="51"/>
      <c r="D23" s="51"/>
      <c r="E23" s="51"/>
      <c r="F23" s="51"/>
      <c r="G23" s="51"/>
      <c r="H23" s="51"/>
      <c r="I23" s="30"/>
      <c r="J23" s="9"/>
      <c r="K23" s="2"/>
    </row>
    <row r="24" spans="1:12" ht="30" customHeight="1" x14ac:dyDescent="0.25">
      <c r="A24" s="24"/>
      <c r="B24" s="44" t="s">
        <v>7</v>
      </c>
      <c r="C24" s="50"/>
      <c r="D24" s="50"/>
      <c r="E24" s="50" t="s">
        <v>7</v>
      </c>
      <c r="F24" s="50"/>
      <c r="G24" s="50"/>
      <c r="H24" s="50"/>
      <c r="I24" s="46" t="s">
        <v>7</v>
      </c>
      <c r="J24" s="9"/>
      <c r="K24" s="2"/>
    </row>
    <row r="25" spans="1:12" ht="30" customHeight="1" x14ac:dyDescent="0.25">
      <c r="A25" s="24"/>
      <c r="B25" s="25" t="s">
        <v>8</v>
      </c>
      <c r="C25" s="51"/>
      <c r="D25" s="51"/>
      <c r="E25" s="51" t="s">
        <v>8</v>
      </c>
      <c r="F25" s="51"/>
      <c r="G25" s="51"/>
      <c r="H25" s="51"/>
      <c r="I25" s="30" t="s">
        <v>8</v>
      </c>
      <c r="J25" s="1"/>
      <c r="K25" s="19"/>
      <c r="L25" s="23"/>
    </row>
    <row r="26" spans="1:12" ht="30" customHeight="1" x14ac:dyDescent="0.25">
      <c r="A26" s="24"/>
      <c r="B26" s="44"/>
      <c r="C26" s="50"/>
      <c r="D26" s="50"/>
      <c r="E26" s="50"/>
      <c r="F26" s="50"/>
      <c r="G26" s="50"/>
      <c r="H26" s="50"/>
      <c r="I26" s="46"/>
      <c r="J26" s="9" t="s">
        <v>17</v>
      </c>
      <c r="K26" s="22"/>
    </row>
    <row r="27" spans="1:12" ht="30" customHeight="1" x14ac:dyDescent="0.25">
      <c r="A27" s="24"/>
      <c r="B27" s="25"/>
      <c r="C27" s="51"/>
      <c r="D27" s="51"/>
      <c r="E27" s="51"/>
      <c r="F27" s="51"/>
      <c r="G27" s="51"/>
      <c r="H27" s="51"/>
      <c r="I27" s="30"/>
      <c r="J27" s="9"/>
      <c r="K27" s="2"/>
    </row>
    <row r="28" spans="1:12" ht="30" customHeight="1" x14ac:dyDescent="0.25">
      <c r="A28" s="24"/>
      <c r="B28" s="44"/>
      <c r="C28" s="50" t="s">
        <v>13</v>
      </c>
      <c r="D28" s="50"/>
      <c r="E28" s="50"/>
      <c r="F28" s="50"/>
      <c r="G28" s="50" t="s">
        <v>13</v>
      </c>
      <c r="H28" s="50"/>
      <c r="I28" s="46"/>
      <c r="J28" s="9"/>
      <c r="K28" s="2"/>
    </row>
    <row r="29" spans="1:12" ht="30" customHeight="1" x14ac:dyDescent="0.25">
      <c r="A29" s="24"/>
      <c r="B29" s="25"/>
      <c r="C29" s="51" t="s">
        <v>14</v>
      </c>
      <c r="D29" s="51"/>
      <c r="E29" s="51"/>
      <c r="F29" s="51"/>
      <c r="G29" s="51" t="s">
        <v>14</v>
      </c>
      <c r="H29" s="51"/>
      <c r="I29" s="30"/>
      <c r="J29" s="9"/>
      <c r="K29" s="2"/>
    </row>
    <row r="30" spans="1:12" ht="30" customHeight="1" x14ac:dyDescent="0.25">
      <c r="A30" s="24"/>
      <c r="B30" s="44"/>
      <c r="C30" s="50"/>
      <c r="D30" s="50"/>
      <c r="E30" s="50"/>
      <c r="F30" s="50"/>
      <c r="G30" s="50"/>
      <c r="H30" s="50"/>
      <c r="I30" s="46"/>
      <c r="J30" s="9"/>
      <c r="K30" s="2"/>
    </row>
    <row r="31" spans="1:12" ht="30" customHeight="1" x14ac:dyDescent="0.25">
      <c r="A31" s="24"/>
      <c r="B31" s="33"/>
      <c r="C31" s="55"/>
      <c r="D31" s="55"/>
      <c r="E31" s="55"/>
      <c r="F31" s="55"/>
      <c r="G31" s="55"/>
      <c r="H31" s="55"/>
      <c r="I31" s="34"/>
      <c r="J31" s="9"/>
      <c r="K31" s="19"/>
    </row>
  </sheetData>
  <mergeCells count="63">
    <mergeCell ref="C31:D31"/>
    <mergeCell ref="E31:F31"/>
    <mergeCell ref="G31:H31"/>
    <mergeCell ref="C29:D29"/>
    <mergeCell ref="E29:F29"/>
    <mergeCell ref="G29:H29"/>
    <mergeCell ref="C30:D30"/>
    <mergeCell ref="E30:F30"/>
    <mergeCell ref="G30:H30"/>
    <mergeCell ref="C27:D27"/>
    <mergeCell ref="E27:F27"/>
    <mergeCell ref="G27:H27"/>
    <mergeCell ref="C28:D28"/>
    <mergeCell ref="E28:F28"/>
    <mergeCell ref="G28:H28"/>
    <mergeCell ref="C25:D25"/>
    <mergeCell ref="E25:F25"/>
    <mergeCell ref="G25:H25"/>
    <mergeCell ref="C26:D26"/>
    <mergeCell ref="E26:F26"/>
    <mergeCell ref="G26:H26"/>
    <mergeCell ref="C23:D23"/>
    <mergeCell ref="E23:F23"/>
    <mergeCell ref="G23:H23"/>
    <mergeCell ref="C24:D24"/>
    <mergeCell ref="E24:F24"/>
    <mergeCell ref="G24:H24"/>
    <mergeCell ref="C21:D21"/>
    <mergeCell ref="E21:F21"/>
    <mergeCell ref="G21:H21"/>
    <mergeCell ref="C22:D22"/>
    <mergeCell ref="E22:F22"/>
    <mergeCell ref="G22:H22"/>
    <mergeCell ref="C19:D19"/>
    <mergeCell ref="E19:F19"/>
    <mergeCell ref="G19:H19"/>
    <mergeCell ref="C20:D20"/>
    <mergeCell ref="E20:F20"/>
    <mergeCell ref="G20:H20"/>
    <mergeCell ref="C17:D17"/>
    <mergeCell ref="E17:F17"/>
    <mergeCell ref="G17:H17"/>
    <mergeCell ref="C18:D18"/>
    <mergeCell ref="E18:F18"/>
    <mergeCell ref="G18:H18"/>
    <mergeCell ref="C15:D15"/>
    <mergeCell ref="E15:F15"/>
    <mergeCell ref="G15:H15"/>
    <mergeCell ref="C16:D16"/>
    <mergeCell ref="E16:F16"/>
    <mergeCell ref="G16:H16"/>
    <mergeCell ref="C13:D13"/>
    <mergeCell ref="E13:F13"/>
    <mergeCell ref="G13:H13"/>
    <mergeCell ref="C14:D14"/>
    <mergeCell ref="E14:F14"/>
    <mergeCell ref="G14:H14"/>
    <mergeCell ref="C11:D11"/>
    <mergeCell ref="E11:F11"/>
    <mergeCell ref="G11:H11"/>
    <mergeCell ref="C12:D12"/>
    <mergeCell ref="E12:F12"/>
    <mergeCell ref="G12:H12"/>
  </mergeCells>
  <conditionalFormatting sqref="B12:I12 B14:I14 B16:I16 B18:I18 B20:I20 B22:I22 B24:I24 B26:I26 B28:I28 B30:I30">
    <cfRule type="expression" dxfId="29" priority="3">
      <formula>B12&lt;&gt;""</formula>
    </cfRule>
  </conditionalFormatting>
  <conditionalFormatting sqref="B12:I31">
    <cfRule type="expression" dxfId="28" priority="1">
      <formula>COLUMN(B12)&gt;2</formula>
    </cfRule>
  </conditionalFormatting>
  <conditionalFormatting sqref="B13:I13 B15:I15 B17:I17 B19:I19 B21:I21 B23:I23 B25:I25 B27:I27 B29:I29 B31:I31">
    <cfRule type="expression" dxfId="27" priority="4">
      <formula>B13&lt;&gt;""</formula>
    </cfRule>
  </conditionalFormatting>
  <conditionalFormatting sqref="B13:I13 B15:I15 B17:I17 B19:I19 B21:I21 B23:I23 B25:I25 B27:I27 B29:I29">
    <cfRule type="expression" dxfId="26" priority="2">
      <formula>COLUMN(B13)&gt;=2</formula>
    </cfRule>
  </conditionalFormatting>
  <conditionalFormatting sqref="C3:H3">
    <cfRule type="expression" dxfId="25" priority="6" stopIfTrue="1">
      <formula>DAY(C3)&gt;8</formula>
    </cfRule>
  </conditionalFormatting>
  <conditionalFormatting sqref="C3:I8">
    <cfRule type="expression" dxfId="24" priority="7">
      <formula>VLOOKUP(DAY(C3),AssignmentDays,1,FALSE)=DAY(C3)</formula>
    </cfRule>
  </conditionalFormatting>
  <conditionalFormatting sqref="C7:I8">
    <cfRule type="expression" dxfId="23" priority="5" stopIfTrue="1">
      <formula>AND(DAY(C7)&gt;=1,DAY(C7)&lt;=15)</formula>
    </cfRule>
  </conditionalFormatting>
  <dataValidations count="16">
    <dataValidation allowBlank="1" showInputMessage="1" showErrorMessage="1" prompt="Escriba la clase en esta fila, de la columna B a la I." sqref="B13" xr:uid="{00000000-0002-0000-0800-000000000000}"/>
    <dataValidation allowBlank="1" showInputMessage="1" showErrorMessage="1" prompt="Escriba la hora en esta fila, de la columna B a la I" sqref="B12" xr:uid="{00000000-0002-0000-0800-000001000000}"/>
    <dataValidation allowBlank="1" showInputMessage="1" showErrorMessage="1" prompt="Si esta fila contiene un número menor que el número o la fila de números anterior, en ese caso, esta fila contiene fechas para el próximo mes del calendario." sqref="C8" xr:uid="{00000000-0002-0000-0800-000002000000}"/>
    <dataValidation allowBlank="1" showInputMessage="1" showErrorMessage="1" prompt="Si esta celda no contiene el número 1, se trata de un día de del mes anterior. Las celdas C3 a I8 contienen fechas para el mes actual" sqref="C3" xr:uid="{00000000-0002-0000-0800-000003000000}"/>
    <dataValidation allowBlank="1" showInputMessage="1" showErrorMessage="1" prompt="Las celdas C2 a I2 contienen días de la semana." sqref="C2" xr:uid="{00000000-0002-0000-0800-000004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800-000005000000}"/>
    <dataValidation allowBlank="1" showInputMessage="1" showErrorMessage="1" prompt="Se actualiza automáticamente el año natural. Para cambiar el año, actualice la celda B1 en la hoja de cálculo ene" sqref="B1" xr:uid="{00000000-0002-0000-0800-000006000000}"/>
    <dataValidation allowBlank="1" showInputMessage="1" showErrorMessage="1" prompt="El calendario de septiembre resalta automáticamente las entradas de la lista de tareas para el mes. Las fuentes más oscuras indican tareas. Las fuentes más claras indican días que pertenecen al mes anterior o al mes siguiente" sqref="B2" xr:uid="{00000000-0002-0000-08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800-000008000000}"/>
    <dataValidation allowBlank="1" showInputMessage="1" showErrorMessage="1" prompt="Escriba en esta columna los detalles de la tarea correspondientes al día de la semana en la columna J y al día en la columna K del mes calendario de la izquierda." sqref="L1" xr:uid="{00000000-0002-0000-08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800-00000A000000}"/>
    <dataValidation allowBlank="1" showInputMessage="1" showErrorMessage="1" prompt="Los días de la semana se encuentran en esta fila, del lunes al viernes." sqref="B11" xr:uid="{00000000-0002-0000-08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800-00000C000000}"/>
    <dataValidation allowBlank="1" showInputMessage="1" showErrorMessage="1" prompt="El nombre de la clase va en esta fila, empezando en la celda a la derecha" sqref="A13 A15 A17 A19 A21 A23 A25 A27 A29 A31" xr:uid="{E8F95D67-244A-44F5-A7C7-5CEFF0187024}"/>
    <dataValidation allowBlank="1" showInputMessage="1" showErrorMessage="1" prompt="El tiempo de clase va en esta fila, empezando en la celda hasta la derecha_x000a_" sqref="A12 A14 A16 A18 A20 A22 A24 A26 A28 A30" xr:uid="{65E086FF-5098-4375-BC3F-C5146B03E93E}"/>
    <dataValidation allowBlank="1" showInputMessage="1" showErrorMessage="1" prompt="El día de la semana va en esta fila, empezando en la celda B11" sqref="A11" xr:uid="{7DA4EAB2-0BEA-4CB1-8007-CAB0F10D0BF0}"/>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xl/worksheets/sheet10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4"/>
    <pageSetUpPr fitToPage="1"/>
  </sheetPr>
  <dimension ref="A1:L31"/>
  <sheetViews>
    <sheetView showGridLines="0" zoomScaleNormal="100" zoomScalePageLayoutView="84" workbookViewId="0"/>
  </sheetViews>
  <sheetFormatPr baseColWidth="10" defaultColWidth="8.625" defaultRowHeight="30" customHeight="1" x14ac:dyDescent="0.2"/>
  <cols>
    <col min="1" max="1" width="2.625" customWidth="1"/>
    <col min="2" max="2" width="20.625" customWidth="1"/>
    <col min="3" max="8" width="10.625" customWidth="1"/>
    <col min="9" max="9" width="20.625" customWidth="1"/>
    <col min="10" max="11" width="10.625" customWidth="1"/>
    <col min="12" max="12" width="70.625" customWidth="1"/>
    <col min="13" max="13" width="2.625" customWidth="1"/>
  </cols>
  <sheetData>
    <row r="1" spans="1:12" ht="30" customHeight="1" x14ac:dyDescent="0.2">
      <c r="B1" s="11">
        <f>AñoCalendario</f>
        <v>2023</v>
      </c>
      <c r="J1" s="20" t="s">
        <v>20</v>
      </c>
      <c r="K1" s="20" t="s">
        <v>22</v>
      </c>
      <c r="L1" s="10" t="s">
        <v>23</v>
      </c>
    </row>
    <row r="2" spans="1:12" ht="30" customHeight="1" x14ac:dyDescent="0.25">
      <c r="A2" s="12"/>
      <c r="B2" s="37" t="s">
        <v>34</v>
      </c>
      <c r="C2" s="6" t="s">
        <v>2</v>
      </c>
      <c r="D2" s="6" t="s">
        <v>10</v>
      </c>
      <c r="E2" s="6" t="s">
        <v>15</v>
      </c>
      <c r="F2" s="6" t="s">
        <v>16</v>
      </c>
      <c r="G2" s="6" t="s">
        <v>17</v>
      </c>
      <c r="H2" s="6" t="s">
        <v>18</v>
      </c>
      <c r="I2" s="6" t="s">
        <v>19</v>
      </c>
      <c r="J2" s="9" t="s">
        <v>2</v>
      </c>
      <c r="K2" s="22"/>
    </row>
    <row r="3" spans="1:12" ht="30" customHeight="1" x14ac:dyDescent="0.25">
      <c r="A3" s="12"/>
      <c r="C3" s="40">
        <f>IF(DAY(OctSun1)=1,OctSun1-6,OctSun1+1)</f>
        <v>45194</v>
      </c>
      <c r="D3" s="40">
        <f>IF(DAY(OctSun1)=1,OctSun1-5,OctSun1+2)</f>
        <v>45195</v>
      </c>
      <c r="E3" s="40">
        <f>IF(DAY(OctSun1)=1,OctSun1-4,OctSun1+3)</f>
        <v>45196</v>
      </c>
      <c r="F3" s="40">
        <f>IF(DAY(OctSun1)=1,OctSun1-3,OctSun1+4)</f>
        <v>45197</v>
      </c>
      <c r="G3" s="40">
        <f>IF(DAY(OctSun1)=1,OctSun1-2,OctSun1+5)</f>
        <v>45198</v>
      </c>
      <c r="H3" s="40">
        <f>IF(DAY(OctSun1)=1,OctSun1-1,OctSun1+6)</f>
        <v>45199</v>
      </c>
      <c r="I3" s="40">
        <f>IF(DAY(OctSun1)=1,OctSun1,OctSun1+7)</f>
        <v>45200</v>
      </c>
      <c r="J3" s="9"/>
      <c r="K3" s="2"/>
    </row>
    <row r="4" spans="1:12" ht="30" customHeight="1" x14ac:dyDescent="0.25">
      <c r="A4" s="12"/>
      <c r="C4" s="40">
        <f>IF(DAY(OctSun1)=1,OctSun1+1,OctSun1+8)</f>
        <v>45201</v>
      </c>
      <c r="D4" s="40">
        <f>IF(DAY(OctSun1)=1,OctSun1+2,OctSun1+9)</f>
        <v>45202</v>
      </c>
      <c r="E4" s="40">
        <f>IF(DAY(OctSun1)=1,OctSun1+3,OctSun1+10)</f>
        <v>45203</v>
      </c>
      <c r="F4" s="40">
        <f>IF(DAY(OctSun1)=1,OctSun1+4,OctSun1+11)</f>
        <v>45204</v>
      </c>
      <c r="G4" s="40">
        <f>IF(DAY(OctSun1)=1,OctSun1+5,OctSun1+12)</f>
        <v>45205</v>
      </c>
      <c r="H4" s="40">
        <f>IF(DAY(OctSun1)=1,OctSun1+6,OctSun1+13)</f>
        <v>45206</v>
      </c>
      <c r="I4" s="40">
        <f>IF(DAY(OctSun1)=1,OctSun1+7,OctSun1+14)</f>
        <v>45207</v>
      </c>
      <c r="J4" s="9"/>
      <c r="K4" s="2"/>
    </row>
    <row r="5" spans="1:12" ht="30" customHeight="1" x14ac:dyDescent="0.25">
      <c r="A5" s="12"/>
      <c r="C5" s="40">
        <f>IF(DAY(OctSun1)=1,OctSun1+8,OctSun1+15)</f>
        <v>45208</v>
      </c>
      <c r="D5" s="40">
        <f>IF(DAY(OctSun1)=1,OctSun1+9,OctSun1+16)</f>
        <v>45209</v>
      </c>
      <c r="E5" s="40">
        <f>IF(DAY(OctSun1)=1,OctSun1+10,OctSun1+17)</f>
        <v>45210</v>
      </c>
      <c r="F5" s="40">
        <f>IF(DAY(OctSun1)=1,OctSun1+11,OctSun1+18)</f>
        <v>45211</v>
      </c>
      <c r="G5" s="40">
        <f>IF(DAY(OctSun1)=1,OctSun1+12,OctSun1+19)</f>
        <v>45212</v>
      </c>
      <c r="H5" s="40">
        <f>IF(DAY(OctSun1)=1,OctSun1+13,OctSun1+20)</f>
        <v>45213</v>
      </c>
      <c r="I5" s="40">
        <f>IF(DAY(OctSun1)=1,OctSun1+14,OctSun1+21)</f>
        <v>45214</v>
      </c>
      <c r="J5" s="9"/>
      <c r="K5" s="2"/>
    </row>
    <row r="6" spans="1:12" ht="30" customHeight="1" x14ac:dyDescent="0.25">
      <c r="A6" s="12"/>
      <c r="C6" s="40">
        <f>IF(DAY(OctSun1)=1,OctSun1+15,OctSun1+22)</f>
        <v>45215</v>
      </c>
      <c r="D6" s="40">
        <f>IF(DAY(OctSun1)=1,OctSun1+16,OctSun1+23)</f>
        <v>45216</v>
      </c>
      <c r="E6" s="40">
        <f>IF(DAY(OctSun1)=1,OctSun1+17,OctSun1+24)</f>
        <v>45217</v>
      </c>
      <c r="F6" s="40">
        <f>IF(DAY(OctSun1)=1,OctSun1+18,OctSun1+25)</f>
        <v>45218</v>
      </c>
      <c r="G6" s="40">
        <f>IF(DAY(OctSun1)=1,OctSun1+19,OctSun1+26)</f>
        <v>45219</v>
      </c>
      <c r="H6" s="40">
        <f>IF(DAY(OctSun1)=1,OctSun1+20,OctSun1+27)</f>
        <v>45220</v>
      </c>
      <c r="I6" s="40">
        <f>IF(DAY(OctSun1)=1,OctSun1+21,OctSun1+28)</f>
        <v>45221</v>
      </c>
      <c r="J6" s="9"/>
      <c r="K6" s="2"/>
    </row>
    <row r="7" spans="1:12" ht="30" customHeight="1" x14ac:dyDescent="0.25">
      <c r="A7" s="12"/>
      <c r="C7" s="40">
        <f>IF(DAY(OctSun1)=1,OctSun1+22,OctSun1+29)</f>
        <v>45222</v>
      </c>
      <c r="D7" s="40">
        <f>IF(DAY(OctSun1)=1,OctSun1+23,OctSun1+30)</f>
        <v>45223</v>
      </c>
      <c r="E7" s="40">
        <f>IF(DAY(OctSun1)=1,OctSun1+24,OctSun1+31)</f>
        <v>45224</v>
      </c>
      <c r="F7" s="40">
        <f>IF(DAY(OctSun1)=1,OctSun1+25,OctSun1+32)</f>
        <v>45225</v>
      </c>
      <c r="G7" s="40">
        <f>IF(DAY(OctSun1)=1,OctSun1+26,OctSun1+33)</f>
        <v>45226</v>
      </c>
      <c r="H7" s="40">
        <f>IF(DAY(OctSun1)=1,OctSun1+27,OctSun1+34)</f>
        <v>45227</v>
      </c>
      <c r="I7" s="40">
        <f>IF(DAY(OctSun1)=1,OctSun1+28,OctSun1+35)</f>
        <v>45228</v>
      </c>
      <c r="J7" s="1"/>
      <c r="K7" s="19"/>
    </row>
    <row r="8" spans="1:12" ht="30" customHeight="1" x14ac:dyDescent="0.25">
      <c r="A8" s="12"/>
      <c r="B8" s="17"/>
      <c r="C8" s="40">
        <f>IF(DAY(OctSun1)=1,OctSun1+29,OctSun1+36)</f>
        <v>45229</v>
      </c>
      <c r="D8" s="40">
        <f>IF(DAY(OctSun1)=1,OctSun1+30,OctSun1+37)</f>
        <v>45230</v>
      </c>
      <c r="E8" s="40">
        <f>IF(DAY(OctSun1)=1,OctSun1+31,OctSun1+38)</f>
        <v>45231</v>
      </c>
      <c r="F8" s="40">
        <f>IF(DAY(OctSun1)=1,OctSun1+32,OctSun1+39)</f>
        <v>45232</v>
      </c>
      <c r="G8" s="40">
        <f>IF(DAY(OctSun1)=1,OctSun1+33,OctSun1+40)</f>
        <v>45233</v>
      </c>
      <c r="H8" s="40">
        <f>IF(DAY(OctSun1)=1,OctSun1+34,OctSun1+41)</f>
        <v>45234</v>
      </c>
      <c r="I8" s="40">
        <f>IF(DAY(OctSun1)=1,OctSun1+35,OctSun1+42)</f>
        <v>45235</v>
      </c>
      <c r="J8" s="9" t="s">
        <v>10</v>
      </c>
      <c r="K8" s="22"/>
    </row>
    <row r="9" spans="1:12" ht="30" customHeight="1" x14ac:dyDescent="0.25">
      <c r="A9" s="12"/>
      <c r="C9" s="4"/>
      <c r="D9" s="4"/>
      <c r="E9" s="4"/>
      <c r="F9" s="4"/>
      <c r="G9" s="4"/>
      <c r="H9" s="4"/>
      <c r="I9" s="4"/>
      <c r="J9" s="9"/>
      <c r="K9" s="2"/>
    </row>
    <row r="10" spans="1:12" ht="30" customHeight="1" x14ac:dyDescent="0.25">
      <c r="A10" s="12"/>
      <c r="B10" s="16" t="s">
        <v>1</v>
      </c>
      <c r="C10" s="8"/>
      <c r="D10" s="8"/>
      <c r="E10" s="8"/>
      <c r="F10" s="8"/>
      <c r="G10" s="8"/>
      <c r="H10" s="8"/>
      <c r="I10" s="8"/>
      <c r="J10" s="9"/>
      <c r="K10" s="2"/>
    </row>
    <row r="11" spans="1:12" ht="30" customHeight="1" x14ac:dyDescent="0.25">
      <c r="A11" s="24"/>
      <c r="B11" s="13" t="s">
        <v>2</v>
      </c>
      <c r="C11" s="48" t="s">
        <v>10</v>
      </c>
      <c r="D11" s="49"/>
      <c r="E11" s="48" t="s">
        <v>15</v>
      </c>
      <c r="F11" s="49"/>
      <c r="G11" s="48" t="s">
        <v>16</v>
      </c>
      <c r="H11" s="49"/>
      <c r="I11" s="3" t="s">
        <v>17</v>
      </c>
      <c r="J11" s="9"/>
      <c r="K11" s="2"/>
    </row>
    <row r="12" spans="1:12" ht="30" customHeight="1" x14ac:dyDescent="0.25">
      <c r="A12" s="24"/>
      <c r="B12" s="44" t="s">
        <v>3</v>
      </c>
      <c r="C12" s="53"/>
      <c r="D12" s="53"/>
      <c r="E12" s="53" t="s">
        <v>3</v>
      </c>
      <c r="F12" s="53"/>
      <c r="G12" s="53"/>
      <c r="H12" s="53"/>
      <c r="I12" s="46" t="s">
        <v>3</v>
      </c>
      <c r="J12" s="9"/>
      <c r="K12" s="2"/>
    </row>
    <row r="13" spans="1:12" ht="30" customHeight="1" x14ac:dyDescent="0.25">
      <c r="A13" s="24"/>
      <c r="B13" s="25" t="s">
        <v>4</v>
      </c>
      <c r="C13" s="51"/>
      <c r="D13" s="51"/>
      <c r="E13" s="51" t="s">
        <v>4</v>
      </c>
      <c r="F13" s="51"/>
      <c r="G13" s="51"/>
      <c r="H13" s="51"/>
      <c r="I13" s="30" t="s">
        <v>4</v>
      </c>
      <c r="J13" s="1"/>
      <c r="K13" s="19"/>
      <c r="L13" s="18"/>
    </row>
    <row r="14" spans="1:12" ht="30" customHeight="1" x14ac:dyDescent="0.25">
      <c r="A14" s="24"/>
      <c r="B14" s="44"/>
      <c r="C14" s="53" t="s">
        <v>11</v>
      </c>
      <c r="D14" s="53"/>
      <c r="E14" s="53"/>
      <c r="F14" s="53"/>
      <c r="G14" s="53" t="s">
        <v>11</v>
      </c>
      <c r="H14" s="53"/>
      <c r="I14" s="46"/>
      <c r="J14" s="9" t="s">
        <v>15</v>
      </c>
      <c r="K14" s="22"/>
    </row>
    <row r="15" spans="1:12" ht="30" customHeight="1" x14ac:dyDescent="0.25">
      <c r="A15" s="24"/>
      <c r="B15" s="25"/>
      <c r="C15" s="51" t="s">
        <v>12</v>
      </c>
      <c r="D15" s="51"/>
      <c r="E15" s="51"/>
      <c r="F15" s="51"/>
      <c r="G15" s="51" t="s">
        <v>12</v>
      </c>
      <c r="H15" s="51"/>
      <c r="I15" s="30"/>
      <c r="J15" s="9"/>
      <c r="K15" s="2"/>
    </row>
    <row r="16" spans="1:12" ht="30" customHeight="1" x14ac:dyDescent="0.25">
      <c r="A16" s="24"/>
      <c r="B16" s="44" t="s">
        <v>5</v>
      </c>
      <c r="C16" s="53"/>
      <c r="D16" s="53"/>
      <c r="E16" s="53" t="s">
        <v>5</v>
      </c>
      <c r="F16" s="53"/>
      <c r="G16" s="53"/>
      <c r="H16" s="53"/>
      <c r="I16" s="47" t="s">
        <v>5</v>
      </c>
      <c r="J16" s="9"/>
      <c r="K16" s="2"/>
    </row>
    <row r="17" spans="1:12" ht="30" customHeight="1" x14ac:dyDescent="0.25">
      <c r="A17" s="24"/>
      <c r="B17" s="25" t="s">
        <v>6</v>
      </c>
      <c r="C17" s="51"/>
      <c r="D17" s="51"/>
      <c r="E17" s="51" t="s">
        <v>6</v>
      </c>
      <c r="F17" s="51"/>
      <c r="G17" s="51"/>
      <c r="H17" s="51"/>
      <c r="I17" s="30" t="s">
        <v>6</v>
      </c>
      <c r="J17" s="9"/>
      <c r="K17" s="2"/>
    </row>
    <row r="18" spans="1:12" ht="30" customHeight="1" x14ac:dyDescent="0.25">
      <c r="A18" s="24"/>
      <c r="B18" s="44"/>
      <c r="C18" s="53"/>
      <c r="D18" s="53"/>
      <c r="E18" s="53"/>
      <c r="F18" s="53"/>
      <c r="G18" s="53"/>
      <c r="H18" s="53"/>
      <c r="I18" s="46"/>
      <c r="J18" s="9"/>
      <c r="K18" s="2"/>
    </row>
    <row r="19" spans="1:12" ht="30" customHeight="1" x14ac:dyDescent="0.25">
      <c r="A19" s="24"/>
      <c r="B19" s="25"/>
      <c r="C19" s="51"/>
      <c r="D19" s="51"/>
      <c r="E19" s="51"/>
      <c r="F19" s="51"/>
      <c r="G19" s="51"/>
      <c r="H19" s="51"/>
      <c r="I19" s="31"/>
      <c r="J19" s="1"/>
      <c r="K19" s="19"/>
      <c r="L19" s="23"/>
    </row>
    <row r="20" spans="1:12" ht="30" customHeight="1" x14ac:dyDescent="0.25">
      <c r="A20" s="24"/>
      <c r="B20" s="44"/>
      <c r="C20" s="53"/>
      <c r="D20" s="53"/>
      <c r="E20" s="53"/>
      <c r="F20" s="53"/>
      <c r="G20" s="53"/>
      <c r="H20" s="53"/>
      <c r="I20" s="46"/>
      <c r="J20" s="9" t="s">
        <v>16</v>
      </c>
      <c r="K20" s="22"/>
    </row>
    <row r="21" spans="1:12" ht="30" customHeight="1" x14ac:dyDescent="0.25">
      <c r="A21" s="24"/>
      <c r="B21" s="25"/>
      <c r="C21" s="51"/>
      <c r="D21" s="51"/>
      <c r="E21" s="51"/>
      <c r="F21" s="51"/>
      <c r="G21" s="51"/>
      <c r="H21" s="51"/>
      <c r="I21" s="30"/>
      <c r="J21" s="9"/>
      <c r="K21" s="2"/>
    </row>
    <row r="22" spans="1:12" ht="30" customHeight="1" x14ac:dyDescent="0.25">
      <c r="A22" s="24"/>
      <c r="B22" s="44"/>
      <c r="C22" s="53"/>
      <c r="D22" s="53"/>
      <c r="E22" s="53"/>
      <c r="F22" s="53"/>
      <c r="G22" s="53"/>
      <c r="H22" s="53"/>
      <c r="I22" s="46"/>
      <c r="J22" s="9"/>
      <c r="K22" s="2"/>
    </row>
    <row r="23" spans="1:12" ht="30" customHeight="1" x14ac:dyDescent="0.25">
      <c r="A23" s="24"/>
      <c r="B23" s="25"/>
      <c r="C23" s="51"/>
      <c r="D23" s="51"/>
      <c r="E23" s="51"/>
      <c r="F23" s="51"/>
      <c r="G23" s="51"/>
      <c r="H23" s="51"/>
      <c r="I23" s="30"/>
      <c r="J23" s="9"/>
      <c r="K23" s="2"/>
    </row>
    <row r="24" spans="1:12" ht="30" customHeight="1" x14ac:dyDescent="0.25">
      <c r="A24" s="24"/>
      <c r="B24" s="44" t="s">
        <v>7</v>
      </c>
      <c r="C24" s="53"/>
      <c r="D24" s="53"/>
      <c r="E24" s="53" t="s">
        <v>7</v>
      </c>
      <c r="F24" s="53"/>
      <c r="G24" s="53"/>
      <c r="H24" s="53"/>
      <c r="I24" s="46" t="s">
        <v>7</v>
      </c>
      <c r="J24" s="9"/>
      <c r="K24" s="2"/>
    </row>
    <row r="25" spans="1:12" ht="30" customHeight="1" x14ac:dyDescent="0.25">
      <c r="A25" s="24"/>
      <c r="B25" s="25" t="s">
        <v>8</v>
      </c>
      <c r="C25" s="51"/>
      <c r="D25" s="51"/>
      <c r="E25" s="51" t="s">
        <v>8</v>
      </c>
      <c r="F25" s="51"/>
      <c r="G25" s="51"/>
      <c r="H25" s="51"/>
      <c r="I25" s="30" t="s">
        <v>8</v>
      </c>
      <c r="J25" s="1"/>
      <c r="K25" s="19"/>
      <c r="L25" s="23"/>
    </row>
    <row r="26" spans="1:12" ht="30" customHeight="1" x14ac:dyDescent="0.25">
      <c r="A26" s="24"/>
      <c r="B26" s="44"/>
      <c r="C26" s="53"/>
      <c r="D26" s="53"/>
      <c r="E26" s="53"/>
      <c r="F26" s="53"/>
      <c r="G26" s="53"/>
      <c r="H26" s="53"/>
      <c r="I26" s="46"/>
      <c r="J26" s="9" t="s">
        <v>17</v>
      </c>
      <c r="K26" s="22"/>
    </row>
    <row r="27" spans="1:12" ht="30" customHeight="1" x14ac:dyDescent="0.25">
      <c r="A27" s="24"/>
      <c r="B27" s="25"/>
      <c r="C27" s="51"/>
      <c r="D27" s="51"/>
      <c r="E27" s="51"/>
      <c r="F27" s="51"/>
      <c r="G27" s="51"/>
      <c r="H27" s="51"/>
      <c r="I27" s="30"/>
      <c r="J27" s="9"/>
      <c r="K27" s="2"/>
    </row>
    <row r="28" spans="1:12" ht="30" customHeight="1" x14ac:dyDescent="0.25">
      <c r="A28" s="24"/>
      <c r="B28" s="44"/>
      <c r="C28" s="53" t="s">
        <v>13</v>
      </c>
      <c r="D28" s="53"/>
      <c r="E28" s="53"/>
      <c r="F28" s="53"/>
      <c r="G28" s="53" t="s">
        <v>13</v>
      </c>
      <c r="H28" s="53"/>
      <c r="I28" s="46"/>
      <c r="J28" s="9"/>
      <c r="K28" s="2"/>
    </row>
    <row r="29" spans="1:12" ht="30" customHeight="1" x14ac:dyDescent="0.25">
      <c r="A29" s="24"/>
      <c r="B29" s="25"/>
      <c r="C29" s="51" t="s">
        <v>14</v>
      </c>
      <c r="D29" s="51"/>
      <c r="E29" s="51"/>
      <c r="F29" s="51"/>
      <c r="G29" s="51" t="s">
        <v>14</v>
      </c>
      <c r="H29" s="51"/>
      <c r="I29" s="30"/>
      <c r="J29" s="9"/>
      <c r="K29" s="2"/>
    </row>
    <row r="30" spans="1:12" ht="30" customHeight="1" x14ac:dyDescent="0.25">
      <c r="A30" s="24"/>
      <c r="B30" s="44"/>
      <c r="C30" s="53"/>
      <c r="D30" s="53"/>
      <c r="E30" s="53"/>
      <c r="F30" s="53"/>
      <c r="G30" s="53"/>
      <c r="H30" s="53"/>
      <c r="I30" s="46"/>
      <c r="J30" s="9"/>
      <c r="K30" s="2"/>
    </row>
    <row r="31" spans="1:12" ht="30" customHeight="1" x14ac:dyDescent="0.25">
      <c r="A31" s="24"/>
      <c r="B31" s="28"/>
      <c r="C31" s="52"/>
      <c r="D31" s="52"/>
      <c r="E31" s="52"/>
      <c r="F31" s="52"/>
      <c r="G31" s="52"/>
      <c r="H31" s="52"/>
      <c r="I31" s="29"/>
      <c r="J31" s="9"/>
      <c r="K31" s="19"/>
    </row>
  </sheetData>
  <mergeCells count="63">
    <mergeCell ref="C31:D31"/>
    <mergeCell ref="E31:F31"/>
    <mergeCell ref="G31:H31"/>
    <mergeCell ref="C29:D29"/>
    <mergeCell ref="E29:F29"/>
    <mergeCell ref="G29:H29"/>
    <mergeCell ref="C30:D30"/>
    <mergeCell ref="E30:F30"/>
    <mergeCell ref="G30:H30"/>
    <mergeCell ref="C27:D27"/>
    <mergeCell ref="E27:F27"/>
    <mergeCell ref="G27:H27"/>
    <mergeCell ref="C28:D28"/>
    <mergeCell ref="E28:F28"/>
    <mergeCell ref="G28:H28"/>
    <mergeCell ref="C25:D25"/>
    <mergeCell ref="E25:F25"/>
    <mergeCell ref="G25:H25"/>
    <mergeCell ref="C26:D26"/>
    <mergeCell ref="E26:F26"/>
    <mergeCell ref="G26:H26"/>
    <mergeCell ref="C23:D23"/>
    <mergeCell ref="E23:F23"/>
    <mergeCell ref="G23:H23"/>
    <mergeCell ref="C24:D24"/>
    <mergeCell ref="E24:F24"/>
    <mergeCell ref="G24:H24"/>
    <mergeCell ref="C21:D21"/>
    <mergeCell ref="E21:F21"/>
    <mergeCell ref="G21:H21"/>
    <mergeCell ref="C22:D22"/>
    <mergeCell ref="E22:F22"/>
    <mergeCell ref="G22:H22"/>
    <mergeCell ref="C19:D19"/>
    <mergeCell ref="E19:F19"/>
    <mergeCell ref="G19:H19"/>
    <mergeCell ref="C20:D20"/>
    <mergeCell ref="E20:F20"/>
    <mergeCell ref="G20:H20"/>
    <mergeCell ref="C17:D17"/>
    <mergeCell ref="E17:F17"/>
    <mergeCell ref="G17:H17"/>
    <mergeCell ref="C18:D18"/>
    <mergeCell ref="E18:F18"/>
    <mergeCell ref="G18:H18"/>
    <mergeCell ref="C15:D15"/>
    <mergeCell ref="E15:F15"/>
    <mergeCell ref="G15:H15"/>
    <mergeCell ref="C16:D16"/>
    <mergeCell ref="E16:F16"/>
    <mergeCell ref="G16:H16"/>
    <mergeCell ref="C13:D13"/>
    <mergeCell ref="E13:F13"/>
    <mergeCell ref="G13:H13"/>
    <mergeCell ref="C14:D14"/>
    <mergeCell ref="E14:F14"/>
    <mergeCell ref="G14:H14"/>
    <mergeCell ref="C11:D11"/>
    <mergeCell ref="E11:F11"/>
    <mergeCell ref="G11:H11"/>
    <mergeCell ref="C12:D12"/>
    <mergeCell ref="E12:F12"/>
    <mergeCell ref="G12:H12"/>
  </mergeCells>
  <conditionalFormatting sqref="B12:I12 B14:I14 B16:I16 B18:I18 B20:I20 B22:I22 B24:I24 B26:I26 B28:I28 B30:I30">
    <cfRule type="expression" dxfId="22" priority="5">
      <formula>B12&lt;&gt;""</formula>
    </cfRule>
  </conditionalFormatting>
  <conditionalFormatting sqref="B12:I31">
    <cfRule type="expression" dxfId="21" priority="1">
      <formula>COLUMN(B12)&gt;2</formula>
    </cfRule>
  </conditionalFormatting>
  <conditionalFormatting sqref="B13:I13 B15:I15 B17:I17 B19:I19 B21:I21 B23:I23 B25:I25 B27:I27 B29:I29 B31:I31">
    <cfRule type="expression" dxfId="20" priority="6">
      <formula>B13&lt;&gt;""</formula>
    </cfRule>
  </conditionalFormatting>
  <conditionalFormatting sqref="B13:I13 B15:I15 B17:I17 B19:I19 B21:I21 B23:I23 B25:I25 B27:I27 B29:I29">
    <cfRule type="expression" dxfId="19" priority="2">
      <formula>COLUMN(B13)&gt;=2</formula>
    </cfRule>
    <cfRule type="expression" dxfId="18" priority="4">
      <formula>COLUMN(B11)&gt;2</formula>
    </cfRule>
  </conditionalFormatting>
  <conditionalFormatting sqref="B31:I31">
    <cfRule type="expression" dxfId="17" priority="3">
      <formula>COLUMN(B12)&gt;2</formula>
    </cfRule>
  </conditionalFormatting>
  <conditionalFormatting sqref="C3:H3">
    <cfRule type="expression" dxfId="16" priority="8" stopIfTrue="1">
      <formula>DAY(C3)&gt;8</formula>
    </cfRule>
  </conditionalFormatting>
  <conditionalFormatting sqref="C3:I8">
    <cfRule type="expression" dxfId="15" priority="9">
      <formula>VLOOKUP(DAY(C3),AssignmentDays,1,FALSE)=DAY(C3)</formula>
    </cfRule>
  </conditionalFormatting>
  <conditionalFormatting sqref="C7:I8">
    <cfRule type="expression" dxfId="14" priority="7" stopIfTrue="1">
      <formula>AND(DAY(C7)&gt;=1,DAY(C7)&lt;=15)</formula>
    </cfRule>
  </conditionalFormatting>
  <dataValidations count="16">
    <dataValidation allowBlank="1" showInputMessage="1" showErrorMessage="1" prompt="El calendario de octubre resalta automáticamente las entradas de la lista de tareas para el mes. Las fuentes más oscuras indican tareas. Las fuentes más claras indican días que pertenecen al mes anterior o al mes siguiente" sqref="B2" xr:uid="{00000000-0002-0000-0900-000000000000}"/>
    <dataValidation allowBlank="1" showInputMessage="1" showErrorMessage="1" prompt="Se actualiza automáticamente el año natural. Para cambiar el año, actualice la celda B1 en la hoja de cálculo ene" sqref="B1" xr:uid="{00000000-0002-0000-0900-000001000000}"/>
    <dataValidation allowBlank="1" showInputMessage="1" showErrorMessage="1" prompt="Prepare una programación semanal y cree una lista de tareas en esta hoja de cálculo. Las tareas se resaltan automáticamente en el calendario mensual para el año que indique en la celda B1 de la hoja de cálculo ene." sqref="A1" xr:uid="{00000000-0002-0000-0900-000002000000}"/>
    <dataValidation allowBlank="1" showInputMessage="1" showErrorMessage="1" prompt="Las celdas C2 a I2 contienen días de la semana." sqref="C2" xr:uid="{00000000-0002-0000-0900-000003000000}"/>
    <dataValidation allowBlank="1" showInputMessage="1" showErrorMessage="1" prompt="Si esta celda no contiene el número 1, se trata de un día de del mes anterior. Las celdas C3 a I8 contienen fechas para el mes actual" sqref="C3" xr:uid="{00000000-0002-0000-0900-000004000000}"/>
    <dataValidation allowBlank="1" showInputMessage="1" showErrorMessage="1" prompt="Si esta fila contiene un número menor que el número o la fila de números anterior, en ese caso, esta fila contiene fechas para el próximo mes del calendario." sqref="C8" xr:uid="{00000000-0002-0000-0900-000005000000}"/>
    <dataValidation allowBlank="1" showInputMessage="1" showErrorMessage="1" prompt="Escriba la hora en esta fila, de la columna B a la I" sqref="B12" xr:uid="{00000000-0002-0000-0900-000006000000}"/>
    <dataValidation allowBlank="1" showInputMessage="1" showErrorMessage="1" prompt="Escriba la clase en esta fila, de la columna B a la I." sqref="B13" xr:uid="{00000000-0002-0000-0900-000007000000}"/>
    <dataValidation allowBlank="1" showInputMessage="1" showErrorMessage="1" prompt="Los días de la semana se agrupan en esta columna con 6 filas para las tareas por cada día laborable agrupado del mes. Inserte nuevas filas para agregar más tareas. El calendario de la izquierda resaltará elementos." sqref="J1" xr:uid="{00000000-0002-0000-0900-000008000000}"/>
    <dataValidation allowBlank="1" showInputMessage="1" showErrorMessage="1" prompt="Escriba en esta columna los detalles de la tarea correspondientes al día de la semana en la columna J y al día en la columna K del mes calendario de la izquierda." sqref="L1" xr:uid="{00000000-0002-0000-0900-000009000000}"/>
    <dataValidation allowBlank="1" showInputMessage="1" showErrorMessage="1" prompt="Escriba en esta columna el día de la tarea del mes que corresponda al día de la semana en la columna J. Esta fecha resaltará la tarea en el calendario de la izquierda" sqref="K1" xr:uid="{00000000-0002-0000-0900-00000A000000}"/>
    <dataValidation allowBlank="1" showInputMessage="1" showErrorMessage="1" prompt="Los días de la semana se encuentran en esta fila, del lunes al viernes." sqref="B11" xr:uid="{00000000-0002-0000-0900-00000B000000}"/>
    <dataValidation allowBlank="1" showInputMessage="1" showErrorMessage="1" prompt="Escriba la hora de la clase y debajo, en una nueva fila, el nombre de clase para cada día de la semana en las columnas de la B a la I. Repita este patrón para todas las clases en las filas posteriores." sqref="B10" xr:uid="{00000000-0002-0000-0900-00000C000000}"/>
    <dataValidation allowBlank="1" showInputMessage="1" showErrorMessage="1" prompt="El nombre de la clase va en esta fila, empezando en la celda a la derecha" sqref="A13 A15 A17 A19 A21 A23 A25 A27 A29 A31" xr:uid="{18291D5D-D9B3-4C58-AC0E-46F02C1523D7}"/>
    <dataValidation allowBlank="1" showInputMessage="1" showErrorMessage="1" prompt="El tiempo de clase va en esta fila, empezando en la celda hasta la derecha_x000a_" sqref="A12 A14 A16 A18 A20 A22 A24 A26 A28 A30" xr:uid="{88CD2A0E-5409-46AC-A773-96BEE00759F1}"/>
    <dataValidation allowBlank="1" showInputMessage="1" showErrorMessage="1" prompt="El día de la semana va en esta fila, empezando en la celda B11" sqref="A11" xr:uid="{8FB09B96-784A-4CCF-BF1B-357A8D54AB75}"/>
  </dataValidations>
  <printOptions horizontalCentered="1" verticalCentered="1"/>
  <pageMargins left="0.5" right="0.5" top="0.5" bottom="0.5" header="0.3" footer="0.3"/>
  <pageSetup paperSize="9" scale="58" orientation="landscape" r:id="rId1"/>
  <headerFooter differentFirst="1">
    <oddFooter>Page &amp;P of &amp;N</oddFooter>
  </headerFooter>
  <tableParts count="1">
    <tablePart r:id="rId2"/>
  </tableParts>
</worksheet>
</file>

<file path=customXml/_rels/item2.xml.rels>&#65279;<?xml version="1.0" encoding="utf-8"?><Relationships xmlns="http://schemas.openxmlformats.org/package/2006/relationships"><Relationship Type="http://schemas.openxmlformats.org/officeDocument/2006/relationships/customXmlProps" Target="/customXml/itemProps21.xml" Id="rId1" /></Relationships>
</file>

<file path=customXml/_rels/item12.xml.rels>&#65279;<?xml version="1.0" encoding="utf-8"?><Relationships xmlns="http://schemas.openxmlformats.org/package/2006/relationships"><Relationship Type="http://schemas.openxmlformats.org/officeDocument/2006/relationships/customXmlProps" Target="/customXml/itemProps12.xml" Id="rId1" /></Relationships>
</file>

<file path=customXml/_rels/item33.xml.rels>&#65279;<?xml version="1.0" encoding="utf-8"?><Relationships xmlns="http://schemas.openxmlformats.org/package/2006/relationships"><Relationship Type="http://schemas.openxmlformats.org/officeDocument/2006/relationships/customXmlProps" Target="/customXml/itemProps33.xml" Id="rId1" /></Relationships>
</file>

<file path=customXml/item2.xml><?xml version="1.0" encoding="utf-8"?>
<?mso-contentType ?>
<FormTemplates xmlns="http://schemas.microsoft.com/sharepoint/v3/contenttype/forms">
  <Display>DocumentLibraryForm</Display>
  <Edit>DocumentLibraryForm</Edit>
  <New>DocumentLibraryForm</New>
</FormTemplates>
</file>

<file path=customXml/item1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6" ma:contentTypeDescription="Create a new document." ma:contentTypeScope="" ma:versionID="ac37c1753acd5e330d2062ccec26ea66">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3b340c7101c92c5120abd06486f94548"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2.xml><?xml version="1.0" encoding="utf-8"?>
<ds:datastoreItem xmlns:ds="http://schemas.openxmlformats.org/officeDocument/2006/customXml" ds:itemID="{CE11B8CF-59F8-4FC7-A871-B58DAD9ADF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1.xml><?xml version="1.0" encoding="utf-8"?>
<ds:datastoreItem xmlns:ds="http://schemas.openxmlformats.org/officeDocument/2006/customXml" ds:itemID="{A7741C2E-E480-4578-853A-F641B75D7435}">
  <ds:schemaRefs>
    <ds:schemaRef ds:uri="http://schemas.microsoft.com/sharepoint/v3/contenttype/forms"/>
  </ds:schemaRefs>
</ds:datastoreItem>
</file>

<file path=customXml/itemProps33.xml><?xml version="1.0" encoding="utf-8"?>
<ds:datastoreItem xmlns:ds="http://schemas.openxmlformats.org/officeDocument/2006/customXml" ds:itemID="{093C1636-8975-4B83-9521-56DE7AC91698}">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Props/app.xml><?xml version="1.0" encoding="utf-8"?>
<ap:Properties xmlns:vt="http://schemas.openxmlformats.org/officeDocument/2006/docPropsVTypes" xmlns:ap="http://schemas.openxmlformats.org/officeDocument/2006/extended-properties">
  <ap:Template>TM03107663</ap:Template>
  <ap:DocSecurity>0</ap:DocSecurity>
  <ap:ScaleCrop>false</ap:ScaleCrop>
  <ap:HeadingPairs>
    <vt:vector baseType="variant" size="4">
      <vt:variant>
        <vt:lpstr>Hojas de cálculo</vt:lpstr>
      </vt:variant>
      <vt:variant>
        <vt:i4>12</vt:i4>
      </vt:variant>
      <vt:variant>
        <vt:lpstr>Rangos con nombre</vt:lpstr>
      </vt:variant>
      <vt:variant>
        <vt:i4>61</vt:i4>
      </vt:variant>
    </vt:vector>
  </ap:HeadingPairs>
  <ap:TitlesOfParts>
    <vt:vector baseType="lpstr" size="73">
      <vt:lpstr>Ene</vt:lpstr>
      <vt:lpstr>Feb</vt:lpstr>
      <vt:lpstr>Mar</vt:lpstr>
      <vt:lpstr>Abr</vt:lpstr>
      <vt:lpstr>May</vt:lpstr>
      <vt:lpstr>Jun</vt:lpstr>
      <vt:lpstr>Jul</vt:lpstr>
      <vt:lpstr>Ago</vt:lpstr>
      <vt:lpstr>Sep</vt:lpstr>
      <vt:lpstr>Oct</vt:lpstr>
      <vt:lpstr>Nov</vt:lpstr>
      <vt:lpstr>Dic</vt:lpstr>
      <vt:lpstr>AñoCalendario</vt:lpstr>
      <vt:lpstr>Abr!AssignmentDays</vt:lpstr>
      <vt:lpstr>Ago!AssignmentDays</vt:lpstr>
      <vt:lpstr>Dic!AssignmentDays</vt:lpstr>
      <vt:lpstr>Feb!AssignmentDays</vt:lpstr>
      <vt:lpstr>Jul!AssignmentDays</vt:lpstr>
      <vt:lpstr>Jun!AssignmentDays</vt:lpstr>
      <vt:lpstr>Mar!AssignmentDays</vt:lpstr>
      <vt:lpstr>May!AssignmentDays</vt:lpstr>
      <vt:lpstr>Nov!AssignmentDays</vt:lpstr>
      <vt:lpstr>Oct!AssignmentDays</vt:lpstr>
      <vt:lpstr>Sep!AssignmentDays</vt:lpstr>
      <vt:lpstr>AssignmentDays</vt:lpstr>
      <vt:lpstr>ColumnTitle1</vt:lpstr>
      <vt:lpstr>ColumnTitle4</vt:lpstr>
      <vt:lpstr>ColumnTitle5</vt:lpstr>
      <vt:lpstr>ColumnTitle6</vt:lpstr>
      <vt:lpstr>ColumnTitle7</vt:lpstr>
      <vt:lpstr>ColumnTitle8</vt:lpstr>
      <vt:lpstr>ColumnTitleRegion1..I8.1</vt:lpstr>
      <vt:lpstr>ColumnTitleRegion1..I8.10</vt:lpstr>
      <vt:lpstr>ColumnTitleRegion1..I8.11</vt:lpstr>
      <vt:lpstr>ColumnTitleRegion1..I8.12</vt:lpstr>
      <vt:lpstr>ColumnTitleRegion1..I8.2</vt:lpstr>
      <vt:lpstr>ColumnTitleRegion1..I8.3</vt:lpstr>
      <vt:lpstr>ColumnTitleRegion1..I8.4</vt:lpstr>
      <vt:lpstr>ColumnTitleRegion1..I8.5</vt:lpstr>
      <vt:lpstr>ColumnTitleRegion1..I8.6</vt:lpstr>
      <vt:lpstr>ColumnTitleRegion1..I8.7</vt:lpstr>
      <vt:lpstr>ColumnTitleRegion1..I8.8</vt:lpstr>
      <vt:lpstr>ColumnTitleRegion1..I8.9</vt:lpstr>
      <vt:lpstr>Abr!ImportantDatesTable</vt:lpstr>
      <vt:lpstr>Ago!ImportantDatesTable</vt:lpstr>
      <vt:lpstr>Dic!ImportantDatesTable</vt:lpstr>
      <vt:lpstr>Feb!ImportantDatesTable</vt:lpstr>
      <vt:lpstr>Jul!ImportantDatesTable</vt:lpstr>
      <vt:lpstr>Jun!ImportantDatesTable</vt:lpstr>
      <vt:lpstr>Mar!ImportantDatesTable</vt:lpstr>
      <vt:lpstr>May!ImportantDatesTable</vt:lpstr>
      <vt:lpstr>Nov!ImportantDatesTable</vt:lpstr>
      <vt:lpstr>Oct!ImportantDatesTable</vt:lpstr>
      <vt:lpstr>Sep!ImportantDatesTable</vt:lpstr>
      <vt:lpstr>ImportantDatesTable</vt:lpstr>
      <vt:lpstr>RegiónDeTítulo2..I31.2</vt:lpstr>
      <vt:lpstr>RegiónDeTítulo2..I31.6</vt:lpstr>
      <vt:lpstr>RegiónDeTítulo2..I31.7</vt:lpstr>
      <vt:lpstr>RegiónDeTítulo2..I31.8</vt:lpstr>
      <vt:lpstr>RegiónDeTítulo2..I31.9</vt:lpstr>
      <vt:lpstr>TitleRegion2..I31.1</vt:lpstr>
      <vt:lpstr>TitleRegion2..I31.10</vt:lpstr>
      <vt:lpstr>TitleRegion2..I31.11</vt:lpstr>
      <vt:lpstr>TitleRegion2..I31.12</vt:lpstr>
      <vt:lpstr>TitleRegion2..I31.3</vt:lpstr>
      <vt:lpstr>TitleRegion2..I31.4</vt:lpstr>
      <vt:lpstr>TitleRegion2..I31.5</vt:lpstr>
      <vt:lpstr>TítuloDeColumna10</vt:lpstr>
      <vt:lpstr>TítuloDeColumna11</vt:lpstr>
      <vt:lpstr>TítuloDeColumna12</vt:lpstr>
      <vt:lpstr>TítuloDeColumna2</vt:lpstr>
      <vt:lpstr>TítuloDeColumna3</vt:lpstr>
      <vt:lpstr>TítuloDeColumna9</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2022-12-27T00:20:41Z</dcterms:created>
  <dcterms:modified xsi:type="dcterms:W3CDTF">2023-03-23T06:48:59Z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