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180" yWindow="60" windowWidth="14745" windowHeight="8265" tabRatio="222"/>
  </bookViews>
  <sheets>
    <sheet name="Libreta de calificaciones" sheetId="1" r:id="rId1"/>
  </sheets>
  <definedNames>
    <definedName name="GradeTable">'Libreta de calificaciones'!$E$2:$Q$4</definedName>
    <definedName name="_xlnm.Print_Area" localSheetId="0">'Libreta de calificaciones'!$A$1:$O$48</definedName>
    <definedName name="_xlnm.Print_Titles" localSheetId="0">'Libreta de calificaciones'!$B:$B,'Libreta de calificaciones'!$12:$12</definedName>
  </definedNames>
  <calcPr calcId="145621"/>
</workbook>
</file>

<file path=xl/calcChain.xml><?xml version="1.0" encoding="utf-8"?>
<calcChain xmlns="http://schemas.openxmlformats.org/spreadsheetml/2006/main">
  <c r="AG57" i="1" l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D14" i="1"/>
  <c r="F14" i="1" s="1"/>
  <c r="D15" i="1"/>
  <c r="F15" i="1" s="1"/>
  <c r="D16" i="1"/>
  <c r="F16" i="1" s="1"/>
  <c r="D17" i="1"/>
  <c r="F17" i="1" s="1"/>
  <c r="D18" i="1"/>
  <c r="F18" i="1" s="1"/>
  <c r="D19" i="1"/>
  <c r="F19" i="1" s="1"/>
  <c r="D20" i="1"/>
  <c r="F20" i="1" s="1"/>
  <c r="D21" i="1"/>
  <c r="F21" i="1" s="1"/>
  <c r="D22" i="1"/>
  <c r="F22" i="1" s="1"/>
  <c r="D23" i="1"/>
  <c r="F23" i="1" s="1"/>
  <c r="D24" i="1"/>
  <c r="F24" i="1" s="1"/>
  <c r="D25" i="1"/>
  <c r="F25" i="1" s="1"/>
  <c r="D26" i="1"/>
  <c r="F26" i="1" s="1"/>
  <c r="D27" i="1"/>
  <c r="F27" i="1" s="1"/>
  <c r="D28" i="1"/>
  <c r="F28" i="1" s="1"/>
  <c r="D29" i="1"/>
  <c r="F29" i="1" s="1"/>
  <c r="D30" i="1"/>
  <c r="F30" i="1" s="1"/>
  <c r="D31" i="1"/>
  <c r="F31" i="1" s="1"/>
  <c r="D32" i="1"/>
  <c r="F32" i="1" s="1"/>
  <c r="D33" i="1"/>
  <c r="F33" i="1" s="1"/>
  <c r="D34" i="1"/>
  <c r="F34" i="1" s="1"/>
  <c r="D35" i="1"/>
  <c r="F35" i="1" s="1"/>
  <c r="D36" i="1"/>
  <c r="F36" i="1" s="1"/>
  <c r="D37" i="1"/>
  <c r="F37" i="1" s="1"/>
  <c r="D38" i="1"/>
  <c r="F38" i="1" s="1"/>
  <c r="D39" i="1"/>
  <c r="F39" i="1" s="1"/>
  <c r="D40" i="1"/>
  <c r="F40" i="1" s="1"/>
  <c r="D41" i="1"/>
  <c r="F41" i="1" s="1"/>
  <c r="D42" i="1"/>
  <c r="F42" i="1" s="1"/>
  <c r="D43" i="1"/>
  <c r="F43" i="1" s="1"/>
  <c r="D44" i="1"/>
  <c r="F44" i="1" s="1"/>
  <c r="D45" i="1"/>
  <c r="F45" i="1" s="1"/>
  <c r="D46" i="1"/>
  <c r="F46" i="1" s="1"/>
  <c r="D47" i="1"/>
  <c r="F47" i="1" s="1"/>
  <c r="D48" i="1"/>
  <c r="F48" i="1" s="1"/>
  <c r="D49" i="1"/>
  <c r="F49" i="1" s="1"/>
  <c r="D50" i="1"/>
  <c r="F50" i="1" s="1"/>
  <c r="D51" i="1"/>
  <c r="F51" i="1" s="1"/>
  <c r="D52" i="1"/>
  <c r="F52" i="1" s="1"/>
  <c r="D13" i="1"/>
  <c r="D57" i="1" s="1"/>
  <c r="E57" i="1" s="1"/>
  <c r="AG12" i="1"/>
  <c r="AG54" i="1" s="1"/>
  <c r="AF12" i="1"/>
  <c r="AF54" i="1" s="1"/>
  <c r="AE12" i="1"/>
  <c r="AE54" i="1" s="1"/>
  <c r="AD12" i="1"/>
  <c r="AD54" i="1" s="1"/>
  <c r="AC12" i="1"/>
  <c r="AC54" i="1" s="1"/>
  <c r="AB12" i="1"/>
  <c r="AB54" i="1" s="1"/>
  <c r="AA12" i="1"/>
  <c r="AA54" i="1" s="1"/>
  <c r="Z12" i="1"/>
  <c r="Z54" i="1" s="1"/>
  <c r="Q12" i="1"/>
  <c r="Q54" i="1" s="1"/>
  <c r="P12" i="1"/>
  <c r="P54" i="1" s="1"/>
  <c r="O12" i="1"/>
  <c r="O54" i="1" s="1"/>
  <c r="N12" i="1"/>
  <c r="N54" i="1" s="1"/>
  <c r="M12" i="1"/>
  <c r="M54" i="1" s="1"/>
  <c r="L12" i="1"/>
  <c r="L54" i="1" s="1"/>
  <c r="K12" i="1"/>
  <c r="K54" i="1" s="1"/>
  <c r="J12" i="1"/>
  <c r="J54" i="1" s="1"/>
  <c r="I12" i="1"/>
  <c r="I54" i="1" s="1"/>
  <c r="H12" i="1"/>
  <c r="H54" i="1" s="1"/>
  <c r="G12" i="1"/>
  <c r="G54" i="1" s="1"/>
  <c r="F54" i="1"/>
  <c r="E54" i="1"/>
  <c r="D54" i="1"/>
  <c r="E13" i="1"/>
  <c r="Y12" i="1"/>
  <c r="X12" i="1"/>
  <c r="W12" i="1"/>
  <c r="V12" i="1"/>
  <c r="U12" i="1"/>
  <c r="T12" i="1"/>
  <c r="S12" i="1"/>
  <c r="R12" i="1"/>
  <c r="H10" i="1"/>
  <c r="H9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F13" i="1"/>
  <c r="D55" i="1"/>
  <c r="E55" i="1" s="1"/>
  <c r="D56" i="1"/>
  <c r="E56" i="1" s="1"/>
  <c r="F57" i="1" l="1"/>
  <c r="F56" i="1"/>
  <c r="F55" i="1"/>
</calcChain>
</file>

<file path=xl/comments1.xml><?xml version="1.0" encoding="utf-8"?>
<comments xmlns="http://schemas.openxmlformats.org/spreadsheetml/2006/main">
  <authors>
    <author>Microsoft</author>
    <author>An-Chian Kao</author>
  </authors>
  <commentList>
    <comment ref="D12" authorId="0">
      <text>
        <r>
          <rPr>
            <sz val="8"/>
            <color indexed="8"/>
            <rFont val="Arial"/>
            <family val="2"/>
          </rPr>
          <t xml:space="preserve">Promedio igual a Total de puntos dividido por Total de puntos posibles
</t>
        </r>
      </text>
    </comment>
    <comment ref="E12" authorId="1">
      <text>
        <r>
          <rPr>
            <sz val="8"/>
            <color indexed="8"/>
            <rFont val="Arial"/>
            <family val="2"/>
          </rPr>
          <t>Tenga en cuenta que la tabla de calificaciones a la que se hace referencia en la fórmula de esta columna es que se encuentra en la parte superior de esta hoja.</t>
        </r>
      </text>
    </comment>
    <comment ref="AG12" authorId="0">
      <text>
        <r>
          <rPr>
            <sz val="8"/>
            <color indexed="8"/>
            <rFont val="Arial"/>
            <family val="2"/>
          </rPr>
          <t>INSERTAR NUEVAS COLUMNAS A LA IZQUIERDA PARA AGREGAR MÁS TEMAS O EXÁMENES.</t>
        </r>
      </text>
    </comment>
    <comment ref="B52" authorId="0">
      <text>
        <r>
          <rPr>
            <sz val="8"/>
            <color indexed="8"/>
            <rFont val="Arial"/>
            <family val="2"/>
          </rPr>
          <t>INSERTAR NUEVAS FILAS POR ENCIMA DE ESTA FILA PARA AGREGAR ESTUDIANTES.</t>
        </r>
      </text>
    </comment>
  </commentList>
</comments>
</file>

<file path=xl/sharedStrings.xml><?xml version="1.0" encoding="utf-8"?>
<sst xmlns="http://schemas.openxmlformats.org/spreadsheetml/2006/main" count="33" uniqueCount="29">
  <si>
    <t>Promedio</t>
  </si>
  <si>
    <t>Calific. izq./dcha.</t>
  </si>
  <si>
    <t>F</t>
  </si>
  <si>
    <t>D-</t>
  </si>
  <si>
    <t>D</t>
  </si>
  <si>
    <t>D+</t>
  </si>
  <si>
    <t>C-</t>
  </si>
  <si>
    <t>C</t>
  </si>
  <si>
    <t>C+</t>
  </si>
  <si>
    <t>B-</t>
  </si>
  <si>
    <t>B</t>
  </si>
  <si>
    <t>B+</t>
  </si>
  <si>
    <t>A-</t>
  </si>
  <si>
    <t>A</t>
  </si>
  <si>
    <t>A+</t>
  </si>
  <si>
    <t>PPC</t>
  </si>
  <si>
    <t>Nombre de la escuela</t>
  </si>
  <si>
    <t>Nombre de la tarea o examen</t>
  </si>
  <si>
    <t>Puntos posibles</t>
  </si>
  <si>
    <t>Nombre del maestro</t>
  </si>
  <si>
    <t>Clase/Proyecto</t>
  </si>
  <si>
    <t>Total de temas y exámenes:</t>
  </si>
  <si>
    <t>Año/Semestre/Trimestre</t>
  </si>
  <si>
    <t>Total de puntos posibles:</t>
  </si>
  <si>
    <t>Nombre de estudiante</t>
  </si>
  <si>
    <t>Id. de estudiante</t>
  </si>
  <si>
    <t>Resumen de clase</t>
  </si>
  <si>
    <t>Calificación más alta</t>
  </si>
  <si>
    <t>Calificación más baja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</si>
</sst>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Century Gothic"/>
      <family val="2"/>
    </font>
    <font>
      <sz val="9"/>
      <name val="Century Gothic"/>
      <family val="2"/>
    </font>
    <font>
      <sz val="8"/>
      <name val="Century Gothic"/>
      <family val="2"/>
    </font>
    <font>
      <i/>
      <sz val="8"/>
      <name val="Century Gothic"/>
      <family val="2"/>
    </font>
    <font>
      <b/>
      <sz val="9"/>
      <name val="Century Gothic"/>
      <family val="2"/>
    </font>
    <font>
      <sz val="22"/>
      <name val="Century Gothic"/>
      <family val="2"/>
    </font>
    <font>
      <sz val="8"/>
      <color indexed="9"/>
      <name val="Century Gothic"/>
      <family val="2"/>
    </font>
    <font>
      <b/>
      <sz val="8"/>
      <name val="Century Gothic"/>
      <family val="2"/>
    </font>
    <font>
      <sz val="9"/>
      <color indexed="9"/>
      <name val="Century Gothic"/>
      <family val="2"/>
    </font>
    <font>
      <b/>
      <sz val="8"/>
      <color indexed="8"/>
      <name val="Century Gothic"/>
      <family val="2"/>
    </font>
    <font>
      <sz val="9"/>
      <color indexed="8"/>
      <name val="Century Gothic"/>
      <family val="2"/>
    </font>
    <font>
      <sz val="8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17"/>
      </patternFill>
    </fill>
    <fill>
      <patternFill patternType="solid">
        <fgColor indexed="46"/>
        <bgColor indexed="17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55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55"/>
      </bottom>
      <diagonal/>
    </border>
    <border>
      <left/>
      <right/>
      <top style="thin">
        <color indexed="22"/>
      </top>
      <bottom style="thin">
        <color indexed="55"/>
      </bottom>
      <diagonal/>
    </border>
    <border>
      <left/>
      <right style="thin">
        <color indexed="22"/>
      </right>
      <top style="thin">
        <color indexed="22"/>
      </top>
      <bottom style="thin">
        <color indexed="55"/>
      </bottom>
      <diagonal/>
    </border>
    <border>
      <left style="thin">
        <color indexed="22"/>
      </left>
      <right/>
      <top style="thin">
        <color indexed="55"/>
      </top>
      <bottom style="thin">
        <color indexed="22"/>
      </bottom>
      <diagonal/>
    </border>
    <border>
      <left/>
      <right/>
      <top style="thin">
        <color indexed="55"/>
      </top>
      <bottom style="thin">
        <color indexed="22"/>
      </bottom>
      <diagonal/>
    </border>
    <border>
      <left/>
      <right style="thin">
        <color indexed="22"/>
      </right>
      <top style="thin">
        <color indexed="55"/>
      </top>
      <bottom style="thin">
        <color indexed="22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" fillId="2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1" xfId="0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5" fillId="3" borderId="3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horizontal="left"/>
    </xf>
    <xf numFmtId="2" fontId="5" fillId="3" borderId="0" xfId="0" applyNumberFormat="1" applyFont="1" applyFill="1" applyAlignment="1" applyProtection="1">
      <alignment horizontal="left"/>
      <protection locked="0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4" borderId="3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" fontId="3" fillId="2" borderId="3" xfId="0" applyNumberFormat="1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 indent="1"/>
    </xf>
    <xf numFmtId="0" fontId="3" fillId="0" borderId="6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4" borderId="8" xfId="0" applyFont="1" applyFill="1" applyBorder="1" applyAlignment="1">
      <alignment horizontal="left" vertical="center"/>
    </xf>
    <xf numFmtId="0" fontId="9" fillId="4" borderId="9" xfId="0" applyFont="1" applyFill="1" applyBorder="1" applyAlignment="1">
      <alignment horizontal="left" vertical="center"/>
    </xf>
    <xf numFmtId="0" fontId="9" fillId="4" borderId="6" xfId="0" applyFont="1" applyFill="1" applyBorder="1" applyAlignment="1">
      <alignment horizontal="left" vertical="center"/>
    </xf>
    <xf numFmtId="1" fontId="10" fillId="5" borderId="6" xfId="0" applyNumberFormat="1" applyFont="1" applyFill="1" applyBorder="1" applyAlignment="1">
      <alignment horizontal="left" vertical="center"/>
    </xf>
    <xf numFmtId="0" fontId="10" fillId="5" borderId="6" xfId="0" applyFont="1" applyFill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0" fontId="2" fillId="5" borderId="3" xfId="0" applyNumberFormat="1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1" fontId="11" fillId="0" borderId="3" xfId="0" applyNumberFormat="1" applyFont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1" fontId="11" fillId="6" borderId="3" xfId="0" applyNumberFormat="1" applyFont="1" applyFill="1" applyBorder="1" applyAlignment="1" applyProtection="1">
      <alignment horizontal="left" vertical="center"/>
      <protection locked="0"/>
    </xf>
    <xf numFmtId="1" fontId="11" fillId="2" borderId="3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/>
    </xf>
    <xf numFmtId="1" fontId="11" fillId="2" borderId="0" xfId="0" applyNumberFormat="1" applyFont="1" applyFill="1" applyAlignment="1" applyProtection="1">
      <alignment horizontal="left" vertical="center"/>
      <protection locked="0"/>
    </xf>
    <xf numFmtId="2" fontId="5" fillId="3" borderId="1" xfId="0" applyNumberFormat="1" applyFont="1" applyFill="1" applyBorder="1" applyAlignment="1" applyProtection="1">
      <alignment horizontal="left"/>
      <protection locked="0"/>
    </xf>
    <xf numFmtId="9" fontId="5" fillId="3" borderId="1" xfId="0" applyNumberFormat="1" applyFont="1" applyFill="1" applyBorder="1" applyAlignment="1" applyProtection="1">
      <alignment horizontal="left"/>
      <protection locked="0"/>
    </xf>
    <xf numFmtId="2" fontId="2" fillId="5" borderId="1" xfId="0" applyNumberFormat="1" applyFont="1" applyFill="1" applyBorder="1" applyAlignment="1" applyProtection="1">
      <alignment horizontal="left" vertical="center"/>
    </xf>
    <xf numFmtId="10" fontId="2" fillId="8" borderId="1" xfId="0" applyNumberFormat="1" applyFont="1" applyFill="1" applyBorder="1" applyAlignment="1" applyProtection="1">
      <alignment horizontal="left" vertical="center"/>
      <protection locked="0"/>
    </xf>
    <xf numFmtId="0" fontId="2" fillId="8" borderId="1" xfId="0" applyNumberFormat="1" applyFont="1" applyFill="1" applyBorder="1" applyAlignment="1" applyProtection="1">
      <alignment horizontal="left" vertical="center"/>
      <protection locked="0"/>
    </xf>
    <xf numFmtId="2" fontId="2" fillId="8" borderId="1" xfId="0" applyNumberFormat="1" applyFont="1" applyFill="1" applyBorder="1" applyAlignment="1" applyProtection="1">
      <alignment horizontal="left" vertical="center"/>
      <protection locked="0"/>
    </xf>
    <xf numFmtId="1" fontId="11" fillId="8" borderId="1" xfId="0" applyNumberFormat="1" applyFont="1" applyFill="1" applyBorder="1" applyAlignment="1" applyProtection="1">
      <alignment horizontal="left" vertical="center"/>
      <protection locked="0"/>
    </xf>
    <xf numFmtId="10" fontId="2" fillId="5" borderId="1" xfId="0" applyNumberFormat="1" applyFont="1" applyFill="1" applyBorder="1" applyAlignment="1" applyProtection="1">
      <alignment horizontal="left" vertical="center"/>
      <protection locked="0"/>
    </xf>
    <xf numFmtId="0" fontId="2" fillId="5" borderId="1" xfId="0" applyNumberFormat="1" applyFont="1" applyFill="1" applyBorder="1" applyAlignment="1" applyProtection="1">
      <alignment horizontal="left" vertical="center"/>
      <protection locked="0"/>
    </xf>
    <xf numFmtId="2" fontId="2" fillId="5" borderId="1" xfId="0" applyNumberFormat="1" applyFont="1" applyFill="1" applyBorder="1" applyAlignment="1" applyProtection="1">
      <alignment horizontal="left" vertical="center"/>
      <protection locked="0"/>
    </xf>
    <xf numFmtId="1" fontId="11" fillId="5" borderId="1" xfId="0" applyNumberFormat="1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Alignment="1">
      <alignment horizontal="left" vertical="center" wrapText="1"/>
    </xf>
    <xf numFmtId="0" fontId="7" fillId="4" borderId="10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4" xfId="0" applyFont="1" applyFill="1" applyBorder="1" applyAlignment="1">
      <alignment horizontal="left" vertical="center"/>
    </xf>
    <xf numFmtId="0" fontId="7" fillId="4" borderId="15" xfId="0" applyFont="1" applyFill="1" applyBorder="1" applyAlignment="1">
      <alignment horizontal="left" vertical="center"/>
    </xf>
    <xf numFmtId="0" fontId="9" fillId="4" borderId="6" xfId="0" applyFont="1" applyFill="1" applyBorder="1" applyAlignment="1">
      <alignment horizontal="left" vertical="center"/>
    </xf>
    <xf numFmtId="0" fontId="9" fillId="4" borderId="5" xfId="0" applyFont="1" applyFill="1" applyBorder="1" applyAlignment="1">
      <alignment horizontal="left" vertical="center"/>
    </xf>
    <xf numFmtId="0" fontId="2" fillId="7" borderId="6" xfId="0" applyFont="1" applyFill="1" applyBorder="1" applyAlignment="1" applyProtection="1">
      <alignment horizontal="left" vertical="center"/>
      <protection locked="0"/>
    </xf>
    <xf numFmtId="0" fontId="2" fillId="7" borderId="5" xfId="0" applyFont="1" applyFill="1" applyBorder="1" applyAlignment="1" applyProtection="1">
      <alignment horizontal="left" vertical="center"/>
      <protection locked="0"/>
    </xf>
    <xf numFmtId="0" fontId="2" fillId="3" borderId="6" xfId="0" applyFont="1" applyFill="1" applyBorder="1" applyAlignment="1" applyProtection="1">
      <alignment horizontal="left" vertical="center"/>
      <protection locked="0"/>
    </xf>
    <xf numFmtId="0" fontId="2" fillId="3" borderId="5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C2C8B2"/>
      <rgbColor rgb="00FFFF00"/>
      <rgbColor rgb="00FF00FF"/>
      <rgbColor rgb="0000FFFF"/>
      <rgbColor rgb="00800000"/>
      <rgbColor rgb="00008000"/>
      <rgbColor rgb="00000080"/>
      <rgbColor rgb="00808000"/>
      <rgbColor rgb="00DADCE8"/>
      <rgbColor rgb="00D2E1E8"/>
      <rgbColor rgb="00D2D2D2"/>
      <rgbColor rgb="0088888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A75A45"/>
      <rgbColor rgb="00CCFFCC"/>
      <rgbColor rgb="00FFFF99"/>
      <rgbColor rgb="00FDF8EC"/>
      <rgbColor rgb="00FF99CC"/>
      <rgbColor rgb="00EAEAEA"/>
      <rgbColor rgb="00FFCC99"/>
      <rgbColor rgb="00D6DACA"/>
      <rgbColor rgb="0033CCCC"/>
      <rgbColor rgb="0099CC00"/>
      <rgbColor rgb="00FFCC00"/>
      <rgbColor rgb="00FF9900"/>
      <rgbColor rgb="00FF6600"/>
      <rgbColor rgb="00C8CAD6"/>
      <rgbColor rgb="00B7B7B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12</xdr:row>
      <xdr:rowOff>114300</xdr:rowOff>
    </xdr:from>
    <xdr:to>
      <xdr:col>4</xdr:col>
      <xdr:colOff>142875</xdr:colOff>
      <xdr:row>30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333375" y="2162175"/>
          <a:ext cx="4286250" cy="2800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D2D2D2" mc:Ignorable="a14" a14:legacySpreadsheetColorIndex="22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Use esta libreta de calificaciones para calcular las calificaciones, donde cada tema merece una cantidad de puntos establecida.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Instrucciones: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   </a:t>
          </a:r>
          <a:r>
            <a:rPr lang="en-US" sz="800" b="0" i="0" u="none" strike="noStrike" baseline="0">
              <a:solidFill>
                <a:srgbClr val="A75A45"/>
              </a:solidFill>
              <a:latin typeface="Arial"/>
              <a:cs typeface="Arial"/>
            </a:rPr>
            <a:t>Asegúrese de guardar copias de seguridad de las notas, por si acaso.</a:t>
          </a: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1, Complete el nombre de la escuela, la información de la clase, los nombres de estudiantes y los Id. de estudiantes (opcional).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2, Ajuste la tabla de calificaciones y promedio de puntos por calificación (PPC) situada debajo, para que coincida con el sistema de resultados típico usado habitualmente.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3, Complete los nombres de las tareas o exámenes (por ejemplo "Cuestionario 1"); comience en la celda G6, con los puntos que merece cada tarea.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4, Complete los resultados de cada estudiante en cada tarea o examen. Las columnas "Promedio", "Calific. izq./dcha." y "PPC" se calculan automáticamente, pero puede reemplazarlas si lo desea. Para adjudicar puntos de crédito adicionales, sólo otorgue simplemente más puntos a una tarea que el total de puntos posibles indicados para ella.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Nota: Use el comando "Área de impresión" del menú Archivo si desea cambiar el área impresa.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A75A45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A75A45"/>
              </a:solidFill>
              <a:latin typeface="Arial"/>
              <a:cs typeface="Arial"/>
            </a:rPr>
            <a:t>Cuando termine de usar estas instrucciones, elimine este cuadro de texto; para ello, haga clic en el borde y presione la tecla SUPR. </a:t>
          </a:r>
          <a:endParaRPr lang="en-US"/>
        </a:p>
      </xdr:txBody>
    </xdr:sp>
    <xdr:clientData fPrintsWithSheet="0"/>
  </xdr:twoCellAnchor>
  <xdr:twoCellAnchor>
    <xdr:from>
      <xdr:col>6</xdr:col>
      <xdr:colOff>133350</xdr:colOff>
      <xdr:row>4</xdr:row>
      <xdr:rowOff>123825</xdr:rowOff>
    </xdr:from>
    <xdr:to>
      <xdr:col>14</xdr:col>
      <xdr:colOff>323850</xdr:colOff>
      <xdr:row>7</xdr:row>
      <xdr:rowOff>38100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5905500" y="733425"/>
          <a:ext cx="5029200" cy="447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DF8EC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D2D2D2" mc:Ignorable="a14" a14:legacySpreadsheetColorIndex="22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Escriba en esta tabla cada tarea o examen y los puntos que merece.</a:t>
          </a:r>
          <a:r>
            <a:rPr lang="en-US" sz="800" b="0" i="0" u="none" strike="noStrike" baseline="0">
              <a:solidFill>
                <a:srgbClr val="A75A45"/>
              </a:solidFill>
              <a:latin typeface="Arial"/>
              <a:cs typeface="Arial"/>
            </a:rPr>
            <a:t>Cuando termine de usar estas instrucciones, elimine este cuadro de texto; para ello, haga clic en el borde y presione la tecla SUPR. </a:t>
          </a:r>
          <a:endParaRPr lang="en-US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1"/>
  </sheetPr>
  <dimension ref="A1:AG57"/>
  <sheetViews>
    <sheetView showGridLines="0" tabSelected="1" topLeftCell="B1" workbookViewId="0">
      <selection activeCell="D55" sqref="D55:AG57"/>
    </sheetView>
  </sheetViews>
  <sheetFormatPr defaultRowHeight="13.5" x14ac:dyDescent="0.25"/>
  <cols>
    <col min="1" max="1" width="1.7109375" style="1" customWidth="1"/>
    <col min="2" max="2" width="37" style="1" customWidth="1"/>
    <col min="3" max="3" width="18.7109375" style="1" customWidth="1"/>
    <col min="4" max="6" width="9.7109375" style="1" customWidth="1"/>
    <col min="7" max="7" width="8.5703125" style="1" customWidth="1"/>
    <col min="8" max="16384" width="9.140625" style="1"/>
  </cols>
  <sheetData>
    <row r="1" spans="1:33" ht="9.75" customHeight="1" x14ac:dyDescent="0.3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3" s="4" customFormat="1" ht="12.95" customHeight="1" x14ac:dyDescent="0.3">
      <c r="B2" s="5"/>
      <c r="D2" s="6" t="s">
        <v>0</v>
      </c>
      <c r="E2" s="40">
        <v>0</v>
      </c>
      <c r="F2" s="40">
        <v>0.6</v>
      </c>
      <c r="G2" s="40">
        <v>0.63</v>
      </c>
      <c r="H2" s="40">
        <v>0.67</v>
      </c>
      <c r="I2" s="40">
        <v>0.7</v>
      </c>
      <c r="J2" s="40">
        <v>0.73</v>
      </c>
      <c r="K2" s="40">
        <v>0.77</v>
      </c>
      <c r="L2" s="40">
        <v>0.8</v>
      </c>
      <c r="M2" s="40">
        <v>0.83</v>
      </c>
      <c r="N2" s="40">
        <v>0.87</v>
      </c>
      <c r="O2" s="40">
        <v>0.9</v>
      </c>
      <c r="P2" s="40">
        <v>0.93</v>
      </c>
      <c r="Q2" s="40">
        <v>0.97</v>
      </c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</row>
    <row r="3" spans="1:33" s="4" customFormat="1" ht="12.95" customHeight="1" x14ac:dyDescent="0.3">
      <c r="B3" s="5"/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8" t="s">
        <v>6</v>
      </c>
      <c r="J3" s="8" t="s">
        <v>7</v>
      </c>
      <c r="K3" s="8" t="s">
        <v>8</v>
      </c>
      <c r="L3" s="8" t="s">
        <v>9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14</v>
      </c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</row>
    <row r="4" spans="1:33" s="4" customFormat="1" ht="12.95" customHeight="1" x14ac:dyDescent="0.3">
      <c r="B4" s="5"/>
      <c r="D4" s="7" t="s">
        <v>15</v>
      </c>
      <c r="E4" s="39">
        <v>0</v>
      </c>
      <c r="F4" s="39">
        <v>0.67</v>
      </c>
      <c r="G4" s="39">
        <v>1</v>
      </c>
      <c r="H4" s="39">
        <v>1.33</v>
      </c>
      <c r="I4" s="39">
        <v>1.67</v>
      </c>
      <c r="J4" s="39">
        <v>2</v>
      </c>
      <c r="K4" s="39">
        <v>2.33</v>
      </c>
      <c r="L4" s="39">
        <v>2.67</v>
      </c>
      <c r="M4" s="39">
        <v>3</v>
      </c>
      <c r="N4" s="39">
        <v>3.33</v>
      </c>
      <c r="O4" s="39">
        <v>3.67</v>
      </c>
      <c r="P4" s="39">
        <v>4</v>
      </c>
      <c r="Q4" s="39">
        <v>4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</row>
    <row r="5" spans="1:33" s="4" customFormat="1" ht="14.25" x14ac:dyDescent="0.3">
      <c r="B5" s="50" t="s">
        <v>16</v>
      </c>
      <c r="C5" s="50"/>
      <c r="D5" s="9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</row>
    <row r="6" spans="1:33" s="4" customFormat="1" x14ac:dyDescent="0.3">
      <c r="B6" s="50"/>
      <c r="C6" s="50"/>
      <c r="D6" s="11" t="s">
        <v>17</v>
      </c>
      <c r="E6" s="12"/>
      <c r="F6" s="13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</row>
    <row r="7" spans="1:33" s="15" customFormat="1" ht="14.25" customHeight="1" x14ac:dyDescent="0.2">
      <c r="A7" s="16"/>
      <c r="B7" s="50"/>
      <c r="C7" s="50"/>
      <c r="D7" s="11" t="s">
        <v>18</v>
      </c>
      <c r="E7" s="12"/>
      <c r="F7" s="17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3" s="15" customFormat="1" ht="14.25" x14ac:dyDescent="0.2">
      <c r="A8" s="16"/>
      <c r="B8" s="20" t="s">
        <v>19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</row>
    <row r="9" spans="1:33" s="15" customFormat="1" ht="14.25" x14ac:dyDescent="0.2">
      <c r="A9" s="16"/>
      <c r="B9" s="20" t="s">
        <v>20</v>
      </c>
      <c r="C9" s="16"/>
      <c r="D9" s="51" t="s">
        <v>21</v>
      </c>
      <c r="E9" s="52"/>
      <c r="F9" s="52"/>
      <c r="G9" s="53"/>
      <c r="H9" s="21">
        <f>COUNTA(G6:AG6)</f>
        <v>0</v>
      </c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</row>
    <row r="10" spans="1:33" s="15" customFormat="1" ht="14.25" x14ac:dyDescent="0.2">
      <c r="A10" s="16"/>
      <c r="B10" s="20" t="s">
        <v>22</v>
      </c>
      <c r="C10" s="16"/>
      <c r="D10" s="54" t="s">
        <v>23</v>
      </c>
      <c r="E10" s="55"/>
      <c r="F10" s="55"/>
      <c r="G10" s="56"/>
      <c r="H10" s="19">
        <f>SUM(G7:AG7)</f>
        <v>0</v>
      </c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</row>
    <row r="11" spans="1:33" s="22" customFormat="1" ht="14.25" x14ac:dyDescent="0.2">
      <c r="B11" s="16"/>
    </row>
    <row r="12" spans="1:33" s="18" customFormat="1" ht="14.25" x14ac:dyDescent="0.2">
      <c r="B12" s="23" t="s">
        <v>24</v>
      </c>
      <c r="C12" s="24" t="s">
        <v>25</v>
      </c>
      <c r="D12" s="24" t="s">
        <v>0</v>
      </c>
      <c r="E12" s="24" t="s">
        <v>1</v>
      </c>
      <c r="F12" s="25" t="s">
        <v>15</v>
      </c>
      <c r="G12" s="26" t="str">
        <f t="shared" ref="G12:AG12" si="0">IF(OR(G6,G6&gt;""),G6,"")</f>
        <v/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7" t="str">
        <f t="shared" si="0"/>
        <v/>
      </c>
      <c r="Q12" s="27" t="str">
        <f t="shared" si="0"/>
        <v/>
      </c>
      <c r="R12" s="27" t="str">
        <f t="shared" si="0"/>
        <v/>
      </c>
      <c r="S12" s="27" t="str">
        <f t="shared" si="0"/>
        <v/>
      </c>
      <c r="T12" s="27" t="str">
        <f t="shared" si="0"/>
        <v/>
      </c>
      <c r="U12" s="27" t="str">
        <f t="shared" si="0"/>
        <v/>
      </c>
      <c r="V12" s="27" t="str">
        <f t="shared" si="0"/>
        <v/>
      </c>
      <c r="W12" s="27" t="str">
        <f t="shared" si="0"/>
        <v/>
      </c>
      <c r="X12" s="27" t="str">
        <f t="shared" si="0"/>
        <v/>
      </c>
      <c r="Y12" s="27" t="str">
        <f t="shared" si="0"/>
        <v/>
      </c>
      <c r="Z12" s="27" t="str">
        <f t="shared" si="0"/>
        <v/>
      </c>
      <c r="AA12" s="27" t="str">
        <f t="shared" si="0"/>
        <v/>
      </c>
      <c r="AB12" s="27" t="str">
        <f t="shared" si="0"/>
        <v/>
      </c>
      <c r="AC12" s="27" t="str">
        <f t="shared" si="0"/>
        <v/>
      </c>
      <c r="AD12" s="27" t="str">
        <f t="shared" si="0"/>
        <v/>
      </c>
      <c r="AE12" s="27" t="str">
        <f t="shared" si="0"/>
        <v/>
      </c>
      <c r="AF12" s="27" t="str">
        <f t="shared" si="0"/>
        <v/>
      </c>
      <c r="AG12" s="27" t="str">
        <f t="shared" si="0"/>
        <v/>
      </c>
    </row>
    <row r="13" spans="1:33" s="15" customFormat="1" ht="12.95" customHeight="1" x14ac:dyDescent="0.2">
      <c r="A13" s="16"/>
      <c r="B13" s="28"/>
      <c r="C13" s="29"/>
      <c r="D13" s="30" t="str">
        <f>(IF(SUM(G13:AG13),ROUND(SUM(G13:AG13)/$H$10,2),""))</f>
        <v/>
      </c>
      <c r="E13" s="31" t="str">
        <f t="shared" ref="E13:E52" si="1">IF(D13&lt;&gt;"",HLOOKUP(D13,GradeTable,2),"")</f>
        <v/>
      </c>
      <c r="F13" s="41" t="str">
        <f t="shared" ref="F13:F52" si="2">IF(D13&lt;&gt;"",HLOOKUP(D13,GradeTable,3),"")</f>
        <v/>
      </c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</row>
    <row r="14" spans="1:33" s="15" customFormat="1" ht="12.95" customHeight="1" x14ac:dyDescent="0.2">
      <c r="A14" s="16"/>
      <c r="B14" s="33"/>
      <c r="C14" s="34"/>
      <c r="D14" s="30" t="str">
        <f t="shared" ref="D14:D52" si="3">(IF(SUM(G14:AG14),ROUND(SUM(G14:AG14)/$H$10,2),""))</f>
        <v/>
      </c>
      <c r="E14" s="31" t="str">
        <f t="shared" si="1"/>
        <v/>
      </c>
      <c r="F14" s="41" t="str">
        <f t="shared" si="2"/>
        <v/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</row>
    <row r="15" spans="1:33" s="15" customFormat="1" ht="12.95" customHeight="1" x14ac:dyDescent="0.2">
      <c r="A15" s="16"/>
      <c r="B15" s="28"/>
      <c r="C15" s="29"/>
      <c r="D15" s="30" t="str">
        <f t="shared" si="3"/>
        <v/>
      </c>
      <c r="E15" s="31" t="str">
        <f t="shared" si="1"/>
        <v/>
      </c>
      <c r="F15" s="41" t="str">
        <f t="shared" si="2"/>
        <v/>
      </c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</row>
    <row r="16" spans="1:33" s="15" customFormat="1" ht="12.95" customHeight="1" x14ac:dyDescent="0.2">
      <c r="A16" s="16"/>
      <c r="B16" s="33"/>
      <c r="C16" s="34"/>
      <c r="D16" s="30" t="str">
        <f t="shared" si="3"/>
        <v/>
      </c>
      <c r="E16" s="31" t="str">
        <f t="shared" si="1"/>
        <v/>
      </c>
      <c r="F16" s="41" t="str">
        <f t="shared" si="2"/>
        <v/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</row>
    <row r="17" spans="1:33" s="15" customFormat="1" ht="12.95" customHeight="1" x14ac:dyDescent="0.2">
      <c r="A17" s="16"/>
      <c r="B17" s="28"/>
      <c r="C17" s="29"/>
      <c r="D17" s="30" t="str">
        <f t="shared" si="3"/>
        <v/>
      </c>
      <c r="E17" s="31" t="str">
        <f t="shared" si="1"/>
        <v/>
      </c>
      <c r="F17" s="41" t="str">
        <f t="shared" si="2"/>
        <v/>
      </c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</row>
    <row r="18" spans="1:33" s="15" customFormat="1" ht="12.95" customHeight="1" x14ac:dyDescent="0.2">
      <c r="A18" s="16"/>
      <c r="B18" s="33"/>
      <c r="C18" s="34"/>
      <c r="D18" s="30" t="str">
        <f t="shared" si="3"/>
        <v/>
      </c>
      <c r="E18" s="31" t="str">
        <f t="shared" si="1"/>
        <v/>
      </c>
      <c r="F18" s="41" t="str">
        <f t="shared" si="2"/>
        <v/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</row>
    <row r="19" spans="1:33" s="15" customFormat="1" ht="12.95" customHeight="1" x14ac:dyDescent="0.2">
      <c r="A19" s="16"/>
      <c r="B19" s="28"/>
      <c r="C19" s="29"/>
      <c r="D19" s="30" t="str">
        <f t="shared" si="3"/>
        <v/>
      </c>
      <c r="E19" s="31" t="str">
        <f t="shared" si="1"/>
        <v/>
      </c>
      <c r="F19" s="41" t="str">
        <f t="shared" si="2"/>
        <v/>
      </c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</row>
    <row r="20" spans="1:33" s="15" customFormat="1" ht="12.95" customHeight="1" x14ac:dyDescent="0.2">
      <c r="A20" s="16"/>
      <c r="B20" s="33"/>
      <c r="C20" s="34"/>
      <c r="D20" s="30" t="str">
        <f t="shared" si="3"/>
        <v/>
      </c>
      <c r="E20" s="31" t="str">
        <f t="shared" si="1"/>
        <v/>
      </c>
      <c r="F20" s="41" t="str">
        <f t="shared" si="2"/>
        <v/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</row>
    <row r="21" spans="1:33" s="15" customFormat="1" ht="12.95" customHeight="1" x14ac:dyDescent="0.2">
      <c r="A21" s="16"/>
      <c r="B21" s="28"/>
      <c r="C21" s="29"/>
      <c r="D21" s="30" t="str">
        <f t="shared" si="3"/>
        <v/>
      </c>
      <c r="E21" s="31" t="str">
        <f t="shared" si="1"/>
        <v/>
      </c>
      <c r="F21" s="41" t="str">
        <f t="shared" si="2"/>
        <v/>
      </c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</row>
    <row r="22" spans="1:33" s="15" customFormat="1" ht="12.95" customHeight="1" x14ac:dyDescent="0.2">
      <c r="A22" s="16"/>
      <c r="B22" s="33"/>
      <c r="C22" s="34"/>
      <c r="D22" s="30" t="str">
        <f t="shared" si="3"/>
        <v/>
      </c>
      <c r="E22" s="31" t="str">
        <f t="shared" si="1"/>
        <v/>
      </c>
      <c r="F22" s="41" t="str">
        <f t="shared" si="2"/>
        <v/>
      </c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</row>
    <row r="23" spans="1:33" s="15" customFormat="1" ht="12.95" customHeight="1" x14ac:dyDescent="0.2">
      <c r="A23" s="16"/>
      <c r="B23" s="28"/>
      <c r="C23" s="29"/>
      <c r="D23" s="30" t="str">
        <f t="shared" si="3"/>
        <v/>
      </c>
      <c r="E23" s="31" t="str">
        <f t="shared" si="1"/>
        <v/>
      </c>
      <c r="F23" s="41" t="str">
        <f t="shared" si="2"/>
        <v/>
      </c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</row>
    <row r="24" spans="1:33" s="15" customFormat="1" ht="12.95" customHeight="1" x14ac:dyDescent="0.2">
      <c r="A24" s="16"/>
      <c r="B24" s="33"/>
      <c r="C24" s="34"/>
      <c r="D24" s="30" t="str">
        <f t="shared" si="3"/>
        <v/>
      </c>
      <c r="E24" s="31" t="str">
        <f t="shared" si="1"/>
        <v/>
      </c>
      <c r="F24" s="41" t="str">
        <f t="shared" si="2"/>
        <v/>
      </c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</row>
    <row r="25" spans="1:33" s="15" customFormat="1" ht="12.95" customHeight="1" x14ac:dyDescent="0.2">
      <c r="A25" s="16"/>
      <c r="B25" s="28"/>
      <c r="C25" s="29"/>
      <c r="D25" s="30" t="str">
        <f t="shared" si="3"/>
        <v/>
      </c>
      <c r="E25" s="31" t="str">
        <f t="shared" si="1"/>
        <v/>
      </c>
      <c r="F25" s="41" t="str">
        <f t="shared" si="2"/>
        <v/>
      </c>
      <c r="G25" s="32"/>
      <c r="H25" s="32"/>
      <c r="I25" s="32"/>
      <c r="J25" s="32"/>
      <c r="K25" s="32"/>
      <c r="L25" s="32"/>
      <c r="M25" s="32"/>
      <c r="N25" s="32"/>
      <c r="O25" s="32"/>
      <c r="P25" s="36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</row>
    <row r="26" spans="1:33" s="15" customFormat="1" ht="12.95" customHeight="1" x14ac:dyDescent="0.2">
      <c r="A26" s="16"/>
      <c r="B26" s="33"/>
      <c r="C26" s="34"/>
      <c r="D26" s="30" t="str">
        <f t="shared" si="3"/>
        <v/>
      </c>
      <c r="E26" s="31" t="str">
        <f t="shared" si="1"/>
        <v/>
      </c>
      <c r="F26" s="41" t="str">
        <f t="shared" si="2"/>
        <v/>
      </c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</row>
    <row r="27" spans="1:33" s="15" customFormat="1" ht="12.95" customHeight="1" x14ac:dyDescent="0.2">
      <c r="A27" s="16"/>
      <c r="B27" s="28"/>
      <c r="C27" s="29"/>
      <c r="D27" s="30" t="str">
        <f t="shared" si="3"/>
        <v/>
      </c>
      <c r="E27" s="31" t="str">
        <f t="shared" si="1"/>
        <v/>
      </c>
      <c r="F27" s="41" t="str">
        <f t="shared" si="2"/>
        <v/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</row>
    <row r="28" spans="1:33" s="15" customFormat="1" ht="12.95" customHeight="1" x14ac:dyDescent="0.2">
      <c r="A28" s="16"/>
      <c r="B28" s="33"/>
      <c r="C28" s="34"/>
      <c r="D28" s="30" t="str">
        <f t="shared" si="3"/>
        <v/>
      </c>
      <c r="E28" s="31" t="str">
        <f t="shared" si="1"/>
        <v/>
      </c>
      <c r="F28" s="41" t="str">
        <f t="shared" si="2"/>
        <v/>
      </c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</row>
    <row r="29" spans="1:33" s="15" customFormat="1" ht="12.95" customHeight="1" x14ac:dyDescent="0.2">
      <c r="A29" s="16"/>
      <c r="B29" s="28"/>
      <c r="C29" s="29"/>
      <c r="D29" s="30" t="str">
        <f t="shared" si="3"/>
        <v/>
      </c>
      <c r="E29" s="31" t="str">
        <f t="shared" si="1"/>
        <v/>
      </c>
      <c r="F29" s="41" t="str">
        <f t="shared" si="2"/>
        <v/>
      </c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</row>
    <row r="30" spans="1:33" s="15" customFormat="1" ht="12.95" customHeight="1" x14ac:dyDescent="0.2">
      <c r="A30" s="16"/>
      <c r="B30" s="33"/>
      <c r="C30" s="34"/>
      <c r="D30" s="30" t="str">
        <f t="shared" si="3"/>
        <v/>
      </c>
      <c r="E30" s="31" t="str">
        <f t="shared" si="1"/>
        <v/>
      </c>
      <c r="F30" s="41" t="str">
        <f t="shared" si="2"/>
        <v/>
      </c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</row>
    <row r="31" spans="1:33" s="15" customFormat="1" ht="12.95" customHeight="1" x14ac:dyDescent="0.2">
      <c r="A31" s="16"/>
      <c r="B31" s="28"/>
      <c r="C31" s="29"/>
      <c r="D31" s="30" t="str">
        <f t="shared" si="3"/>
        <v/>
      </c>
      <c r="E31" s="31" t="str">
        <f t="shared" si="1"/>
        <v/>
      </c>
      <c r="F31" s="41" t="str">
        <f t="shared" si="2"/>
        <v/>
      </c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</row>
    <row r="32" spans="1:33" s="15" customFormat="1" ht="12.95" customHeight="1" x14ac:dyDescent="0.2">
      <c r="A32" s="16"/>
      <c r="B32" s="33"/>
      <c r="C32" s="34"/>
      <c r="D32" s="30" t="str">
        <f t="shared" si="3"/>
        <v/>
      </c>
      <c r="E32" s="31" t="str">
        <f t="shared" si="1"/>
        <v/>
      </c>
      <c r="F32" s="41" t="str">
        <f t="shared" si="2"/>
        <v/>
      </c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</row>
    <row r="33" spans="1:33" s="15" customFormat="1" ht="12.95" customHeight="1" x14ac:dyDescent="0.2">
      <c r="A33" s="16"/>
      <c r="B33" s="28"/>
      <c r="C33" s="29"/>
      <c r="D33" s="30" t="str">
        <f t="shared" si="3"/>
        <v/>
      </c>
      <c r="E33" s="31" t="str">
        <f t="shared" si="1"/>
        <v/>
      </c>
      <c r="F33" s="41" t="str">
        <f t="shared" si="2"/>
        <v/>
      </c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</row>
    <row r="34" spans="1:33" s="15" customFormat="1" ht="12.95" customHeight="1" x14ac:dyDescent="0.2">
      <c r="A34" s="16"/>
      <c r="B34" s="33"/>
      <c r="C34" s="34"/>
      <c r="D34" s="30" t="str">
        <f t="shared" si="3"/>
        <v/>
      </c>
      <c r="E34" s="31" t="str">
        <f t="shared" si="1"/>
        <v/>
      </c>
      <c r="F34" s="41" t="str">
        <f t="shared" si="2"/>
        <v/>
      </c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</row>
    <row r="35" spans="1:33" s="15" customFormat="1" ht="12.95" customHeight="1" x14ac:dyDescent="0.2">
      <c r="A35" s="16"/>
      <c r="B35" s="28"/>
      <c r="C35" s="29"/>
      <c r="D35" s="30" t="str">
        <f t="shared" si="3"/>
        <v/>
      </c>
      <c r="E35" s="31" t="str">
        <f t="shared" si="1"/>
        <v/>
      </c>
      <c r="F35" s="41" t="str">
        <f t="shared" si="2"/>
        <v/>
      </c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</row>
    <row r="36" spans="1:33" s="15" customFormat="1" ht="12.95" customHeight="1" x14ac:dyDescent="0.2">
      <c r="A36" s="16"/>
      <c r="B36" s="33"/>
      <c r="C36" s="34"/>
      <c r="D36" s="30" t="str">
        <f t="shared" si="3"/>
        <v/>
      </c>
      <c r="E36" s="31" t="str">
        <f t="shared" si="1"/>
        <v/>
      </c>
      <c r="F36" s="41" t="str">
        <f t="shared" si="2"/>
        <v/>
      </c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</row>
    <row r="37" spans="1:33" s="15" customFormat="1" ht="12.95" customHeight="1" x14ac:dyDescent="0.2">
      <c r="A37" s="16"/>
      <c r="B37" s="28"/>
      <c r="C37" s="29"/>
      <c r="D37" s="30" t="str">
        <f t="shared" si="3"/>
        <v/>
      </c>
      <c r="E37" s="31" t="str">
        <f t="shared" si="1"/>
        <v/>
      </c>
      <c r="F37" s="41" t="str">
        <f t="shared" si="2"/>
        <v/>
      </c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</row>
    <row r="38" spans="1:33" s="15" customFormat="1" ht="12.95" customHeight="1" x14ac:dyDescent="0.2">
      <c r="A38" s="16"/>
      <c r="B38" s="33"/>
      <c r="C38" s="34"/>
      <c r="D38" s="30" t="str">
        <f t="shared" si="3"/>
        <v/>
      </c>
      <c r="E38" s="31" t="str">
        <f t="shared" si="1"/>
        <v/>
      </c>
      <c r="F38" s="41" t="str">
        <f t="shared" si="2"/>
        <v/>
      </c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</row>
    <row r="39" spans="1:33" s="15" customFormat="1" ht="12.95" customHeight="1" x14ac:dyDescent="0.2">
      <c r="A39" s="16"/>
      <c r="B39" s="28"/>
      <c r="C39" s="29"/>
      <c r="D39" s="30" t="str">
        <f t="shared" si="3"/>
        <v/>
      </c>
      <c r="E39" s="31" t="str">
        <f t="shared" si="1"/>
        <v/>
      </c>
      <c r="F39" s="41" t="str">
        <f t="shared" si="2"/>
        <v/>
      </c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</row>
    <row r="40" spans="1:33" s="15" customFormat="1" ht="12.95" customHeight="1" x14ac:dyDescent="0.2">
      <c r="A40" s="16"/>
      <c r="B40" s="33"/>
      <c r="C40" s="34"/>
      <c r="D40" s="30" t="str">
        <f t="shared" si="3"/>
        <v/>
      </c>
      <c r="E40" s="31" t="str">
        <f t="shared" si="1"/>
        <v/>
      </c>
      <c r="F40" s="41" t="str">
        <f t="shared" si="2"/>
        <v/>
      </c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</row>
    <row r="41" spans="1:33" s="15" customFormat="1" ht="12.95" customHeight="1" x14ac:dyDescent="0.2">
      <c r="A41" s="16"/>
      <c r="B41" s="28"/>
      <c r="C41" s="29"/>
      <c r="D41" s="30" t="str">
        <f t="shared" si="3"/>
        <v/>
      </c>
      <c r="E41" s="31" t="str">
        <f t="shared" si="1"/>
        <v/>
      </c>
      <c r="F41" s="41" t="str">
        <f t="shared" si="2"/>
        <v/>
      </c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</row>
    <row r="42" spans="1:33" s="15" customFormat="1" ht="12.95" customHeight="1" x14ac:dyDescent="0.2">
      <c r="A42" s="16"/>
      <c r="B42" s="33"/>
      <c r="C42" s="34"/>
      <c r="D42" s="30" t="str">
        <f t="shared" si="3"/>
        <v/>
      </c>
      <c r="E42" s="31" t="str">
        <f t="shared" si="1"/>
        <v/>
      </c>
      <c r="F42" s="41" t="str">
        <f t="shared" si="2"/>
        <v/>
      </c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</row>
    <row r="43" spans="1:33" s="15" customFormat="1" ht="12.95" customHeight="1" x14ac:dyDescent="0.2">
      <c r="A43" s="16"/>
      <c r="B43" s="28"/>
      <c r="C43" s="29"/>
      <c r="D43" s="30" t="str">
        <f t="shared" si="3"/>
        <v/>
      </c>
      <c r="E43" s="31" t="str">
        <f t="shared" si="1"/>
        <v/>
      </c>
      <c r="F43" s="41" t="str">
        <f t="shared" si="2"/>
        <v/>
      </c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</row>
    <row r="44" spans="1:33" s="15" customFormat="1" ht="12.95" customHeight="1" x14ac:dyDescent="0.2">
      <c r="A44" s="16"/>
      <c r="B44" s="33"/>
      <c r="C44" s="34"/>
      <c r="D44" s="30" t="str">
        <f t="shared" si="3"/>
        <v/>
      </c>
      <c r="E44" s="31" t="str">
        <f t="shared" si="1"/>
        <v/>
      </c>
      <c r="F44" s="41" t="str">
        <f t="shared" si="2"/>
        <v/>
      </c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</row>
    <row r="45" spans="1:33" s="15" customFormat="1" ht="12.95" customHeight="1" x14ac:dyDescent="0.2">
      <c r="A45" s="16"/>
      <c r="B45" s="28"/>
      <c r="C45" s="29"/>
      <c r="D45" s="30" t="str">
        <f t="shared" si="3"/>
        <v/>
      </c>
      <c r="E45" s="31" t="str">
        <f t="shared" si="1"/>
        <v/>
      </c>
      <c r="F45" s="41" t="str">
        <f t="shared" si="2"/>
        <v/>
      </c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</row>
    <row r="46" spans="1:33" s="15" customFormat="1" ht="12.95" customHeight="1" x14ac:dyDescent="0.2">
      <c r="A46" s="16"/>
      <c r="B46" s="33"/>
      <c r="C46" s="34"/>
      <c r="D46" s="30" t="str">
        <f t="shared" si="3"/>
        <v/>
      </c>
      <c r="E46" s="31" t="str">
        <f t="shared" si="1"/>
        <v/>
      </c>
      <c r="F46" s="41" t="str">
        <f t="shared" si="2"/>
        <v/>
      </c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33" s="15" customFormat="1" ht="12.95" customHeight="1" x14ac:dyDescent="0.2">
      <c r="A47" s="16"/>
      <c r="B47" s="28"/>
      <c r="C47" s="29"/>
      <c r="D47" s="30" t="str">
        <f t="shared" si="3"/>
        <v/>
      </c>
      <c r="E47" s="31" t="str">
        <f t="shared" si="1"/>
        <v/>
      </c>
      <c r="F47" s="41" t="str">
        <f t="shared" si="2"/>
        <v/>
      </c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</row>
    <row r="48" spans="1:33" s="15" customFormat="1" ht="12.95" customHeight="1" x14ac:dyDescent="0.2">
      <c r="A48" s="16"/>
      <c r="B48" s="33"/>
      <c r="C48" s="34"/>
      <c r="D48" s="30" t="str">
        <f t="shared" si="3"/>
        <v/>
      </c>
      <c r="E48" s="31" t="str">
        <f t="shared" si="1"/>
        <v/>
      </c>
      <c r="F48" s="41" t="str">
        <f t="shared" si="2"/>
        <v/>
      </c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</row>
    <row r="49" spans="1:33" s="15" customFormat="1" ht="12.95" customHeight="1" x14ac:dyDescent="0.2">
      <c r="A49" s="16"/>
      <c r="B49" s="28"/>
      <c r="C49" s="29"/>
      <c r="D49" s="30" t="str">
        <f t="shared" si="3"/>
        <v/>
      </c>
      <c r="E49" s="31" t="str">
        <f t="shared" si="1"/>
        <v/>
      </c>
      <c r="F49" s="41" t="str">
        <f t="shared" si="2"/>
        <v/>
      </c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</row>
    <row r="50" spans="1:33" s="15" customFormat="1" ht="12.95" customHeight="1" x14ac:dyDescent="0.2">
      <c r="A50" s="16"/>
      <c r="B50" s="33"/>
      <c r="C50" s="34"/>
      <c r="D50" s="30" t="str">
        <f t="shared" si="3"/>
        <v/>
      </c>
      <c r="E50" s="31" t="str">
        <f t="shared" si="1"/>
        <v/>
      </c>
      <c r="F50" s="41" t="str">
        <f t="shared" si="2"/>
        <v/>
      </c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</row>
    <row r="51" spans="1:33" s="15" customFormat="1" ht="12.95" customHeight="1" x14ac:dyDescent="0.2">
      <c r="A51" s="16"/>
      <c r="B51" s="28"/>
      <c r="C51" s="29"/>
      <c r="D51" s="30" t="str">
        <f t="shared" si="3"/>
        <v/>
      </c>
      <c r="E51" s="31" t="str">
        <f t="shared" si="1"/>
        <v/>
      </c>
      <c r="F51" s="41" t="str">
        <f t="shared" si="2"/>
        <v/>
      </c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</row>
    <row r="52" spans="1:33" s="15" customFormat="1" ht="12.95" customHeight="1" x14ac:dyDescent="0.2">
      <c r="A52" s="16"/>
      <c r="B52" s="33"/>
      <c r="C52" s="34"/>
      <c r="D52" s="30" t="str">
        <f t="shared" si="3"/>
        <v/>
      </c>
      <c r="E52" s="31" t="str">
        <f t="shared" si="1"/>
        <v/>
      </c>
      <c r="F52" s="41" t="str">
        <f t="shared" si="2"/>
        <v/>
      </c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</row>
    <row r="53" spans="1:33" s="15" customFormat="1" ht="4.5" customHeight="1" x14ac:dyDescent="0.2">
      <c r="A53" s="16"/>
      <c r="B53" s="37"/>
      <c r="C53" s="37"/>
      <c r="D53" s="37"/>
      <c r="E53" s="37"/>
      <c r="F53" s="37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</row>
    <row r="54" spans="1:33" s="18" customFormat="1" ht="14.25" x14ac:dyDescent="0.2">
      <c r="B54" s="57" t="s">
        <v>26</v>
      </c>
      <c r="C54" s="58"/>
      <c r="D54" s="27" t="str">
        <f t="shared" ref="D54:Q54" si="4">IF(OR(D12,D12&gt;""),D12,"")</f>
        <v>Promedio</v>
      </c>
      <c r="E54" s="27" t="str">
        <f t="shared" si="4"/>
        <v>Calific. izq./dcha.</v>
      </c>
      <c r="F54" s="27" t="str">
        <f t="shared" si="4"/>
        <v>PPC</v>
      </c>
      <c r="G54" s="26" t="str">
        <f t="shared" si="4"/>
        <v/>
      </c>
      <c r="H54" s="26" t="str">
        <f t="shared" si="4"/>
        <v/>
      </c>
      <c r="I54" s="26" t="str">
        <f t="shared" si="4"/>
        <v/>
      </c>
      <c r="J54" s="26" t="str">
        <f t="shared" si="4"/>
        <v/>
      </c>
      <c r="K54" s="26" t="str">
        <f t="shared" si="4"/>
        <v/>
      </c>
      <c r="L54" s="26" t="str">
        <f t="shared" si="4"/>
        <v/>
      </c>
      <c r="M54" s="26" t="str">
        <f t="shared" si="4"/>
        <v/>
      </c>
      <c r="N54" s="26" t="str">
        <f t="shared" si="4"/>
        <v/>
      </c>
      <c r="O54" s="26" t="str">
        <f t="shared" si="4"/>
        <v/>
      </c>
      <c r="P54" s="26" t="str">
        <f t="shared" si="4"/>
        <v/>
      </c>
      <c r="Q54" s="26" t="str">
        <f t="shared" si="4"/>
        <v/>
      </c>
      <c r="R54" s="26"/>
      <c r="S54" s="26"/>
      <c r="T54" s="26"/>
      <c r="U54" s="26"/>
      <c r="V54" s="26"/>
      <c r="W54" s="26"/>
      <c r="X54" s="26"/>
      <c r="Y54" s="26"/>
      <c r="Z54" s="26" t="str">
        <f t="shared" ref="Z54:AG54" si="5">IF(OR(Z12,Z12&gt;""),Z12,"")</f>
        <v/>
      </c>
      <c r="AA54" s="26" t="str">
        <f t="shared" si="5"/>
        <v/>
      </c>
      <c r="AB54" s="26" t="str">
        <f t="shared" si="5"/>
        <v/>
      </c>
      <c r="AC54" s="26" t="str">
        <f t="shared" si="5"/>
        <v/>
      </c>
      <c r="AD54" s="26" t="str">
        <f t="shared" si="5"/>
        <v/>
      </c>
      <c r="AE54" s="26" t="str">
        <f t="shared" si="5"/>
        <v/>
      </c>
      <c r="AF54" s="26" t="str">
        <f t="shared" si="5"/>
        <v/>
      </c>
      <c r="AG54" s="26" t="str">
        <f t="shared" si="5"/>
        <v/>
      </c>
    </row>
    <row r="55" spans="1:33" s="15" customFormat="1" ht="12.95" customHeight="1" x14ac:dyDescent="0.2">
      <c r="A55" s="16"/>
      <c r="B55" s="59" t="s">
        <v>0</v>
      </c>
      <c r="C55" s="60"/>
      <c r="D55" s="42" t="str">
        <f>IF(SUM(D13:D52),AVERAGE(D13:D52),"")</f>
        <v/>
      </c>
      <c r="E55" s="43" t="str">
        <f>IF(D55&lt;&gt;"",HLOOKUP(D55,GradeTable,2),"")</f>
        <v/>
      </c>
      <c r="F55" s="44" t="str">
        <f>IF(SUM(F13:F52),AVERAGE(F13:F52),"")</f>
        <v/>
      </c>
      <c r="G55" s="45" t="str">
        <f>IF(SUM(G13:G52),AVERAGE(G13:G52),"")</f>
        <v/>
      </c>
      <c r="H55" s="45" t="str">
        <f t="shared" ref="H55:AG55" si="6">IF(SUM(H13:H52),AVERAGE(H13:H52),"")</f>
        <v/>
      </c>
      <c r="I55" s="45" t="str">
        <f t="shared" si="6"/>
        <v/>
      </c>
      <c r="J55" s="45" t="str">
        <f t="shared" si="6"/>
        <v/>
      </c>
      <c r="K55" s="45" t="str">
        <f t="shared" si="6"/>
        <v/>
      </c>
      <c r="L55" s="45" t="str">
        <f t="shared" si="6"/>
        <v/>
      </c>
      <c r="M55" s="45" t="str">
        <f t="shared" si="6"/>
        <v/>
      </c>
      <c r="N55" s="45" t="str">
        <f t="shared" si="6"/>
        <v/>
      </c>
      <c r="O55" s="45" t="str">
        <f t="shared" si="6"/>
        <v/>
      </c>
      <c r="P55" s="45" t="str">
        <f t="shared" si="6"/>
        <v/>
      </c>
      <c r="Q55" s="45" t="str">
        <f t="shared" si="6"/>
        <v/>
      </c>
      <c r="R55" s="45" t="str">
        <f t="shared" si="6"/>
        <v/>
      </c>
      <c r="S55" s="45" t="str">
        <f t="shared" si="6"/>
        <v/>
      </c>
      <c r="T55" s="45" t="str">
        <f t="shared" si="6"/>
        <v/>
      </c>
      <c r="U55" s="45" t="str">
        <f t="shared" si="6"/>
        <v/>
      </c>
      <c r="V55" s="45" t="str">
        <f t="shared" si="6"/>
        <v/>
      </c>
      <c r="W55" s="45" t="str">
        <f t="shared" si="6"/>
        <v/>
      </c>
      <c r="X55" s="45" t="str">
        <f t="shared" si="6"/>
        <v/>
      </c>
      <c r="Y55" s="45" t="str">
        <f t="shared" si="6"/>
        <v/>
      </c>
      <c r="Z55" s="45" t="str">
        <f t="shared" si="6"/>
        <v/>
      </c>
      <c r="AA55" s="45" t="str">
        <f t="shared" si="6"/>
        <v/>
      </c>
      <c r="AB55" s="45" t="str">
        <f t="shared" si="6"/>
        <v/>
      </c>
      <c r="AC55" s="45" t="str">
        <f t="shared" si="6"/>
        <v/>
      </c>
      <c r="AD55" s="45" t="str">
        <f t="shared" si="6"/>
        <v/>
      </c>
      <c r="AE55" s="45" t="str">
        <f t="shared" si="6"/>
        <v/>
      </c>
      <c r="AF55" s="45" t="str">
        <f t="shared" si="6"/>
        <v/>
      </c>
      <c r="AG55" s="45" t="str">
        <f t="shared" si="6"/>
        <v/>
      </c>
    </row>
    <row r="56" spans="1:33" s="15" customFormat="1" ht="12.95" customHeight="1" x14ac:dyDescent="0.2">
      <c r="A56" s="16"/>
      <c r="B56" s="61" t="s">
        <v>27</v>
      </c>
      <c r="C56" s="62"/>
      <c r="D56" s="46" t="str">
        <f>IF(SUM(D13:D52),MAX(D13:D52),"")</f>
        <v/>
      </c>
      <c r="E56" s="47" t="str">
        <f>IF(D56&lt;&gt;"",HLOOKUP(D56,GradeTable,2),"")</f>
        <v/>
      </c>
      <c r="F56" s="48" t="str">
        <f>IF(SUM(F13:F52),MAX(F13:F52),"")</f>
        <v/>
      </c>
      <c r="G56" s="49" t="str">
        <f>IF(SUM(G13:G52),MAX(G13:G52),"")</f>
        <v/>
      </c>
      <c r="H56" s="49" t="str">
        <f t="shared" ref="H56:AG56" si="7">IF(SUM(H13:H52),MAX(H13:H52),"")</f>
        <v/>
      </c>
      <c r="I56" s="49" t="str">
        <f t="shared" si="7"/>
        <v/>
      </c>
      <c r="J56" s="49" t="str">
        <f t="shared" si="7"/>
        <v/>
      </c>
      <c r="K56" s="49" t="str">
        <f t="shared" si="7"/>
        <v/>
      </c>
      <c r="L56" s="49" t="str">
        <f t="shared" si="7"/>
        <v/>
      </c>
      <c r="M56" s="49" t="str">
        <f t="shared" si="7"/>
        <v/>
      </c>
      <c r="N56" s="49" t="str">
        <f t="shared" si="7"/>
        <v/>
      </c>
      <c r="O56" s="49" t="str">
        <f t="shared" si="7"/>
        <v/>
      </c>
      <c r="P56" s="49" t="str">
        <f t="shared" si="7"/>
        <v/>
      </c>
      <c r="Q56" s="49" t="str">
        <f t="shared" si="7"/>
        <v/>
      </c>
      <c r="R56" s="49" t="str">
        <f t="shared" si="7"/>
        <v/>
      </c>
      <c r="S56" s="49" t="str">
        <f t="shared" si="7"/>
        <v/>
      </c>
      <c r="T56" s="49" t="str">
        <f t="shared" si="7"/>
        <v/>
      </c>
      <c r="U56" s="49" t="str">
        <f t="shared" si="7"/>
        <v/>
      </c>
      <c r="V56" s="49" t="str">
        <f t="shared" si="7"/>
        <v/>
      </c>
      <c r="W56" s="49" t="str">
        <f t="shared" si="7"/>
        <v/>
      </c>
      <c r="X56" s="49" t="str">
        <f t="shared" si="7"/>
        <v/>
      </c>
      <c r="Y56" s="49" t="str">
        <f t="shared" si="7"/>
        <v/>
      </c>
      <c r="Z56" s="49" t="str">
        <f t="shared" si="7"/>
        <v/>
      </c>
      <c r="AA56" s="49" t="str">
        <f t="shared" si="7"/>
        <v/>
      </c>
      <c r="AB56" s="49" t="str">
        <f t="shared" si="7"/>
        <v/>
      </c>
      <c r="AC56" s="49" t="str">
        <f t="shared" si="7"/>
        <v/>
      </c>
      <c r="AD56" s="49" t="str">
        <f t="shared" si="7"/>
        <v/>
      </c>
      <c r="AE56" s="49" t="str">
        <f t="shared" si="7"/>
        <v/>
      </c>
      <c r="AF56" s="49" t="str">
        <f t="shared" si="7"/>
        <v/>
      </c>
      <c r="AG56" s="49" t="str">
        <f t="shared" si="7"/>
        <v/>
      </c>
    </row>
    <row r="57" spans="1:33" s="15" customFormat="1" ht="12.95" customHeight="1" x14ac:dyDescent="0.2">
      <c r="A57" s="16"/>
      <c r="B57" s="59" t="s">
        <v>28</v>
      </c>
      <c r="C57" s="60"/>
      <c r="D57" s="42" t="str">
        <f>IF(SUM(D13:D52),MIN(D13:D52),"")</f>
        <v/>
      </c>
      <c r="E57" s="43" t="str">
        <f>IF(D57&lt;&gt;"",HLOOKUP(D57,GradeTable,2),"")</f>
        <v/>
      </c>
      <c r="F57" s="44" t="str">
        <f>IF(SUM(F13:F52),MIN(F13:F52),"")</f>
        <v/>
      </c>
      <c r="G57" s="45" t="str">
        <f>IF(SUM(G13:G52),MIN(G13:G52),"")</f>
        <v/>
      </c>
      <c r="H57" s="45" t="str">
        <f t="shared" ref="H57:AG57" si="8">IF(SUM(H13:H52),MIN(H13:H52),"")</f>
        <v/>
      </c>
      <c r="I57" s="45" t="str">
        <f t="shared" si="8"/>
        <v/>
      </c>
      <c r="J57" s="45" t="str">
        <f t="shared" si="8"/>
        <v/>
      </c>
      <c r="K57" s="45" t="str">
        <f t="shared" si="8"/>
        <v/>
      </c>
      <c r="L57" s="45" t="str">
        <f t="shared" si="8"/>
        <v/>
      </c>
      <c r="M57" s="45" t="str">
        <f t="shared" si="8"/>
        <v/>
      </c>
      <c r="N57" s="45" t="str">
        <f t="shared" si="8"/>
        <v/>
      </c>
      <c r="O57" s="45" t="str">
        <f t="shared" si="8"/>
        <v/>
      </c>
      <c r="P57" s="45" t="str">
        <f t="shared" si="8"/>
        <v/>
      </c>
      <c r="Q57" s="45" t="str">
        <f t="shared" si="8"/>
        <v/>
      </c>
      <c r="R57" s="45" t="str">
        <f t="shared" si="8"/>
        <v/>
      </c>
      <c r="S57" s="45" t="str">
        <f t="shared" si="8"/>
        <v/>
      </c>
      <c r="T57" s="45" t="str">
        <f t="shared" si="8"/>
        <v/>
      </c>
      <c r="U57" s="45" t="str">
        <f t="shared" si="8"/>
        <v/>
      </c>
      <c r="V57" s="45" t="str">
        <f t="shared" si="8"/>
        <v/>
      </c>
      <c r="W57" s="45" t="str">
        <f t="shared" si="8"/>
        <v/>
      </c>
      <c r="X57" s="45" t="str">
        <f t="shared" si="8"/>
        <v/>
      </c>
      <c r="Y57" s="45" t="str">
        <f t="shared" si="8"/>
        <v/>
      </c>
      <c r="Z57" s="45" t="str">
        <f t="shared" si="8"/>
        <v/>
      </c>
      <c r="AA57" s="45" t="str">
        <f t="shared" si="8"/>
        <v/>
      </c>
      <c r="AB57" s="45" t="str">
        <f t="shared" si="8"/>
        <v/>
      </c>
      <c r="AC57" s="45" t="str">
        <f t="shared" si="8"/>
        <v/>
      </c>
      <c r="AD57" s="45" t="str">
        <f t="shared" si="8"/>
        <v/>
      </c>
      <c r="AE57" s="45" t="str">
        <f t="shared" si="8"/>
        <v/>
      </c>
      <c r="AF57" s="45" t="str">
        <f t="shared" si="8"/>
        <v/>
      </c>
      <c r="AG57" s="45" t="str">
        <f t="shared" si="8"/>
        <v/>
      </c>
    </row>
  </sheetData>
  <mergeCells count="7">
    <mergeCell ref="B56:C56"/>
    <mergeCell ref="B57:C57"/>
    <mergeCell ref="B5:C7"/>
    <mergeCell ref="D9:G9"/>
    <mergeCell ref="D10:G10"/>
    <mergeCell ref="B54:C54"/>
    <mergeCell ref="B55:C55"/>
  </mergeCells>
  <phoneticPr fontId="0" type="noConversion"/>
  <pageMargins left="0.5" right="0.5" top="0.5" bottom="1" header="0.5" footer="0.5"/>
  <pageSetup paperSize="9" orientation="landscape" r:id="rId1"/>
  <headerFooter alignWithMargins="0">
    <oddFooter>Page &amp;P of &amp;N</oddFooter>
  </headerFooter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arketSpecific xmlns="2958f784-0ef9-4616-b22d-512a8cad1f0d">false</MarketSpecific>
    <ApprovalStatus xmlns="2958f784-0ef9-4616-b22d-512a8cad1f0d">InProgress</ApprovalStatus>
    <LocComments xmlns="2958f784-0ef9-4616-b22d-512a8cad1f0d" xsi:nil="true"/>
    <DirectSourceMarket xmlns="2958f784-0ef9-4616-b22d-512a8cad1f0d">english</DirectSourceMarket>
    <ThumbnailAssetId xmlns="2958f784-0ef9-4616-b22d-512a8cad1f0d" xsi:nil="true"/>
    <PrimaryImageGen xmlns="2958f784-0ef9-4616-b22d-512a8cad1f0d">true</PrimaryImageGen>
    <LegacyData xmlns="2958f784-0ef9-4616-b22d-512a8cad1f0d" xsi:nil="true"/>
    <TPFriendlyName xmlns="2958f784-0ef9-4616-b22d-512a8cad1f0d" xsi:nil="true"/>
    <NumericId xmlns="2958f784-0ef9-4616-b22d-512a8cad1f0d" xsi:nil="true"/>
    <LocRecommendedHandoff xmlns="2958f784-0ef9-4616-b22d-512a8cad1f0d" xsi:nil="true"/>
    <BlockPublish xmlns="2958f784-0ef9-4616-b22d-512a8cad1f0d">false</BlockPublish>
    <BusinessGroup xmlns="2958f784-0ef9-4616-b22d-512a8cad1f0d" xsi:nil="true"/>
    <OpenTemplate xmlns="2958f784-0ef9-4616-b22d-512a8cad1f0d">true</OpenTemplate>
    <SourceTitle xmlns="2958f784-0ef9-4616-b22d-512a8cad1f0d">Grade book (based on points)</SourceTitle>
    <APEditor xmlns="2958f784-0ef9-4616-b22d-512a8cad1f0d">
      <UserInfo>
        <DisplayName/>
        <AccountId xsi:nil="true"/>
        <AccountType/>
      </UserInfo>
    </APEditor>
    <UALocComments xmlns="2958f784-0ef9-4616-b22d-512a8cad1f0d">2007 Template UpLeveling Do Not HandOff</UALocComments>
    <IntlLangReviewDate xmlns="2958f784-0ef9-4616-b22d-512a8cad1f0d" xsi:nil="true"/>
    <PublishStatusLookup xmlns="2958f784-0ef9-4616-b22d-512a8cad1f0d">
      <Value>656558</Value>
      <Value>656594</Value>
    </PublishStatusLookup>
    <ParentAssetId xmlns="2958f784-0ef9-4616-b22d-512a8cad1f0d" xsi:nil="true"/>
    <FeatureTagsTaxHTField0 xmlns="2958f784-0ef9-4616-b22d-512a8cad1f0d">
      <Terms xmlns="http://schemas.microsoft.com/office/infopath/2007/PartnerControls"/>
    </FeatureTagsTaxHTField0>
    <MachineTranslated xmlns="2958f784-0ef9-4616-b22d-512a8cad1f0d">false</MachineTranslated>
    <Providers xmlns="2958f784-0ef9-4616-b22d-512a8cad1f0d" xsi:nil="true"/>
    <OriginalSourceMarket xmlns="2958f784-0ef9-4616-b22d-512a8cad1f0d">english</OriginalSourceMarket>
    <APDescription xmlns="2958f784-0ef9-4616-b22d-512a8cad1f0d" xsi:nil="true"/>
    <ContentItem xmlns="2958f784-0ef9-4616-b22d-512a8cad1f0d" xsi:nil="true"/>
    <ClipArtFilename xmlns="2958f784-0ef9-4616-b22d-512a8cad1f0d" xsi:nil="true"/>
    <TPInstallLocation xmlns="2958f784-0ef9-4616-b22d-512a8cad1f0d" xsi:nil="true"/>
    <TimesCloned xmlns="2958f784-0ef9-4616-b22d-512a8cad1f0d" xsi:nil="true"/>
    <PublishTargets xmlns="2958f784-0ef9-4616-b22d-512a8cad1f0d">OfficeOnline,OfficeOnlineVNext</PublishTargets>
    <AcquiredFrom xmlns="2958f784-0ef9-4616-b22d-512a8cad1f0d">Internal MS</AcquiredFrom>
    <AssetStart xmlns="2958f784-0ef9-4616-b22d-512a8cad1f0d">2012-01-16T21:29:00+00:00</AssetStart>
    <FriendlyTitle xmlns="2958f784-0ef9-4616-b22d-512a8cad1f0d" xsi:nil="true"/>
    <Provider xmlns="2958f784-0ef9-4616-b22d-512a8cad1f0d" xsi:nil="true"/>
    <LastHandOff xmlns="2958f784-0ef9-4616-b22d-512a8cad1f0d" xsi:nil="true"/>
    <Manager xmlns="2958f784-0ef9-4616-b22d-512a8cad1f0d" xsi:nil="true"/>
    <UALocRecommendation xmlns="2958f784-0ef9-4616-b22d-512a8cad1f0d">Localize</UALocRecommendation>
    <ArtSampleDocs xmlns="2958f784-0ef9-4616-b22d-512a8cad1f0d" xsi:nil="true"/>
    <UACurrentWords xmlns="2958f784-0ef9-4616-b22d-512a8cad1f0d" xsi:nil="true"/>
    <TPClientViewer xmlns="2958f784-0ef9-4616-b22d-512a8cad1f0d" xsi:nil="true"/>
    <TemplateStatus xmlns="2958f784-0ef9-4616-b22d-512a8cad1f0d">Complete</TemplateStatus>
    <ShowIn xmlns="2958f784-0ef9-4616-b22d-512a8cad1f0d">Show everywhere</ShowIn>
    <CSXHash xmlns="2958f784-0ef9-4616-b22d-512a8cad1f0d" xsi:nil="true"/>
    <Downloads xmlns="2958f784-0ef9-4616-b22d-512a8cad1f0d">0</Downloads>
    <VoteCount xmlns="2958f784-0ef9-4616-b22d-512a8cad1f0d" xsi:nil="true"/>
    <OOCacheId xmlns="2958f784-0ef9-4616-b22d-512a8cad1f0d" xsi:nil="true"/>
    <IsDeleted xmlns="2958f784-0ef9-4616-b22d-512a8cad1f0d">false</IsDeleted>
    <InternalTagsTaxHTField0 xmlns="2958f784-0ef9-4616-b22d-512a8cad1f0d">
      <Terms xmlns="http://schemas.microsoft.com/office/infopath/2007/PartnerControls"/>
    </InternalTagsTaxHTField0>
    <UANotes xmlns="2958f784-0ef9-4616-b22d-512a8cad1f0d">2003 to 2007 conversion</UANotes>
    <AssetExpire xmlns="2958f784-0ef9-4616-b22d-512a8cad1f0d">2035-01-01T08:00:00+00:00</AssetExpire>
    <CSXSubmissionMarket xmlns="2958f784-0ef9-4616-b22d-512a8cad1f0d" xsi:nil="true"/>
    <DSATActionTaken xmlns="2958f784-0ef9-4616-b22d-512a8cad1f0d" xsi:nil="true"/>
    <SubmitterId xmlns="2958f784-0ef9-4616-b22d-512a8cad1f0d" xsi:nil="true"/>
    <EditorialTags xmlns="2958f784-0ef9-4616-b22d-512a8cad1f0d" xsi:nil="true"/>
    <TPExecutable xmlns="2958f784-0ef9-4616-b22d-512a8cad1f0d" xsi:nil="true"/>
    <CSXSubmissionDate xmlns="2958f784-0ef9-4616-b22d-512a8cad1f0d" xsi:nil="true"/>
    <CSXUpdate xmlns="2958f784-0ef9-4616-b22d-512a8cad1f0d">false</CSXUpdate>
    <AssetType xmlns="2958f784-0ef9-4616-b22d-512a8cad1f0d">TP</AssetType>
    <ApprovalLog xmlns="2958f784-0ef9-4616-b22d-512a8cad1f0d" xsi:nil="true"/>
    <BugNumber xmlns="2958f784-0ef9-4616-b22d-512a8cad1f0d" xsi:nil="true"/>
    <OriginAsset xmlns="2958f784-0ef9-4616-b22d-512a8cad1f0d" xsi:nil="true"/>
    <TPComponent xmlns="2958f784-0ef9-4616-b22d-512a8cad1f0d" xsi:nil="true"/>
    <Milestone xmlns="2958f784-0ef9-4616-b22d-512a8cad1f0d" xsi:nil="true"/>
    <RecommendationsModifier xmlns="2958f784-0ef9-4616-b22d-512a8cad1f0d" xsi:nil="true"/>
    <Description0 xmlns="fb5acd76-e9f3-4601-9d69-91f53ab96ae6" xsi:nil="true"/>
    <Component xmlns="fb5acd76-e9f3-4601-9d69-91f53ab96ae6" xsi:nil="true"/>
    <AssetId xmlns="2958f784-0ef9-4616-b22d-512a8cad1f0d">TP102816558</AssetId>
    <PolicheckWords xmlns="2958f784-0ef9-4616-b22d-512a8cad1f0d" xsi:nil="true"/>
    <TPLaunchHelpLink xmlns="2958f784-0ef9-4616-b22d-512a8cad1f0d" xsi:nil="true"/>
    <IntlLocPriority xmlns="2958f784-0ef9-4616-b22d-512a8cad1f0d" xsi:nil="true"/>
    <TPApplication xmlns="2958f784-0ef9-4616-b22d-512a8cad1f0d" xsi:nil="true"/>
    <IntlLangReviewer xmlns="2958f784-0ef9-4616-b22d-512a8cad1f0d" xsi:nil="true"/>
    <HandoffToMSDN xmlns="2958f784-0ef9-4616-b22d-512a8cad1f0d" xsi:nil="true"/>
    <PlannedPubDate xmlns="2958f784-0ef9-4616-b22d-512a8cad1f0d" xsi:nil="true"/>
    <CrawlForDependencies xmlns="2958f784-0ef9-4616-b22d-512a8cad1f0d">false</CrawlForDependencies>
    <LocLastLocAttemptVersionLookup xmlns="2958f784-0ef9-4616-b22d-512a8cad1f0d">788287</LocLastLocAttemptVersionLookup>
    <TrustLevel xmlns="2958f784-0ef9-4616-b22d-512a8cad1f0d">1 Microsoft Managed Content</TrustLevel>
    <CampaignTagsTaxHTField0 xmlns="2958f784-0ef9-4616-b22d-512a8cad1f0d">
      <Terms xmlns="http://schemas.microsoft.com/office/infopath/2007/PartnerControls"/>
    </CampaignTagsTaxHTField0>
    <TPNamespace xmlns="2958f784-0ef9-4616-b22d-512a8cad1f0d" xsi:nil="true"/>
    <TaxCatchAll xmlns="2958f784-0ef9-4616-b22d-512a8cad1f0d"/>
    <IsSearchable xmlns="2958f784-0ef9-4616-b22d-512a8cad1f0d">true</IsSearchable>
    <TemplateTemplateType xmlns="2958f784-0ef9-4616-b22d-512a8cad1f0d">Excel 2007 Default</TemplateTemplateType>
    <Markets xmlns="2958f784-0ef9-4616-b22d-512a8cad1f0d"/>
    <IntlLangReview xmlns="2958f784-0ef9-4616-b22d-512a8cad1f0d">false</IntlLangReview>
    <UAProjectedTotalWords xmlns="2958f784-0ef9-4616-b22d-512a8cad1f0d" xsi:nil="true"/>
    <OutputCachingOn xmlns="2958f784-0ef9-4616-b22d-512a8cad1f0d">false</OutputCachingOn>
    <AverageRating xmlns="2958f784-0ef9-4616-b22d-512a8cad1f0d" xsi:nil="true"/>
    <APAuthor xmlns="2958f784-0ef9-4616-b22d-512a8cad1f0d">
      <UserInfo>
        <DisplayName/>
        <AccountId>2721</AccountId>
        <AccountType/>
      </UserInfo>
    </APAuthor>
    <TPCommandLine xmlns="2958f784-0ef9-4616-b22d-512a8cad1f0d" xsi:nil="true"/>
    <LocManualTestRequired xmlns="2958f784-0ef9-4616-b22d-512a8cad1f0d">false</LocManualTestRequired>
    <TPAppVersion xmlns="2958f784-0ef9-4616-b22d-512a8cad1f0d" xsi:nil="true"/>
    <EditorialStatus xmlns="2958f784-0ef9-4616-b22d-512a8cad1f0d" xsi:nil="true"/>
    <LastModifiedDateTime xmlns="2958f784-0ef9-4616-b22d-512a8cad1f0d" xsi:nil="true"/>
    <TPLaunchHelpLinkType xmlns="2958f784-0ef9-4616-b22d-512a8cad1f0d">Template</TPLaunchHelpLinkType>
    <OriginalRelease xmlns="2958f784-0ef9-4616-b22d-512a8cad1f0d">14</OriginalRelease>
    <ScenarioTagsTaxHTField0 xmlns="2958f784-0ef9-4616-b22d-512a8cad1f0d">
      <Terms xmlns="http://schemas.microsoft.com/office/infopath/2007/PartnerControls"/>
    </ScenarioTagsTaxHTField0>
    <LocalizationTagsTaxHTField0 xmlns="2958f784-0ef9-4616-b22d-512a8cad1f0d">
      <Terms xmlns="http://schemas.microsoft.com/office/infopath/2007/PartnerControls"/>
    </LocalizationTagsTaxHTField0>
    <LocMarketGroupTiers2 xmlns="2958f784-0ef9-4616-b22d-512a8cad1f0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E562B603-5E76-4154-8AA9-C4CCD4BE5053}"/>
</file>

<file path=customXml/itemProps2.xml><?xml version="1.0" encoding="utf-8"?>
<ds:datastoreItem xmlns:ds="http://schemas.openxmlformats.org/officeDocument/2006/customXml" ds:itemID="{14429097-F150-4B5C-9660-23368C1FCF61}"/>
</file>

<file path=customXml/itemProps3.xml><?xml version="1.0" encoding="utf-8"?>
<ds:datastoreItem xmlns:ds="http://schemas.openxmlformats.org/officeDocument/2006/customXml" ds:itemID="{DEF1F037-521B-4B18-BA42-F39097A2FC3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Libreta de calificaciones</vt:lpstr>
      <vt:lpstr>GradeTable</vt:lpstr>
      <vt:lpstr>'Libreta de calificaciones'!Print_Area</vt:lpstr>
      <vt:lpstr>'Libreta de calificaciones'!Print_Titles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Michal Borek</cp:lastModifiedBy>
  <cp:lastPrinted>2004-01-07T18:00:44Z</cp:lastPrinted>
  <dcterms:created xsi:type="dcterms:W3CDTF">2000-08-31T02:37:50Z</dcterms:created>
  <dcterms:modified xsi:type="dcterms:W3CDTF">2012-07-11T13:26:41Z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TC010183973082</vt:lpwstr>
  </property>
  <property fmtid="{D5CDD505-2E9C-101B-9397-08002B2CF9AE}" pid="3" name="InternalTags">
    <vt:lpwstr/>
  </property>
  <property fmtid="{D5CDD505-2E9C-101B-9397-08002B2CF9AE}" pid="4" name="ContentTypeId">
    <vt:lpwstr>0x010100DE95A0C693CEB341887D38A4A2B58B45040072C752107C5A7B47AA91A1EE638E6F1F</vt:lpwstr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ScenarioTags">
    <vt:lpwstr/>
  </property>
  <property fmtid="{D5CDD505-2E9C-101B-9397-08002B2CF9AE}" pid="8" name="CampaignTags">
    <vt:lpwstr/>
  </property>
  <property fmtid="{D5CDD505-2E9C-101B-9397-08002B2CF9AE}" pid="9" name="Order">
    <vt:r8>14045900</vt:r8>
  </property>
  <property fmtid="{D5CDD505-2E9C-101B-9397-08002B2CF9AE}" pid="10" name="HiddenCategoryTags">
    <vt:lpwstr/>
  </property>
  <property fmtid="{D5CDD505-2E9C-101B-9397-08002B2CF9AE}" pid="11" name="ImageGenStatus">
    <vt:i4>0</vt:i4>
  </property>
  <property fmtid="{D5CDD505-2E9C-101B-9397-08002B2CF9AE}" pid="12" name="CategoryTags">
    <vt:lpwstr/>
  </property>
  <property fmtid="{D5CDD505-2E9C-101B-9397-08002B2CF9AE}" pid="13" name="Applications">
    <vt:lpwstr/>
  </property>
  <property fmtid="{D5CDD505-2E9C-101B-9397-08002B2CF9AE}" pid="14" name="LocMarketGroupTiers">
    <vt:lpwstr>,t:Tier 1,t:Tier 2,t:Tier 3,</vt:lpwstr>
  </property>
</Properties>
</file>