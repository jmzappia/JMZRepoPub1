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tables/table21.xml" ContentType="application/vnd.openxmlformats-officedocument.spreadsheetml.table+xml"/>
  <Override PartName="/xl/tables/table62.xml" ContentType="application/vnd.openxmlformats-officedocument.spreadsheetml.table+xml"/>
  <Override PartName="/xl/tables/table13.xml" ContentType="application/vnd.openxmlformats-officedocument.spreadsheetml.table+xml"/>
  <Override PartName="/xl/tables/table54.xml" ContentType="application/vnd.openxmlformats-officedocument.spreadsheetml.table+xml"/>
  <Override PartName="/xl/tables/table45.xml" ContentType="application/vnd.openxmlformats-officedocument.spreadsheetml.table+xml"/>
  <Override PartName="/xl/tables/table36.xml" ContentType="application/vnd.openxmlformats-officedocument.spreadsheetml.table+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0"/>
  <workbookPr filterPrivacy="1" codeName="ThisWorkbook"/>
  <xr:revisionPtr revIDLastSave="41" documentId="13_ncr:1_{B1B2AB2A-BC61-4462-9604-14B0BD450C3E}" xr6:coauthVersionLast="47" xr6:coauthVersionMax="47" xr10:uidLastSave="{8E3C7463-256A-4ABA-ADDB-05AA7D7278B0}"/>
  <bookViews>
    <workbookView xWindow="-120" yWindow="-120" windowWidth="29040" windowHeight="15840" xr2:uid="{00000000-000D-0000-FFFF-FFFF00000000}"/>
  </bookViews>
  <sheets>
    <sheet name="INICIO" sheetId="2" r:id="rId1"/>
    <sheet name="HERRAMIENTA PRESUPUESTARIA" sheetId="1" r:id="rId2"/>
  </sheets>
  <definedNames>
    <definedName name="TasaDeImpuestos">'HERRAMIENTA PRESUPUESTARIA'!$C$8</definedName>
    <definedName name="TasaRetornoNecesaria">'HERRAMIENTA PRESUPUESTARIA'!$C$7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3" i="1" l="1"/>
  <c r="C14" i="1"/>
  <c r="C37" i="1" s="1"/>
  <c r="C22" i="1"/>
  <c r="D22" i="1"/>
  <c r="E22" i="1"/>
  <c r="D29" i="1" l="1"/>
  <c r="E36" i="1" s="1"/>
  <c r="C29" i="1"/>
  <c r="C30" i="1" s="1"/>
  <c r="D33" i="1" s="1"/>
  <c r="C38" i="1"/>
  <c r="E29" i="1"/>
  <c r="D30" i="1" l="1"/>
  <c r="E33" i="1" s="1"/>
  <c r="E34" i="1" s="1"/>
  <c r="E35" i="1" s="1"/>
  <c r="E37" i="1" s="1"/>
  <c r="D36" i="1"/>
  <c r="E30" i="1"/>
  <c r="F33" i="1" s="1"/>
  <c r="F36" i="1"/>
  <c r="D34" i="1"/>
  <c r="D35" i="1" s="1"/>
  <c r="D37" i="1" l="1"/>
  <c r="D38" i="1" s="1"/>
  <c r="E38" i="1" s="1"/>
  <c r="F34" i="1"/>
  <c r="F35" i="1" s="1"/>
  <c r="F37" i="1" s="1"/>
  <c r="C42" i="1" l="1"/>
  <c r="C41" i="1"/>
  <c r="F38" i="1"/>
</calcChain>
</file>

<file path=xl/sharedStrings.xml><?xml version="1.0" encoding="utf-8"?>
<sst xmlns="http://schemas.openxmlformats.org/spreadsheetml/2006/main" count="54" uniqueCount="51">
  <si>
    <t>INFORMACIÓN SOBRE ESTA PLANTILLA</t>
  </si>
  <si>
    <t>Realice un seguimiento de su inversión inicial en un sitio web, sus beneficios y costos con esta herramienta de elaboración del presupuesto para un sitio web.</t>
  </si>
  <si>
    <t>Escriba la información en las tablas para calcular automáticamente los totales y las métricas de evaluación.</t>
  </si>
  <si>
    <t xml:space="preserve">Nota:  </t>
  </si>
  <si>
    <t>Se facilitan instrucciones adicionales en la columna A de la hoja de cálculo HERRAMIENTA DE ELABORACIÓN DEL PRESUPUESTO. Este texto se ha ocultado a propósito. Para eliminar el texto, seleccione la columna A y, a continuación, ELIMINAR. Para mostrar el texto, seleccione la columna A y, a continuación, cambie el color de fuente.</t>
  </si>
  <si>
    <t>Para obtener más información sobre las tablas de la hoja de cálculo, presione las teclas MAYÚS y F10 dentro de una tabla, seleccione la opción TABLA y, a continuación, TEXTO ALTERNATIVO.</t>
  </si>
  <si>
    <t>Hardware di Quadrex</t>
  </si>
  <si>
    <t>HERRAMIENTA DE ELABORACIÓN DEL PRESUPUESTO PARA UN SITIO WEB</t>
  </si>
  <si>
    <t>Datos de la empresa</t>
  </si>
  <si>
    <t>Tasa de retorno necesaria</t>
  </si>
  <si>
    <t>Tipo impositivo</t>
  </si>
  <si>
    <t>Inversión inicial en el sitio web</t>
  </si>
  <si>
    <t>Hardware (por ejemplo, servidores)</t>
  </si>
  <si>
    <t>Software (por ejemplo, software para crear catálogos de comercio electrónico)</t>
  </si>
  <si>
    <t>Desarrollo (por ejemplo, el diseño y el desarrollo del sitio web por terceros)</t>
  </si>
  <si>
    <t>Total de inversiones iniciales</t>
  </si>
  <si>
    <t>Beneficios del sitio web</t>
  </si>
  <si>
    <t>Ventas directas</t>
  </si>
  <si>
    <t>Ventas incrementales resultantes de una eficacia promocional o comercial mejorada</t>
  </si>
  <si>
    <t>Ventas incrementales resultantes del aumento de la participación de partners</t>
  </si>
  <si>
    <t>Costos de desplazamiento reducidos</t>
  </si>
  <si>
    <t>Costos de atención al cliente reducidos</t>
  </si>
  <si>
    <t>Beneficios totales</t>
  </si>
  <si>
    <t>Costos (excepto las inversiones de capital iniciales)</t>
  </si>
  <si>
    <t>Costo de ventas</t>
  </si>
  <si>
    <t>Mantenimiento</t>
  </si>
  <si>
    <t>Administración de proyectos, asistencia al cliente</t>
  </si>
  <si>
    <t>Publicidad en línea, registro en motores de búsqueda</t>
  </si>
  <si>
    <t>Depreciación de los gastos de inversión (el cálculo usa un período de tres años)</t>
  </si>
  <si>
    <t>Costes totales</t>
  </si>
  <si>
    <t>Totales</t>
  </si>
  <si>
    <t>Beneficios netos (costos)</t>
  </si>
  <si>
    <t>Impuesto</t>
  </si>
  <si>
    <t>Valor neto</t>
  </si>
  <si>
    <t>Amortización agregada</t>
  </si>
  <si>
    <t>Flujo de efectivo</t>
  </si>
  <si>
    <t>Flujo de efectivo acumulado</t>
  </si>
  <si>
    <t>Métricas de evaluación</t>
  </si>
  <si>
    <t>Valor actual neto (VAN)</t>
  </si>
  <si>
    <t>Tasa interna de retorno (TIR)</t>
  </si>
  <si>
    <t>Período de amortización (en años)</t>
  </si>
  <si>
    <t>Tasa</t>
  </si>
  <si>
    <t>Año</t>
  </si>
  <si>
    <t>Año 1</t>
  </si>
  <si>
    <t>AÑO 1</t>
  </si>
  <si>
    <t xml:space="preserve"> </t>
  </si>
  <si>
    <t>Valores</t>
  </si>
  <si>
    <t>Año 2</t>
  </si>
  <si>
    <t>AÑO 2</t>
  </si>
  <si>
    <t>Año 3</t>
  </si>
  <si>
    <t>AÑO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</si>
</sst>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0.00\ &quot;€&quot;;[Red]\-#,##0.00\ &quot;€&quot;"/>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0.00\ &quot;€&quot;"/>
  </numFmts>
  <fonts count="29" x14ac:knownFonts="1">
    <font>
      <sz val="11"/>
      <color theme="1"/>
      <name val="Calibri"/>
      <family val="2"/>
      <scheme val="minor"/>
    </font>
    <font>
      <sz val="18"/>
      <color theme="3"/>
      <name val="Tahoma"/>
      <family val="2"/>
      <scheme val="major"/>
    </font>
    <font>
      <sz val="11"/>
      <color theme="3"/>
      <name val="Tahoma"/>
      <family val="2"/>
      <scheme val="major"/>
    </font>
    <font>
      <sz val="16"/>
      <color theme="3"/>
      <name val="Tahoma"/>
      <family val="2"/>
      <scheme val="major"/>
    </font>
    <font>
      <b/>
      <sz val="11"/>
      <color theme="1" tint="0.14996795556505021"/>
      <name val="Tahoma"/>
      <family val="2"/>
      <scheme val="major"/>
    </font>
    <font>
      <b/>
      <sz val="11"/>
      <color theme="1"/>
      <name val="Calibri"/>
      <family val="2"/>
      <scheme val="minor"/>
    </font>
    <font>
      <sz val="11"/>
      <color theme="0"/>
      <name val="Calibri"/>
      <family val="2"/>
      <scheme val="minor"/>
    </font>
    <font>
      <sz val="8"/>
      <name val="Calibri"/>
      <family val="2"/>
      <scheme val="minor"/>
    </font>
    <font>
      <sz val="18"/>
      <color theme="1"/>
      <name val="Tahoma"/>
      <family val="2"/>
      <scheme val="major"/>
    </font>
    <font>
      <sz val="24"/>
      <color theme="0"/>
      <name val="Calibri"/>
      <family val="2"/>
      <scheme val="minor"/>
    </font>
    <font>
      <sz val="14"/>
      <color theme="0"/>
      <name val="Calibri"/>
      <family val="2"/>
      <scheme val="minor"/>
    </font>
    <font>
      <sz val="24"/>
      <color theme="0"/>
      <name val="Tahoma"/>
      <family val="2"/>
      <scheme val="major"/>
    </font>
    <font>
      <sz val="48"/>
      <color theme="0"/>
      <name val="Tahoma"/>
      <family val="2"/>
      <scheme val="major"/>
    </font>
    <font>
      <sz val="16"/>
      <color theme="3"/>
      <name val="Calibri"/>
      <family val="2"/>
      <scheme val="minor"/>
    </font>
    <font>
      <sz val="11"/>
      <color theme="3"/>
      <name val="Calibri"/>
      <family val="2"/>
      <scheme val="minor"/>
    </font>
    <font>
      <b/>
      <sz val="13"/>
      <color theme="0"/>
      <name val="Tahoma"/>
      <family val="2"/>
      <scheme val="major"/>
    </font>
    <font>
      <sz val="13"/>
      <color theme="1"/>
      <name val="Tahoma"/>
      <family val="2"/>
      <scheme val="major"/>
    </font>
    <font>
      <sz val="13"/>
      <color theme="5" tint="-0.499984740745262"/>
      <name val="Tahoma"/>
      <family val="2"/>
      <scheme val="maj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249977111117893"/>
        <bgColor indexed="64"/>
      </patternFill>
    </fill>
    <fill>
      <patternFill patternType="solid">
        <fgColor theme="5"/>
        <bgColor indexed="64"/>
      </patternFill>
    </fill>
    <fill>
      <patternFill patternType="solid">
        <fgColor theme="5"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0" borderId="0"/>
    <xf numFmtId="0" fontId="1" fillId="0" borderId="1" applyNumberFormat="0" applyFill="0" applyProtection="0">
      <alignment horizontal="left" vertical="center"/>
    </xf>
    <xf numFmtId="0" fontId="3" fillId="0" borderId="2" applyNumberFormat="0" applyFill="0" applyProtection="0">
      <alignment horizontal="left" vertical="center"/>
    </xf>
    <xf numFmtId="0" fontId="2" fillId="0" borderId="3" applyNumberFormat="0" applyFill="0" applyProtection="0">
      <alignment horizontal="left" vertical="center"/>
    </xf>
    <xf numFmtId="0" fontId="4" fillId="3" borderId="0" applyNumberFormat="0" applyBorder="0" applyProtection="0">
      <alignment horizontal="left" vertical="center"/>
    </xf>
    <xf numFmtId="165" fontId="18" fillId="0" borderId="0" applyFont="0" applyFill="0" applyBorder="0" applyAlignment="0" applyProtection="0"/>
    <xf numFmtId="164" fontId="18" fillId="0" borderId="0" applyFont="0" applyFill="0" applyBorder="0" applyAlignment="0" applyProtection="0"/>
    <xf numFmtId="44" fontId="18" fillId="0" borderId="0" applyFont="0" applyFill="0" applyBorder="0" applyAlignment="0" applyProtection="0"/>
    <xf numFmtId="42" fontId="18" fillId="0" borderId="0" applyFont="0" applyFill="0" applyBorder="0" applyAlignment="0" applyProtection="0"/>
    <xf numFmtId="9" fontId="18" fillId="0" borderId="0" applyFont="0" applyFill="0" applyBorder="0" applyAlignment="0" applyProtection="0"/>
    <xf numFmtId="0" fontId="1" fillId="0" borderId="0" applyNumberFormat="0" applyFill="0" applyBorder="0" applyAlignment="0" applyProtection="0"/>
    <xf numFmtId="0" fontId="19" fillId="5" borderId="0" applyNumberFormat="0" applyBorder="0" applyAlignment="0" applyProtection="0"/>
    <xf numFmtId="0" fontId="20" fillId="6" borderId="0" applyNumberFormat="0" applyBorder="0" applyAlignment="0" applyProtection="0"/>
    <xf numFmtId="0" fontId="21" fillId="7" borderId="0" applyNumberFormat="0" applyBorder="0" applyAlignment="0" applyProtection="0"/>
    <xf numFmtId="0" fontId="22" fillId="8" borderId="4" applyNumberFormat="0" applyAlignment="0" applyProtection="0"/>
    <xf numFmtId="0" fontId="23" fillId="9" borderId="5" applyNumberFormat="0" applyAlignment="0" applyProtection="0"/>
    <xf numFmtId="0" fontId="24" fillId="9" borderId="4" applyNumberFormat="0" applyAlignment="0" applyProtection="0"/>
    <xf numFmtId="0" fontId="25" fillId="0" borderId="6" applyNumberFormat="0" applyFill="0" applyAlignment="0" applyProtection="0"/>
    <xf numFmtId="0" fontId="26" fillId="10" borderId="7" applyNumberFormat="0" applyAlignment="0" applyProtection="0"/>
    <xf numFmtId="0" fontId="27" fillId="0" borderId="0" applyNumberFormat="0" applyFill="0" applyBorder="0" applyAlignment="0" applyProtection="0"/>
    <xf numFmtId="0" fontId="18" fillId="11" borderId="8" applyNumberFormat="0" applyFont="0" applyAlignment="0" applyProtection="0"/>
    <xf numFmtId="0" fontId="28" fillId="0" borderId="0" applyNumberFormat="0" applyFill="0" applyBorder="0" applyAlignment="0" applyProtection="0"/>
    <xf numFmtId="0" fontId="5" fillId="0" borderId="9" applyNumberFormat="0" applyFill="0" applyAlignment="0" applyProtection="0"/>
    <xf numFmtId="0" fontId="6" fillId="12"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6"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6"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6"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6"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6"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8" fillId="35" borderId="0" applyNumberFormat="0" applyBorder="0" applyAlignment="0" applyProtection="0"/>
  </cellStyleXfs>
  <cellXfs count="45">
    <xf numFmtId="0" fontId="0" fillId="0" borderId="0" xfId="0"/>
    <xf numFmtId="0" fontId="6" fillId="0" borderId="0" xfId="0" applyFont="1"/>
    <xf numFmtId="0" fontId="0" fillId="0" borderId="0" xfId="0" applyAlignment="1">
      <alignment vertical="center"/>
    </xf>
    <xf numFmtId="0" fontId="5" fillId="0" borderId="0" xfId="0" applyFont="1" applyAlignment="1">
      <alignment vertical="center" wrapText="1"/>
    </xf>
    <xf numFmtId="0" fontId="8" fillId="4" borderId="0" xfId="1" applyFont="1" applyFill="1" applyBorder="1" applyAlignment="1">
      <alignment horizontal="center" vertical="center"/>
    </xf>
    <xf numFmtId="0" fontId="0" fillId="0" borderId="0" xfId="0" applyAlignment="1">
      <alignment horizontal="left" vertical="center" wrapText="1" indent="2"/>
    </xf>
    <xf numFmtId="0" fontId="0" fillId="0" borderId="0" xfId="0" applyAlignment="1">
      <alignment horizontal="left" vertical="center" indent="2"/>
    </xf>
    <xf numFmtId="0" fontId="0" fillId="0" borderId="0" xfId="0" applyAlignment="1">
      <alignment horizontal="left" vertical="center"/>
    </xf>
    <xf numFmtId="0" fontId="9" fillId="4" borderId="0" xfId="2" applyFont="1" applyFill="1" applyBorder="1" applyAlignment="1">
      <alignment horizontal="left" vertical="top" indent="8"/>
    </xf>
    <xf numFmtId="14" fontId="10" fillId="4" borderId="0" xfId="3" applyNumberFormat="1" applyFont="1" applyFill="1" applyBorder="1" applyAlignment="1">
      <alignment horizontal="left" vertical="center" indent="8"/>
    </xf>
    <xf numFmtId="0" fontId="6" fillId="4" borderId="0" xfId="0" applyFont="1" applyFill="1"/>
    <xf numFmtId="0" fontId="0" fillId="0" borderId="0" xfId="0" applyAlignment="1">
      <alignment horizontal="center" vertical="center" wrapText="1"/>
    </xf>
    <xf numFmtId="0" fontId="0" fillId="0" borderId="0" xfId="0" applyAlignment="1">
      <alignment horizontal="center" vertical="center"/>
    </xf>
    <xf numFmtId="10" fontId="0" fillId="0" borderId="0" xfId="0" applyNumberFormat="1" applyAlignment="1">
      <alignment horizontal="right" vertical="center"/>
    </xf>
    <xf numFmtId="2" fontId="0" fillId="0" borderId="0" xfId="0" applyNumberFormat="1" applyAlignment="1">
      <alignment horizontal="right" vertical="center"/>
    </xf>
    <xf numFmtId="0" fontId="0" fillId="0" borderId="0" xfId="0" applyAlignment="1">
      <alignment horizontal="right" vertical="center" indent="2"/>
    </xf>
    <xf numFmtId="0" fontId="0" fillId="0" borderId="0" xfId="0" applyAlignment="1">
      <alignment vertical="center" wrapText="1"/>
    </xf>
    <xf numFmtId="0" fontId="11" fillId="4" borderId="0" xfId="2" applyFont="1" applyFill="1" applyBorder="1" applyAlignment="1">
      <alignment horizontal="center" vertical="center"/>
    </xf>
    <xf numFmtId="0" fontId="12" fillId="4" borderId="0" xfId="1" applyFont="1" applyFill="1" applyBorder="1" applyAlignment="1">
      <alignment horizontal="left" indent="7"/>
    </xf>
    <xf numFmtId="0" fontId="1" fillId="4" borderId="0" xfId="1" applyFill="1" applyBorder="1" applyAlignment="1">
      <alignment horizontal="center" vertical="center"/>
    </xf>
    <xf numFmtId="0" fontId="1" fillId="4" borderId="0" xfId="1" applyFill="1" applyBorder="1">
      <alignment horizontal="left" vertical="center"/>
    </xf>
    <xf numFmtId="0" fontId="13" fillId="4" borderId="0" xfId="2" applyFont="1" applyFill="1" applyBorder="1" applyAlignment="1">
      <alignment horizontal="center" vertical="center"/>
    </xf>
    <xf numFmtId="0" fontId="13" fillId="4" borderId="0" xfId="2" applyFont="1" applyFill="1" applyBorder="1">
      <alignment horizontal="left" vertical="center"/>
    </xf>
    <xf numFmtId="0" fontId="14" fillId="4" borderId="0" xfId="3" applyFont="1" applyFill="1" applyBorder="1" applyAlignment="1">
      <alignment horizontal="center" vertical="center"/>
    </xf>
    <xf numFmtId="0" fontId="14" fillId="4" borderId="0" xfId="3" applyFont="1" applyFill="1" applyBorder="1">
      <alignment horizontal="left" vertical="center"/>
    </xf>
    <xf numFmtId="0" fontId="15" fillId="4" borderId="0" xfId="4" applyFont="1" applyFill="1" applyBorder="1" applyAlignment="1">
      <alignment horizontal="left" vertical="center" indent="2"/>
    </xf>
    <xf numFmtId="0" fontId="15" fillId="4" borderId="0" xfId="4" applyFont="1" applyFill="1" applyBorder="1" applyAlignment="1">
      <alignment horizontal="right" vertical="center" indent="2"/>
    </xf>
    <xf numFmtId="9" fontId="0" fillId="0" borderId="0" xfId="0" applyNumberFormat="1" applyAlignment="1">
      <alignment horizontal="right" vertical="center" indent="2"/>
    </xf>
    <xf numFmtId="0" fontId="16" fillId="0" borderId="0" xfId="0" applyFont="1" applyAlignment="1">
      <alignment horizontal="left" vertical="center" indent="2"/>
    </xf>
    <xf numFmtId="0" fontId="16" fillId="0" borderId="0" xfId="0" applyFont="1" applyAlignment="1">
      <alignment horizontal="right" vertical="center" indent="2"/>
    </xf>
    <xf numFmtId="0" fontId="16" fillId="4" borderId="0" xfId="0" applyFont="1" applyFill="1" applyAlignment="1">
      <alignment horizontal="left" vertical="center" indent="2"/>
    </xf>
    <xf numFmtId="0" fontId="16" fillId="4" borderId="0" xfId="0" applyFont="1" applyFill="1" applyAlignment="1">
      <alignment horizontal="right" vertical="center"/>
    </xf>
    <xf numFmtId="0" fontId="16" fillId="4" borderId="0" xfId="0" applyFont="1" applyFill="1" applyAlignment="1">
      <alignment horizontal="right" vertical="center" indent="2"/>
    </xf>
    <xf numFmtId="0" fontId="15" fillId="4" borderId="0" xfId="0" applyFont="1" applyFill="1" applyAlignment="1">
      <alignment horizontal="left" vertical="center" indent="2"/>
    </xf>
    <xf numFmtId="0" fontId="15" fillId="4" borderId="0" xfId="0" applyFont="1" applyFill="1" applyAlignment="1">
      <alignment vertical="center"/>
    </xf>
    <xf numFmtId="0" fontId="15" fillId="4" borderId="0" xfId="0" applyFont="1" applyFill="1" applyAlignment="1">
      <alignment horizontal="right" vertical="center"/>
    </xf>
    <xf numFmtId="0" fontId="15" fillId="4" borderId="0" xfId="0" applyFont="1" applyFill="1" applyAlignment="1">
      <alignment horizontal="right" vertical="center" indent="2"/>
    </xf>
    <xf numFmtId="0" fontId="17" fillId="4" borderId="0" xfId="0" applyFont="1" applyFill="1" applyAlignment="1">
      <alignment horizontal="right" vertical="center"/>
    </xf>
    <xf numFmtId="166" fontId="0" fillId="0" borderId="0" xfId="0" applyNumberFormat="1" applyAlignment="1">
      <alignment vertical="center"/>
    </xf>
    <xf numFmtId="8" fontId="0" fillId="0" borderId="0" xfId="0" applyNumberFormat="1" applyAlignment="1">
      <alignment horizontal="right" vertical="center" indent="2"/>
    </xf>
    <xf numFmtId="8" fontId="0" fillId="0" borderId="0" xfId="0" applyNumberFormat="1" applyAlignment="1">
      <alignment vertical="center"/>
    </xf>
    <xf numFmtId="8" fontId="0" fillId="2" borderId="0" xfId="0" applyNumberFormat="1" applyFill="1" applyAlignment="1">
      <alignment vertical="center"/>
    </xf>
    <xf numFmtId="8" fontId="0" fillId="2" borderId="0" xfId="0" applyNumberFormat="1" applyFill="1" applyAlignment="1">
      <alignment horizontal="right" vertical="center" indent="2"/>
    </xf>
    <xf numFmtId="8" fontId="0" fillId="0" borderId="0" xfId="0" applyNumberFormat="1" applyAlignment="1">
      <alignment horizontal="right" vertical="center"/>
    </xf>
    <xf numFmtId="15" fontId="6" fillId="0" borderId="0" xfId="0" applyNumberFormat="1" applyFont="1"/>
  </cellXfs>
  <cellStyles count="47">
    <cellStyle name="20% - Énfasis1" xfId="24" builtinId="30" customBuiltin="1"/>
    <cellStyle name="20% - Énfasis2" xfId="28" builtinId="34" customBuiltin="1"/>
    <cellStyle name="20% - Énfasis3" xfId="32" builtinId="38" customBuiltin="1"/>
    <cellStyle name="20% - Énfasis4" xfId="36" builtinId="42" customBuiltin="1"/>
    <cellStyle name="20% - Énfasis5" xfId="40" builtinId="46" customBuiltin="1"/>
    <cellStyle name="20% - Énfasis6" xfId="44" builtinId="50" customBuiltin="1"/>
    <cellStyle name="40% - Énfasis1" xfId="25" builtinId="31" customBuiltin="1"/>
    <cellStyle name="40% - Énfasis2" xfId="29" builtinId="35" customBuiltin="1"/>
    <cellStyle name="40% - Énfasis3" xfId="33" builtinId="39" customBuiltin="1"/>
    <cellStyle name="40% - Énfasis4" xfId="37" builtinId="43" customBuiltin="1"/>
    <cellStyle name="40% - Énfasis5" xfId="41" builtinId="47" customBuiltin="1"/>
    <cellStyle name="40% - Énfasis6" xfId="45" builtinId="51" customBuiltin="1"/>
    <cellStyle name="60% - Énfasis1" xfId="26" builtinId="32" customBuiltin="1"/>
    <cellStyle name="60% - Énfasis2" xfId="30" builtinId="36" customBuiltin="1"/>
    <cellStyle name="60% - Énfasis3" xfId="34" builtinId="40" customBuiltin="1"/>
    <cellStyle name="60% - Énfasis4" xfId="38" builtinId="44" customBuiltin="1"/>
    <cellStyle name="60% - Énfasis5" xfId="42" builtinId="48" customBuiltin="1"/>
    <cellStyle name="60% - Énfasis6" xfId="46" builtinId="52" customBuiltin="1"/>
    <cellStyle name="Bueno" xfId="11" builtinId="26" customBuiltin="1"/>
    <cellStyle name="Cálculo" xfId="16" builtinId="22" customBuiltin="1"/>
    <cellStyle name="Celda de comprobación" xfId="18" builtinId="23" customBuiltin="1"/>
    <cellStyle name="Celda vinculada" xfId="17" builtinId="24" customBuiltin="1"/>
    <cellStyle name="Encabezado 1" xfId="1" builtinId="16" customBuiltin="1"/>
    <cellStyle name="Encabezado 4" xfId="4" builtinId="19" customBuiltin="1"/>
    <cellStyle name="Énfasis1" xfId="23" builtinId="29" customBuiltin="1"/>
    <cellStyle name="Énfasis2" xfId="27" builtinId="33" customBuiltin="1"/>
    <cellStyle name="Énfasis3" xfId="31" builtinId="37" customBuiltin="1"/>
    <cellStyle name="Énfasis4" xfId="35" builtinId="41" customBuiltin="1"/>
    <cellStyle name="Énfasis5" xfId="39" builtinId="45" customBuiltin="1"/>
    <cellStyle name="Énfasis6" xfId="43" builtinId="49" customBuiltin="1"/>
    <cellStyle name="Entrada" xfId="14" builtinId="20" customBuiltin="1"/>
    <cellStyle name="Incorrecto" xfId="12" builtinId="27" customBuiltin="1"/>
    <cellStyle name="Millares" xfId="5" builtinId="3" customBuiltin="1"/>
    <cellStyle name="Millares [0]" xfId="6" builtinId="6" customBuiltin="1"/>
    <cellStyle name="Moneda" xfId="7" builtinId="4" customBuiltin="1"/>
    <cellStyle name="Moneda [0]" xfId="8" builtinId="7" customBuiltin="1"/>
    <cellStyle name="Neutral" xfId="13" builtinId="28" customBuiltin="1"/>
    <cellStyle name="Normal" xfId="0" builtinId="0" customBuiltin="1"/>
    <cellStyle name="Notas" xfId="20" builtinId="10" customBuiltin="1"/>
    <cellStyle name="Porcentaje" xfId="9" builtinId="5" customBuiltin="1"/>
    <cellStyle name="Salida" xfId="15" builtinId="21" customBuiltin="1"/>
    <cellStyle name="Texto de advertencia" xfId="19" builtinId="11" customBuiltin="1"/>
    <cellStyle name="Texto explicativo" xfId="21" builtinId="53" customBuiltin="1"/>
    <cellStyle name="Título" xfId="10" builtinId="15" customBuiltin="1"/>
    <cellStyle name="Título 2" xfId="2" builtinId="17" customBuiltin="1"/>
    <cellStyle name="Título 3" xfId="3" builtinId="18" customBuiltin="1"/>
    <cellStyle name="Total" xfId="22" builtinId="25" customBuiltin="1"/>
  </cellStyles>
  <dxfs count="47">
    <dxf>
      <font>
        <strike val="0"/>
        <outline val="0"/>
        <shadow val="0"/>
        <u val="none"/>
        <vertAlign val="baseline"/>
        <sz val="11"/>
        <color theme="1"/>
        <name val="Calibri"/>
        <family val="2"/>
        <scheme val="minor"/>
      </font>
      <alignment horizontal="right" vertical="center" textRotation="0" wrapText="0" indent="2" justifyLastLine="0" shrinkToFit="0" readingOrder="0"/>
    </dxf>
    <dxf>
      <font>
        <strike val="0"/>
        <outline val="0"/>
        <shadow val="0"/>
        <u val="none"/>
        <vertAlign val="baseline"/>
        <sz val="11"/>
        <color theme="1"/>
        <name val="Calibri"/>
        <family val="2"/>
        <scheme val="minor"/>
      </font>
      <alignment horizontal="left" vertical="center" textRotation="0" wrapText="0" indent="2" justifyLastLine="0" shrinkToFit="0" readingOrder="0"/>
    </dxf>
    <dxf>
      <font>
        <strike val="0"/>
        <outline val="0"/>
        <shadow val="0"/>
        <u val="none"/>
        <vertAlign val="baseline"/>
        <sz val="11"/>
        <color theme="1"/>
        <name val="Calibri"/>
        <family val="2"/>
        <scheme val="minor"/>
      </font>
      <alignment vertical="center" textRotation="0" wrapText="0" indent="0" justifyLastLine="0" shrinkToFit="0" readingOrder="0"/>
    </dxf>
    <dxf>
      <font>
        <b/>
        <strike val="0"/>
        <outline val="0"/>
        <shadow val="0"/>
        <u val="none"/>
        <vertAlign val="baseline"/>
        <sz val="13"/>
        <color theme="0"/>
        <name val="Tahoma"/>
        <family val="2"/>
        <scheme val="major"/>
      </font>
      <fill>
        <patternFill patternType="solid">
          <fgColor indexed="64"/>
          <bgColor theme="5" tint="-0.499984740745262"/>
        </patternFill>
      </fill>
      <alignment horizontal="left" vertical="center" textRotation="0" wrapText="0" indent="0" justifyLastLine="0" shrinkToFit="0" readingOrder="0"/>
    </dxf>
    <dxf>
      <alignment horizontal="right" vertical="center" textRotation="0" wrapText="0" indent="0" justifyLastLine="0" shrinkToFit="0" readingOrder="0"/>
    </dxf>
    <dxf>
      <alignment horizontal="left" vertical="center" textRotation="0" wrapText="1" indent="2" justifyLastLine="0" shrinkToFit="0" readingOrder="0"/>
    </dxf>
    <dxf>
      <alignment horizontal="general" vertical="center" textRotation="0" indent="0" justifyLastLine="0" shrinkToFit="0" readingOrder="0"/>
    </dxf>
    <dxf>
      <font>
        <strike val="0"/>
        <outline val="0"/>
        <shadow val="0"/>
        <u val="none"/>
        <vertAlign val="baseline"/>
        <sz val="13"/>
        <name val="Tahoma"/>
        <family val="2"/>
        <scheme val="major"/>
      </font>
      <fill>
        <patternFill patternType="solid">
          <fgColor indexed="64"/>
          <bgColor theme="5" tint="-0.499984740745262"/>
        </patternFill>
      </fill>
      <alignment horizontal="general" vertical="center" textRotation="0" indent="0" justifyLastLine="0" shrinkToFit="0" readingOrder="0"/>
    </dxf>
    <dxf>
      <numFmt numFmtId="12" formatCode="#,##0.00\ &quot;€&quot;;[Red]\-#,##0.00\ &quot;€&quot;"/>
      <alignment horizontal="right" vertical="center" textRotation="0" wrapText="0" indent="2" justifyLastLine="0" shrinkToFit="0" readingOrder="0"/>
    </dxf>
    <dxf>
      <numFmt numFmtId="12" formatCode="#,##0.00\ &quot;€&quot;;[Red]\-#,##0.00\ &quot;€&quot;"/>
      <alignment horizontal="general" vertical="center" textRotation="0" indent="0" justifyLastLine="0" shrinkToFit="0" readingOrder="0"/>
    </dxf>
    <dxf>
      <numFmt numFmtId="12" formatCode="#,##0.00\ &quot;€&quot;;[Red]\-#,##0.00\ &quot;€&quot;"/>
      <alignment horizontal="general" vertical="center" textRotation="0" indent="0" justifyLastLine="0" shrinkToFit="0" readingOrder="0"/>
    </dxf>
    <dxf>
      <alignment horizontal="general" vertical="center" textRotation="0" indent="0" justifyLastLine="0" shrinkToFit="0" readingOrder="0"/>
    </dxf>
    <dxf>
      <alignment horizontal="left" vertical="center" textRotation="0" wrapText="1" indent="2" justifyLastLine="0" shrinkToFit="0" readingOrder="0"/>
    </dxf>
    <dxf>
      <alignment horizontal="general" vertical="center" textRotation="0" indent="0" justifyLastLine="0" shrinkToFit="0" readingOrder="0"/>
    </dxf>
    <dxf>
      <font>
        <b/>
        <strike val="0"/>
        <outline val="0"/>
        <shadow val="0"/>
        <u val="none"/>
        <vertAlign val="baseline"/>
        <sz val="13"/>
        <color theme="0"/>
        <name val="Tahoma"/>
        <family val="2"/>
        <scheme val="major"/>
      </font>
      <fill>
        <patternFill patternType="solid">
          <fgColor indexed="64"/>
          <bgColor theme="5" tint="-0.499984740745262"/>
        </patternFill>
      </fill>
      <alignment horizontal="general" vertical="center" textRotation="0" indent="0" justifyLastLine="0" shrinkToFit="0" readingOrder="0"/>
    </dxf>
    <dxf>
      <numFmt numFmtId="167" formatCode="#,##0.00\ &quot;€&quot;;[Red]#,##0.00\ &quot;€&quot;"/>
      <alignment horizontal="right" vertical="center" textRotation="0" wrapText="0" indent="2" justifyLastLine="0" shrinkToFit="0" readingOrder="0"/>
    </dxf>
    <dxf>
      <numFmt numFmtId="12" formatCode="#,##0.00\ &quot;€&quot;;[Red]\-#,##0.00\ &quot;€&quot;"/>
      <alignment horizontal="right" vertical="center" textRotation="0" wrapText="0" indent="2" justifyLastLine="0" shrinkToFit="0" readingOrder="0"/>
    </dxf>
    <dxf>
      <numFmt numFmtId="167" formatCode="#,##0.00\ &quot;€&quot;;[Red]#,##0.00\ &quot;€&quot;"/>
      <alignment horizontal="general" vertical="center" textRotation="0" indent="0" justifyLastLine="0" shrinkToFit="0" readingOrder="0"/>
    </dxf>
    <dxf>
      <numFmt numFmtId="12" formatCode="#,##0.00\ &quot;€&quot;;[Red]\-#,##0.00\ &quot;€&quot;"/>
      <alignment horizontal="general" vertical="center" textRotation="0" indent="0" justifyLastLine="0" shrinkToFit="0" readingOrder="0"/>
    </dxf>
    <dxf>
      <numFmt numFmtId="167" formatCode="#,##0.00\ &quot;€&quot;;[Red]#,##0.00\ &quot;€&quot;"/>
      <alignment horizontal="general" vertical="center" textRotation="0" indent="0" justifyLastLine="0" shrinkToFit="0" readingOrder="0"/>
    </dxf>
    <dxf>
      <numFmt numFmtId="12" formatCode="#,##0.00\ &quot;€&quot;;[Red]\-#,##0.00\ &quot;€&quot;"/>
      <alignment horizontal="general" vertical="center" textRotation="0" indent="0" justifyLastLine="0" shrinkToFit="0" readingOrder="0"/>
    </dxf>
    <dxf>
      <alignment horizontal="left" vertical="center" textRotation="0" indent="2" justifyLastLine="0" shrinkToFit="0" readingOrder="0"/>
    </dxf>
    <dxf>
      <alignment horizontal="left" vertical="center" textRotation="0" wrapText="1" indent="2" justifyLastLine="0" shrinkToFit="0" readingOrder="0"/>
      <border>
        <right style="thin">
          <color theme="1" tint="0.3499862666707358"/>
        </right>
      </border>
    </dxf>
    <dxf>
      <alignment horizontal="general" vertical="center" textRotation="0" indent="0" justifyLastLine="0" shrinkToFit="0" readingOrder="0"/>
    </dxf>
    <dxf>
      <alignment horizontal="general" vertical="center" textRotation="0" indent="0" justifyLastLine="0" shrinkToFit="0" readingOrder="0"/>
    </dxf>
    <dxf>
      <font>
        <strike val="0"/>
        <outline val="0"/>
        <shadow val="0"/>
        <u val="none"/>
        <vertAlign val="baseline"/>
        <sz val="13"/>
        <color theme="1"/>
        <name val="Tahoma"/>
        <family val="2"/>
        <scheme val="major"/>
      </font>
      <fill>
        <patternFill patternType="solid">
          <fgColor indexed="64"/>
          <bgColor theme="5" tint="-0.499984740745262"/>
        </patternFill>
      </fill>
      <alignment horizontal="general" vertical="center" textRotation="0" indent="0" justifyLastLine="0" shrinkToFit="0" readingOrder="0"/>
    </dxf>
    <dxf>
      <numFmt numFmtId="167" formatCode="#,##0.00\ &quot;€&quot;;[Red]#,##0.00\ &quot;€&quot;"/>
      <alignment horizontal="right" vertical="center" textRotation="0" wrapText="0" indent="2" justifyLastLine="0" shrinkToFit="0" readingOrder="0"/>
    </dxf>
    <dxf>
      <numFmt numFmtId="12" formatCode="#,##0.00\ &quot;€&quot;;[Red]\-#,##0.00\ &quot;€&quot;"/>
      <alignment horizontal="right" vertical="center" textRotation="0" wrapText="0" indent="2" justifyLastLine="0" shrinkToFit="0" readingOrder="0"/>
    </dxf>
    <dxf>
      <numFmt numFmtId="167" formatCode="#,##0.00\ &quot;€&quot;;[Red]#,##0.00\ &quot;€&quot;"/>
      <alignment vertical="center" textRotation="0" indent="0" justifyLastLine="0" shrinkToFit="0" readingOrder="0"/>
    </dxf>
    <dxf>
      <numFmt numFmtId="12" formatCode="#,##0.00\ &quot;€&quot;;[Red]\-#,##0.00\ &quot;€&quot;"/>
      <alignment horizontal="general" vertical="center" textRotation="0" indent="0" justifyLastLine="0" shrinkToFit="0" readingOrder="0"/>
    </dxf>
    <dxf>
      <numFmt numFmtId="167" formatCode="#,##0.00\ &quot;€&quot;;[Red]#,##0.00\ &quot;€&quot;"/>
      <alignment vertical="center" textRotation="0" indent="0" justifyLastLine="0" shrinkToFit="0" readingOrder="0"/>
    </dxf>
    <dxf>
      <numFmt numFmtId="12" formatCode="#,##0.00\ &quot;€&quot;;[Red]\-#,##0.00\ &quot;€&quot;"/>
      <alignment horizontal="general" vertical="center" textRotation="0" indent="0" justifyLastLine="0" shrinkToFit="0" readingOrder="0"/>
    </dxf>
    <dxf>
      <alignment horizontal="left" vertical="center" textRotation="0" wrapText="0" indent="2" justifyLastLine="0" shrinkToFit="0" readingOrder="0"/>
    </dxf>
    <dxf>
      <alignment horizontal="left" vertical="center" textRotation="0" wrapText="1" indent="2" justifyLastLine="0" shrinkToFit="0" readingOrder="0"/>
      <border>
        <right style="thin">
          <color theme="1" tint="0.3499862666707358"/>
        </right>
      </border>
    </dxf>
    <dxf>
      <alignment horizontal="general" vertical="center" textRotation="0" indent="0" justifyLastLine="0" shrinkToFit="0" readingOrder="0"/>
    </dxf>
    <dxf>
      <alignment horizontal="general" vertical="center" textRotation="0" indent="0" justifyLastLine="0" shrinkToFit="0" readingOrder="0"/>
    </dxf>
    <dxf>
      <font>
        <strike val="0"/>
        <outline val="0"/>
        <shadow val="0"/>
        <u val="none"/>
        <vertAlign val="baseline"/>
        <sz val="13"/>
        <color theme="1"/>
        <name val="Tahoma"/>
        <family val="2"/>
        <scheme val="major"/>
      </font>
      <fill>
        <patternFill patternType="solid">
          <fgColor indexed="64"/>
          <bgColor theme="5" tint="-0.499984740745262"/>
        </patternFill>
      </fill>
      <alignment horizontal="general" vertical="center" textRotation="0" indent="0" justifyLastLine="0" shrinkToFit="0" readingOrder="0"/>
    </dxf>
    <dxf>
      <numFmt numFmtId="167" formatCode="#,##0.00\ &quot;€&quot;;[Red]#,##0.00\ &quot;€&quot;"/>
      <alignment horizontal="right" vertical="center" textRotation="0" wrapText="0" indent="2" justifyLastLine="0" shrinkToFit="0" readingOrder="0"/>
    </dxf>
    <dxf>
      <numFmt numFmtId="12" formatCode="#,##0.00\ &quot;€&quot;;[Red]\-#,##0.00\ &quot;€&quot;"/>
      <alignment horizontal="right" vertical="center" textRotation="0" wrapText="0" indent="2" justifyLastLine="0" shrinkToFit="0" readingOrder="0"/>
    </dxf>
    <dxf>
      <alignment horizontal="left" vertical="center" textRotation="0" wrapText="0" indent="2" justifyLastLine="0" shrinkToFit="0" readingOrder="0"/>
    </dxf>
    <dxf>
      <alignment horizontal="left" vertical="center" textRotation="0" indent="2"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font>
        <strike val="0"/>
        <outline val="0"/>
        <shadow val="0"/>
        <u val="none"/>
        <vertAlign val="baseline"/>
        <sz val="13"/>
        <color theme="1"/>
        <name val="Tahoma"/>
        <family val="2"/>
        <scheme val="major"/>
      </font>
      <alignment horizontal="general" vertical="center" textRotation="0" wrapText="0" indent="0" justifyLastLine="0" shrinkToFit="0" readingOrder="0"/>
    </dxf>
    <dxf>
      <fill>
        <patternFill>
          <bgColor theme="5" tint="0.3999450666829432"/>
        </patternFill>
      </fill>
    </dxf>
    <dxf>
      <font>
        <b/>
        <i val="0"/>
        <color theme="0"/>
      </font>
      <fill>
        <patternFill>
          <bgColor theme="5" tint="-0.499984740745262"/>
        </patternFill>
      </fill>
    </dxf>
    <dxf>
      <border>
        <left/>
        <right/>
        <top/>
        <bottom style="thin">
          <color theme="3" tint="-0.499984740745262"/>
        </bottom>
        <vertical/>
        <horizontal/>
      </border>
    </dxf>
  </dxfs>
  <tableStyles count="1" defaultTableStyle="TableStyleMedium2" defaultPivotStyle="PivotStyleLight16">
    <tableStyle name="Estilo de tabla 1" pivot="0" count="3" xr9:uid="{98CBFB15-DEE7-6941-8736-31AE29E73073}">
      <tableStyleElement type="wholeTable" dxfId="46"/>
      <tableStyleElement type="headerRow" dxfId="45"/>
      <tableStyleElement type="totalRow" dxfId="4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rsiónInicial" displayName="InversiónInicial" ref="B10:C14" totalsRowCount="1" headerRowDxfId="43" dataDxfId="42" totalsRowDxfId="41">
  <autoFilter ref="B10:C13" xr:uid="{00000000-000C-0000-FFFF-FFFF00000000}">
    <filterColumn colId="0" hiddenButton="1"/>
    <filterColumn colId="1" hiddenButton="1"/>
  </autoFilter>
  <tableColumns count="2">
    <tableColumn id="1" xr3:uid="{00000000-0010-0000-0000-000001000000}" name="Inversión inicial en el sitio web" totalsRowLabel="Total de inversiones iniciales" dataDxfId="40" totalsRowDxfId="39"/>
    <tableColumn id="2" xr3:uid="{00000000-0010-0000-0000-000002000000}" name="Año" totalsRowFunction="sum" dataDxfId="38" totalsRowDxfId="37"/>
  </tableColumns>
  <tableStyleInfo name="Estilo de tabla 1" showFirstColumn="0" showLastColumn="0" showRowStripes="1" showColumnStripes="0"/>
  <extLst>
    <ext xmlns:x14="http://schemas.microsoft.com/office/spreadsheetml/2009/9/main" uri="{504A1905-F514-4f6f-8877-14C23A59335A}">
      <x14:table altTextSummary="Escriba los elementos de la inversión inicial en el sitio web y los importes anuales en esta tabla."/>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Beneficios" displayName="Beneficios" ref="B16:E22" totalsRowCount="1" headerRowDxfId="36" dataDxfId="35" totalsRowDxfId="34">
  <autoFilter ref="B16:E21" xr:uid="{00000000-0009-0000-0100-000002000000}">
    <filterColumn colId="0" hiddenButton="1"/>
    <filterColumn colId="1" hiddenButton="1"/>
    <filterColumn colId="2" hiddenButton="1"/>
    <filterColumn colId="3" hiddenButton="1"/>
  </autoFilter>
  <tableColumns count="4">
    <tableColumn id="1" xr3:uid="{00000000-0010-0000-0100-000001000000}" name="Beneficios del sitio web" totalsRowLabel="Beneficios totales" dataDxfId="33" totalsRowDxfId="32"/>
    <tableColumn id="3" xr3:uid="{00000000-0010-0000-0100-000003000000}" name="Año 1" totalsRowFunction="sum" dataDxfId="31" totalsRowDxfId="30"/>
    <tableColumn id="4" xr3:uid="{00000000-0010-0000-0100-000004000000}" name="Año 2" totalsRowFunction="sum" dataDxfId="29" totalsRowDxfId="28"/>
    <tableColumn id="5" xr3:uid="{00000000-0010-0000-0100-000005000000}" name="Año 3" totalsRowFunction="sum" dataDxfId="27" totalsRowDxfId="26"/>
  </tableColumns>
  <tableStyleInfo name="Estilo de tabla 1" showFirstColumn="0" showLastColumn="0" showRowStripes="1" showColumnStripes="0"/>
  <extLst>
    <ext xmlns:x14="http://schemas.microsoft.com/office/spreadsheetml/2009/9/main" uri="{504A1905-F514-4f6f-8877-14C23A59335A}">
      <x14:table altTextSummary="Escriba los elementos de los beneficios del sitio web y los importes anuales en esta tabla."/>
    </ext>
  </extLst>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Costos" displayName="Costos" ref="B24:E30" totalsRowCount="1" headerRowDxfId="25" dataDxfId="24" totalsRowDxfId="23">
  <autoFilter ref="B24:E29" xr:uid="{00000000-0009-0000-0100-000003000000}">
    <filterColumn colId="0" hiddenButton="1"/>
    <filterColumn colId="1" hiddenButton="1"/>
    <filterColumn colId="2" hiddenButton="1"/>
    <filterColumn colId="3" hiddenButton="1"/>
  </autoFilter>
  <tableColumns count="4">
    <tableColumn id="1" xr3:uid="{00000000-0010-0000-0200-000001000000}" name="Costos (excepto las inversiones de capital iniciales)" totalsRowLabel="Costes totales" dataDxfId="22" totalsRowDxfId="21"/>
    <tableColumn id="3" xr3:uid="{00000000-0010-0000-0200-000003000000}" name="AÑO 1" totalsRowFunction="sum" dataDxfId="20" totalsRowDxfId="19"/>
    <tableColumn id="4" xr3:uid="{00000000-0010-0000-0200-000004000000}" name="AÑO 2" totalsRowFunction="sum" dataDxfId="18" totalsRowDxfId="17"/>
    <tableColumn id="5" xr3:uid="{00000000-0010-0000-0200-000005000000}" name="AÑO 3" totalsRowFunction="sum" dataDxfId="16" totalsRowDxfId="15"/>
  </tableColumns>
  <tableStyleInfo name="Estilo de tabla 1" showFirstColumn="0" showLastColumn="0" showRowStripes="1" showColumnStripes="0"/>
  <extLst>
    <ext xmlns:x14="http://schemas.microsoft.com/office/spreadsheetml/2009/9/main" uri="{504A1905-F514-4f6f-8877-14C23A59335A}">
      <x14:table altTextSummary="Escriba los costos, excepto las inversiones de capital inicial, y los importes anuales en esta tabla."/>
    </ext>
  </extLst>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otales" displayName="Totales" ref="B32:F38" totalsRowShown="0" headerRowDxfId="14" dataDxfId="13">
  <autoFilter ref="B32:F38" xr:uid="{00000000-0009-0000-0100-000004000000}">
    <filterColumn colId="0" hiddenButton="1"/>
    <filterColumn colId="1" hiddenButton="1"/>
    <filterColumn colId="2" hiddenButton="1"/>
    <filterColumn colId="3" hiddenButton="1"/>
    <filterColumn colId="4" hiddenButton="1"/>
  </autoFilter>
  <tableColumns count="5">
    <tableColumn id="1" xr3:uid="{00000000-0010-0000-0300-000001000000}" name="Totales" dataDxfId="12"/>
    <tableColumn id="2" xr3:uid="{00000000-0010-0000-0300-000002000000}" name=" " dataDxfId="11"/>
    <tableColumn id="3" xr3:uid="{00000000-0010-0000-0300-000003000000}" name="Año 1" dataDxfId="10"/>
    <tableColumn id="4" xr3:uid="{00000000-0010-0000-0300-000004000000}" name="Año 2" dataDxfId="9"/>
    <tableColumn id="5" xr3:uid="{00000000-0010-0000-0300-000005000000}" name="Año 3" dataDxfId="8"/>
  </tableColumns>
  <tableStyleInfo name="Estilo de tabla 1" showFirstColumn="0" showLastColumn="0" showRowStripes="1" showColumnStripes="0"/>
  <extLst>
    <ext xmlns:x14="http://schemas.microsoft.com/office/spreadsheetml/2009/9/main" uri="{504A1905-F514-4f6f-8877-14C23A59335A}">
      <x14:table altTextSummary="Escriba los elementos Totales en esta tabla. Los montos anuales se calculan automáticamente."/>
    </ext>
  </extLst>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étricas" displayName="Métricas" ref="B40:C43" totalsRowShown="0" headerRowDxfId="7" dataDxfId="6">
  <autoFilter ref="B40:C43" xr:uid="{00000000-0009-0000-0100-000005000000}">
    <filterColumn colId="0" hiddenButton="1"/>
    <filterColumn colId="1" hiddenButton="1"/>
  </autoFilter>
  <tableColumns count="2">
    <tableColumn id="1" xr3:uid="{00000000-0010-0000-0400-000001000000}" name="Métricas de evaluación" dataDxfId="5"/>
    <tableColumn id="2" xr3:uid="{00000000-0010-0000-0400-000002000000}" name="Valores" dataDxfId="4"/>
  </tableColumns>
  <tableStyleInfo name="Estilo de tabla 1" showFirstColumn="0" showLastColumn="0" showRowStripes="1" showColumnStripes="0"/>
  <extLst>
    <ext xmlns:x14="http://schemas.microsoft.com/office/spreadsheetml/2009/9/main" uri="{504A1905-F514-4f6f-8877-14C23A59335A}">
      <x14:table altTextSummary="Los elementos de las métricas de evaluación y los importes se actualizan automáticamente en esta tabla."/>
    </ext>
  </extLst>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8A38FE-B7B1-4DBB-95BF-23DDFD246CD1}" name="Tasa" displayName="Tasa" ref="B6:C8" totalsRowShown="0" headerRowDxfId="3" dataDxfId="2">
  <autoFilter ref="B6:C8" xr:uid="{4A48B7AE-0418-4013-B926-B2BE0A0E551C}">
    <filterColumn colId="0" hiddenButton="1"/>
    <filterColumn colId="1" hiddenButton="1"/>
  </autoFilter>
  <tableColumns count="2">
    <tableColumn id="1" xr3:uid="{11FD8CE5-F029-46A8-8385-67BD6BB8C0F6}" name="Datos de la empresa" dataDxfId="1"/>
    <tableColumn id="2" xr3:uid="{D234CEAA-BCAD-4F41-A5C2-1F7BCE4E636F}" name="Tasa" dataDxfId="0"/>
  </tableColumns>
  <tableStyleInfo name="Estilo de tabla 1" showFirstColumn="0" showLastColumn="0" showRowStripes="0" showColumnStripes="0"/>
  <extLst>
    <ext xmlns:x14="http://schemas.microsoft.com/office/spreadsheetml/2009/9/main" uri="{504A1905-F514-4f6f-8877-14C23A59335A}">
      <x14:table altTextSummary="Escriba los datos de la empresa y las tasas en esta tabla."/>
    </ext>
  </extLst>
</table>
</file>

<file path=xl/theme/theme11.xml><?xml version="1.0" encoding="utf-8"?>
<a:theme xmlns:a="http://schemas.openxmlformats.org/drawingml/2006/main" name="Mortgage refinancing">
  <a:themeElements>
    <a:clrScheme name="Custom 54">
      <a:dk1>
        <a:srgbClr val="000000"/>
      </a:dk1>
      <a:lt1>
        <a:srgbClr val="FFFFFF"/>
      </a:lt1>
      <a:dk2>
        <a:srgbClr val="4B9844"/>
      </a:dk2>
      <a:lt2>
        <a:srgbClr val="ECECEC"/>
      </a:lt2>
      <a:accent1>
        <a:srgbClr val="92CDCD"/>
      </a:accent1>
      <a:accent2>
        <a:srgbClr val="86B07D"/>
      </a:accent2>
      <a:accent3>
        <a:srgbClr val="EACF6E"/>
      </a:accent3>
      <a:accent4>
        <a:srgbClr val="DA7056"/>
      </a:accent4>
      <a:accent5>
        <a:srgbClr val="E28653"/>
      </a:accent5>
      <a:accent6>
        <a:srgbClr val="A57290"/>
      </a:accent6>
      <a:hlink>
        <a:srgbClr val="5D8853"/>
      </a:hlink>
      <a:folHlink>
        <a:srgbClr val="51AEAE"/>
      </a:folHlink>
    </a:clrScheme>
    <a:fontScheme name="Custom 47">
      <a:majorFont>
        <a:latin typeface="Tahoma"/>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table" Target="/xl/tables/table62.xml" Id="rId7" /><Relationship Type="http://schemas.openxmlformats.org/officeDocument/2006/relationships/table" Target="/xl/tables/table13.xml" Id="rId2" /><Relationship Type="http://schemas.openxmlformats.org/officeDocument/2006/relationships/printerSettings" Target="/xl/printerSettings/printerSettings21.bin" Id="rId1" /><Relationship Type="http://schemas.openxmlformats.org/officeDocument/2006/relationships/table" Target="/xl/tables/table54.xml" Id="rId6" /><Relationship Type="http://schemas.openxmlformats.org/officeDocument/2006/relationships/table" Target="/xl/tables/table45.xml" Id="rId5" /><Relationship Type="http://schemas.openxmlformats.org/officeDocument/2006/relationships/table" Target="/xl/tables/table36.xm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48D92-4400-4A09-8C70-D20D5142DBF7}">
  <sheetPr>
    <tabColor theme="5" tint="-0.499984740745262"/>
  </sheetPr>
  <dimension ref="B1:B7"/>
  <sheetViews>
    <sheetView showGridLines="0" tabSelected="1" workbookViewId="0"/>
  </sheetViews>
  <sheetFormatPr baseColWidth="10" defaultColWidth="8.7109375" defaultRowHeight="15" x14ac:dyDescent="0.25"/>
  <cols>
    <col min="1" max="1" width="2.7109375" customWidth="1"/>
    <col min="2" max="2" width="85.28515625" bestFit="1" customWidth="1"/>
    <col min="3" max="3" width="2.7109375" customWidth="1"/>
  </cols>
  <sheetData>
    <row r="1" spans="2:2" s="2" customFormat="1" ht="58.9" customHeight="1" x14ac:dyDescent="0.25">
      <c r="B1" s="17" t="s">
        <v>0</v>
      </c>
    </row>
    <row r="2" spans="2:2" s="2" customFormat="1" ht="33.75" customHeight="1" x14ac:dyDescent="0.25">
      <c r="B2" s="16" t="s">
        <v>1</v>
      </c>
    </row>
    <row r="3" spans="2:2" s="2" customFormat="1" ht="33.75" customHeight="1" x14ac:dyDescent="0.25">
      <c r="B3" s="16" t="s">
        <v>2</v>
      </c>
    </row>
    <row r="4" spans="2:2" s="2" customFormat="1" ht="30" customHeight="1" x14ac:dyDescent="0.25">
      <c r="B4" s="3" t="s">
        <v>3</v>
      </c>
    </row>
    <row r="5" spans="2:2" s="2" customFormat="1" ht="64.5" customHeight="1" x14ac:dyDescent="0.25">
      <c r="B5" s="16" t="s">
        <v>4</v>
      </c>
    </row>
    <row r="6" spans="2:2" ht="45" customHeight="1" x14ac:dyDescent="0.25">
      <c r="B6" s="16" t="s">
        <v>5</v>
      </c>
    </row>
    <row r="7" spans="2:2" ht="42.75" customHeight="1" x14ac:dyDescent="0.25"/>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pageSetUpPr autoPageBreaks="0"/>
  </sheetPr>
  <dimension ref="A1:F44"/>
  <sheetViews>
    <sheetView showGridLines="0" zoomScaleNormal="100" workbookViewId="0"/>
  </sheetViews>
  <sheetFormatPr baseColWidth="10" defaultColWidth="8.7109375" defaultRowHeight="15" x14ac:dyDescent="0.25"/>
  <cols>
    <col min="1" max="1" width="1.7109375" style="1" customWidth="1"/>
    <col min="2" max="2" width="69.28515625" customWidth="1"/>
    <col min="3" max="3" width="16.85546875" customWidth="1"/>
    <col min="4" max="4" width="20.5703125" customWidth="1"/>
    <col min="5" max="5" width="21" customWidth="1"/>
    <col min="6" max="6" width="23.28515625" customWidth="1"/>
    <col min="7" max="7" width="1.7109375" customWidth="1"/>
  </cols>
  <sheetData>
    <row r="1" spans="1:6" x14ac:dyDescent="0.25">
      <c r="A1" s="44"/>
    </row>
    <row r="2" spans="1:6" ht="79.9" customHeight="1" x14ac:dyDescent="0.7">
      <c r="A2" s="10"/>
      <c r="B2" s="18" t="s">
        <v>6</v>
      </c>
      <c r="C2" s="4"/>
      <c r="D2" s="19"/>
      <c r="E2" s="19"/>
      <c r="F2" s="20"/>
    </row>
    <row r="3" spans="1:6" ht="40.15" customHeight="1" x14ac:dyDescent="0.25">
      <c r="A3" s="10"/>
      <c r="B3" s="8" t="s">
        <v>7</v>
      </c>
      <c r="C3" s="21"/>
      <c r="D3" s="21"/>
      <c r="E3" s="21"/>
      <c r="F3" s="22"/>
    </row>
    <row r="4" spans="1:6" ht="40.15" customHeight="1" x14ac:dyDescent="0.25">
      <c r="A4" s="10"/>
      <c r="B4" s="9">
        <v>44896</v>
      </c>
      <c r="C4" s="23"/>
      <c r="D4" s="23"/>
      <c r="E4" s="23"/>
      <c r="F4" s="24"/>
    </row>
    <row r="5" spans="1:6" ht="30" customHeight="1" x14ac:dyDescent="0.25"/>
    <row r="6" spans="1:6" ht="30" customHeight="1" x14ac:dyDescent="0.25">
      <c r="B6" s="25" t="s">
        <v>8</v>
      </c>
      <c r="C6" s="26" t="s">
        <v>41</v>
      </c>
      <c r="D6" s="2"/>
      <c r="E6" s="2"/>
      <c r="F6" s="2"/>
    </row>
    <row r="7" spans="1:6" ht="30" customHeight="1" x14ac:dyDescent="0.25">
      <c r="B7" s="6" t="s">
        <v>9</v>
      </c>
      <c r="C7" s="27">
        <v>0.1</v>
      </c>
      <c r="D7" s="2"/>
      <c r="E7" s="2"/>
      <c r="F7" s="2"/>
    </row>
    <row r="8" spans="1:6" ht="30" customHeight="1" x14ac:dyDescent="0.25">
      <c r="B8" s="6" t="s">
        <v>10</v>
      </c>
      <c r="C8" s="27">
        <v>0.3</v>
      </c>
      <c r="D8" s="2"/>
      <c r="E8" s="2"/>
      <c r="F8" s="2"/>
    </row>
    <row r="9" spans="1:6" ht="30" customHeight="1" x14ac:dyDescent="0.25">
      <c r="B9" s="6"/>
      <c r="C9" s="15"/>
      <c r="D9" s="2"/>
      <c r="E9" s="2"/>
      <c r="F9" s="2"/>
    </row>
    <row r="10" spans="1:6" ht="30" customHeight="1" x14ac:dyDescent="0.25">
      <c r="B10" s="28" t="s">
        <v>11</v>
      </c>
      <c r="C10" s="29" t="s">
        <v>42</v>
      </c>
      <c r="D10" s="2"/>
      <c r="E10" s="2"/>
      <c r="F10" s="2"/>
    </row>
    <row r="11" spans="1:6" ht="30" customHeight="1" x14ac:dyDescent="0.25">
      <c r="B11" s="5" t="s">
        <v>12</v>
      </c>
      <c r="C11" s="39">
        <v>25000</v>
      </c>
      <c r="D11" s="2"/>
      <c r="E11" s="2"/>
      <c r="F11" s="2"/>
    </row>
    <row r="12" spans="1:6" ht="30" customHeight="1" x14ac:dyDescent="0.25">
      <c r="B12" s="5" t="s">
        <v>13</v>
      </c>
      <c r="C12" s="39">
        <v>15000</v>
      </c>
      <c r="D12" s="2"/>
      <c r="E12" s="2"/>
      <c r="F12" s="2"/>
    </row>
    <row r="13" spans="1:6" ht="30" customHeight="1" x14ac:dyDescent="0.25">
      <c r="B13" s="5" t="s">
        <v>14</v>
      </c>
      <c r="C13" s="39">
        <v>150000</v>
      </c>
      <c r="D13" s="2"/>
      <c r="E13" s="2"/>
      <c r="F13" s="2"/>
    </row>
    <row r="14" spans="1:6" ht="30" customHeight="1" x14ac:dyDescent="0.25">
      <c r="B14" s="6" t="s">
        <v>15</v>
      </c>
      <c r="C14" s="39">
        <f>SUBTOTAL(109,InversiónInicial[Año])</f>
        <v>190000</v>
      </c>
      <c r="D14" s="2"/>
      <c r="E14" s="2"/>
      <c r="F14" s="2"/>
    </row>
    <row r="15" spans="1:6" ht="30" customHeight="1" x14ac:dyDescent="0.25">
      <c r="B15" s="5"/>
      <c r="C15" s="11"/>
      <c r="D15" s="11"/>
      <c r="E15" s="11"/>
      <c r="F15" s="11"/>
    </row>
    <row r="16" spans="1:6" ht="30" customHeight="1" x14ac:dyDescent="0.25">
      <c r="B16" s="30" t="s">
        <v>16</v>
      </c>
      <c r="C16" s="31" t="s">
        <v>43</v>
      </c>
      <c r="D16" s="31" t="s">
        <v>47</v>
      </c>
      <c r="E16" s="32" t="s">
        <v>49</v>
      </c>
      <c r="F16" s="2"/>
    </row>
    <row r="17" spans="2:6" ht="30" customHeight="1" x14ac:dyDescent="0.25">
      <c r="B17" s="5" t="s">
        <v>17</v>
      </c>
      <c r="C17" s="40">
        <v>15000</v>
      </c>
      <c r="D17" s="40">
        <v>50000</v>
      </c>
      <c r="E17" s="39">
        <v>75000</v>
      </c>
      <c r="F17" s="2"/>
    </row>
    <row r="18" spans="2:6" ht="30" customHeight="1" x14ac:dyDescent="0.25">
      <c r="B18" s="5" t="s">
        <v>18</v>
      </c>
      <c r="C18" s="40">
        <v>25000</v>
      </c>
      <c r="D18" s="40">
        <v>25000</v>
      </c>
      <c r="E18" s="39">
        <v>25000</v>
      </c>
      <c r="F18" s="2"/>
    </row>
    <row r="19" spans="2:6" ht="30" customHeight="1" x14ac:dyDescent="0.25">
      <c r="B19" s="5" t="s">
        <v>19</v>
      </c>
      <c r="C19" s="40">
        <v>25000</v>
      </c>
      <c r="D19" s="40">
        <v>25000</v>
      </c>
      <c r="E19" s="39">
        <v>25000</v>
      </c>
      <c r="F19" s="2"/>
    </row>
    <row r="20" spans="2:6" ht="30" customHeight="1" x14ac:dyDescent="0.25">
      <c r="B20" s="5" t="s">
        <v>20</v>
      </c>
      <c r="C20" s="40">
        <v>25000</v>
      </c>
      <c r="D20" s="40">
        <v>25000</v>
      </c>
      <c r="E20" s="39">
        <v>25000</v>
      </c>
      <c r="F20" s="2"/>
    </row>
    <row r="21" spans="2:6" ht="30" customHeight="1" x14ac:dyDescent="0.25">
      <c r="B21" s="5" t="s">
        <v>21</v>
      </c>
      <c r="C21" s="40">
        <v>50000</v>
      </c>
      <c r="D21" s="40">
        <v>50000</v>
      </c>
      <c r="E21" s="39">
        <v>50000</v>
      </c>
      <c r="F21" s="2"/>
    </row>
    <row r="22" spans="2:6" ht="30" customHeight="1" x14ac:dyDescent="0.25">
      <c r="B22" s="6" t="s">
        <v>22</v>
      </c>
      <c r="C22" s="40">
        <f>SUBTOTAL(109,Beneficios[Año 1])</f>
        <v>140000</v>
      </c>
      <c r="D22" s="40">
        <f>SUBTOTAL(109,Beneficios[Año 2])</f>
        <v>175000</v>
      </c>
      <c r="E22" s="39">
        <f>SUBTOTAL(109,Beneficios[Año 3])</f>
        <v>200000</v>
      </c>
      <c r="F22" s="2"/>
    </row>
    <row r="23" spans="2:6" ht="30" customHeight="1" x14ac:dyDescent="0.25">
      <c r="B23" s="6"/>
      <c r="C23" s="12"/>
      <c r="D23" s="12"/>
      <c r="E23" s="15"/>
      <c r="F23" s="12"/>
    </row>
    <row r="24" spans="2:6" ht="30" customHeight="1" x14ac:dyDescent="0.25">
      <c r="B24" s="30" t="s">
        <v>23</v>
      </c>
      <c r="C24" s="31" t="s">
        <v>44</v>
      </c>
      <c r="D24" s="31" t="s">
        <v>48</v>
      </c>
      <c r="E24" s="32" t="s">
        <v>50</v>
      </c>
      <c r="F24" s="2"/>
    </row>
    <row r="25" spans="2:6" ht="30" customHeight="1" x14ac:dyDescent="0.25">
      <c r="B25" s="5" t="s">
        <v>24</v>
      </c>
      <c r="C25" s="40">
        <v>7500</v>
      </c>
      <c r="D25" s="40">
        <v>25000</v>
      </c>
      <c r="E25" s="39">
        <v>37500</v>
      </c>
      <c r="F25" s="2"/>
    </row>
    <row r="26" spans="2:6" ht="30" customHeight="1" x14ac:dyDescent="0.25">
      <c r="B26" s="5" t="s">
        <v>25</v>
      </c>
      <c r="C26" s="40">
        <v>15000</v>
      </c>
      <c r="D26" s="40">
        <v>15000</v>
      </c>
      <c r="E26" s="39">
        <v>15000</v>
      </c>
      <c r="F26" s="2"/>
    </row>
    <row r="27" spans="2:6" ht="30" customHeight="1" x14ac:dyDescent="0.25">
      <c r="B27" s="5" t="s">
        <v>26</v>
      </c>
      <c r="C27" s="40">
        <v>35000</v>
      </c>
      <c r="D27" s="40">
        <v>35000</v>
      </c>
      <c r="E27" s="39">
        <v>35000</v>
      </c>
      <c r="F27" s="2"/>
    </row>
    <row r="28" spans="2:6" ht="30" customHeight="1" x14ac:dyDescent="0.25">
      <c r="B28" s="5" t="s">
        <v>27</v>
      </c>
      <c r="C28" s="40">
        <v>10000</v>
      </c>
      <c r="D28" s="40">
        <v>10000</v>
      </c>
      <c r="E28" s="39">
        <v>10000</v>
      </c>
      <c r="F28" s="2"/>
    </row>
    <row r="29" spans="2:6" ht="30" customHeight="1" x14ac:dyDescent="0.25">
      <c r="B29" s="5" t="s">
        <v>28</v>
      </c>
      <c r="C29" s="41">
        <f>InversiónInicial[[#Totals],[Año]]/3</f>
        <v>63333.333333333336</v>
      </c>
      <c r="D29" s="41">
        <f>InversiónInicial[[#Totals],[Año]]/3</f>
        <v>63333.333333333336</v>
      </c>
      <c r="E29" s="42">
        <f>InversiónInicial[[#Totals],[Año]]/3</f>
        <v>63333.333333333336</v>
      </c>
      <c r="F29" s="2"/>
    </row>
    <row r="30" spans="2:6" ht="30" customHeight="1" x14ac:dyDescent="0.25">
      <c r="B30" s="6" t="s">
        <v>29</v>
      </c>
      <c r="C30" s="40">
        <f>SUBTOTAL(109,Costos[AÑO 1])</f>
        <v>130833.33333333334</v>
      </c>
      <c r="D30" s="40">
        <f>SUBTOTAL(109,Costos[AÑO 2])</f>
        <v>148333.33333333334</v>
      </c>
      <c r="E30" s="39">
        <f>SUBTOTAL(109,Costos[AÑO 3])</f>
        <v>160833.33333333334</v>
      </c>
      <c r="F30" s="2"/>
    </row>
    <row r="31" spans="2:6" ht="30" customHeight="1" x14ac:dyDescent="0.25">
      <c r="B31" s="5"/>
      <c r="C31" s="11"/>
      <c r="D31" s="11"/>
      <c r="E31" s="11"/>
      <c r="F31" s="11"/>
    </row>
    <row r="32" spans="2:6" ht="30" customHeight="1" x14ac:dyDescent="0.25">
      <c r="B32" s="33" t="s">
        <v>30</v>
      </c>
      <c r="C32" s="34" t="s">
        <v>45</v>
      </c>
      <c r="D32" s="35" t="s">
        <v>43</v>
      </c>
      <c r="E32" s="35" t="s">
        <v>47</v>
      </c>
      <c r="F32" s="36" t="s">
        <v>49</v>
      </c>
    </row>
    <row r="33" spans="2:6" ht="30" customHeight="1" x14ac:dyDescent="0.25">
      <c r="B33" s="5" t="s">
        <v>31</v>
      </c>
      <c r="C33" s="2"/>
      <c r="D33" s="40">
        <f>Beneficios[[#Totals],[Año 1]]-Costos[[#Totals],[AÑO 1]]</f>
        <v>9166.666666666657</v>
      </c>
      <c r="E33" s="40">
        <f>Beneficios[[#Totals],[Año 2]]-Costos[[#Totals],[AÑO 2]]</f>
        <v>26666.666666666657</v>
      </c>
      <c r="F33" s="39">
        <f>Beneficios[[#Totals],[Año 3]]-Costos[[#Totals],[AÑO 3]]</f>
        <v>39166.66666666666</v>
      </c>
    </row>
    <row r="34" spans="2:6" ht="30" customHeight="1" x14ac:dyDescent="0.25">
      <c r="B34" s="5" t="s">
        <v>32</v>
      </c>
      <c r="C34" s="2"/>
      <c r="D34" s="40">
        <f>D33*TasaDeImpuestos</f>
        <v>2749.999999999997</v>
      </c>
      <c r="E34" s="40">
        <f>E33*TasaDeImpuestos</f>
        <v>7999.999999999996</v>
      </c>
      <c r="F34" s="39">
        <f>F33*TasaDeImpuestos</f>
        <v>11749.999999999996</v>
      </c>
    </row>
    <row r="35" spans="2:6" ht="30" customHeight="1" x14ac:dyDescent="0.25">
      <c r="B35" s="5" t="s">
        <v>33</v>
      </c>
      <c r="C35" s="2"/>
      <c r="D35" s="40">
        <f t="shared" ref="D35:F35" si="0">D33-D34</f>
        <v>6416.666666666661</v>
      </c>
      <c r="E35" s="40">
        <f t="shared" si="0"/>
        <v>18666.66666666666</v>
      </c>
      <c r="F35" s="39">
        <f t="shared" si="0"/>
        <v>27416.66666666666</v>
      </c>
    </row>
    <row r="36" spans="2:6" ht="30" customHeight="1" x14ac:dyDescent="0.25">
      <c r="B36" s="5" t="s">
        <v>34</v>
      </c>
      <c r="C36" s="2"/>
      <c r="D36" s="40">
        <f>C29</f>
        <v>63333.333333333336</v>
      </c>
      <c r="E36" s="40">
        <f>D29</f>
        <v>63333.333333333336</v>
      </c>
      <c r="F36" s="39">
        <f>E29</f>
        <v>63333.333333333336</v>
      </c>
    </row>
    <row r="37" spans="2:6" ht="30" customHeight="1" x14ac:dyDescent="0.25">
      <c r="B37" s="5" t="s">
        <v>35</v>
      </c>
      <c r="C37" s="38">
        <f>-InversiónInicial[[#Totals],[Año]]</f>
        <v>-190000</v>
      </c>
      <c r="D37" s="40">
        <f t="shared" ref="D37:F37" si="1">D35+D36</f>
        <v>69750</v>
      </c>
      <c r="E37" s="40">
        <f t="shared" si="1"/>
        <v>82000</v>
      </c>
      <c r="F37" s="39">
        <f t="shared" si="1"/>
        <v>90750</v>
      </c>
    </row>
    <row r="38" spans="2:6" ht="30" customHeight="1" x14ac:dyDescent="0.25">
      <c r="B38" s="5" t="s">
        <v>36</v>
      </c>
      <c r="C38" s="38">
        <f>C37</f>
        <v>-190000</v>
      </c>
      <c r="D38" s="40">
        <f t="shared" ref="D38:F38" si="2">C38+D37</f>
        <v>-120250</v>
      </c>
      <c r="E38" s="40">
        <f t="shared" si="2"/>
        <v>-38250</v>
      </c>
      <c r="F38" s="39">
        <f t="shared" si="2"/>
        <v>52500</v>
      </c>
    </row>
    <row r="39" spans="2:6" ht="30" customHeight="1" x14ac:dyDescent="0.25">
      <c r="B39" s="5"/>
      <c r="C39" s="11"/>
      <c r="D39" s="11"/>
      <c r="E39" s="11"/>
      <c r="F39" s="11"/>
    </row>
    <row r="40" spans="2:6" ht="30" customHeight="1" x14ac:dyDescent="0.25">
      <c r="B40" s="33" t="s">
        <v>37</v>
      </c>
      <c r="C40" s="37" t="s">
        <v>46</v>
      </c>
      <c r="D40" s="2"/>
      <c r="E40" s="2"/>
      <c r="F40" s="2"/>
    </row>
    <row r="41" spans="2:6" ht="30" customHeight="1" x14ac:dyDescent="0.25">
      <c r="B41" s="5" t="s">
        <v>38</v>
      </c>
      <c r="C41" s="43">
        <f>C37+(NPV(TasaRetornoNecesaria,D37:F37))</f>
        <v>9359.504132231377</v>
      </c>
      <c r="D41" s="2"/>
      <c r="E41" s="2"/>
      <c r="F41" s="2"/>
    </row>
    <row r="42" spans="2:6" ht="30" customHeight="1" x14ac:dyDescent="0.25">
      <c r="B42" s="5" t="s">
        <v>39</v>
      </c>
      <c r="C42" s="13">
        <f>IRR(C37:F37)</f>
        <v>0.12655165144706393</v>
      </c>
      <c r="D42" s="2"/>
      <c r="E42" s="2"/>
      <c r="F42" s="2"/>
    </row>
    <row r="43" spans="2:6" ht="30" customHeight="1" x14ac:dyDescent="0.25">
      <c r="B43" s="5" t="s">
        <v>40</v>
      </c>
      <c r="C43" s="14">
        <f>IF(F38&lt;=0,"Supera los 3 años",IF(E38&lt;=0,(F37-F38)/F37+2,IF(D38&lt;=0,(E37-E38)/E37+1,IF(C38&lt;=0,(D37-D38)/D37,"NA"))))</f>
        <v>2.4214876033057853</v>
      </c>
      <c r="D43" s="2"/>
      <c r="E43" s="2"/>
      <c r="F43" s="2"/>
    </row>
    <row r="44" spans="2:6" x14ac:dyDescent="0.25">
      <c r="B44" s="7"/>
      <c r="C44" s="7"/>
    </row>
  </sheetData>
  <phoneticPr fontId="7" type="noConversion"/>
  <dataValidations count="7">
    <dataValidation allowBlank="1" showInputMessage="1" showErrorMessage="1" prompt="Cree un presupuesto de sitio web en esta hoja de cálculo. Encontrará instrucciones útiles sobre cómo usar este libro en las celdas de esta columna. Use la flecha hacia abajo para empezar." sqref="A1" xr:uid="{26070A88-671A-4DE1-BFFE-6983F17125BC}"/>
    <dataValidation allowBlank="1" showInputMessage="1" showErrorMessage="1" prompt="Escriba los detalles en la tabla Tarifas que comienza en la celda de la derecha. La siguiente instrucción está en la celda A10." sqref="A6" xr:uid="{3C968F2B-859C-4EDF-A044-30417D019011}"/>
    <dataValidation allowBlank="1" showInputMessage="1" showErrorMessage="1" prompt="Escriba los detalles en la tabla Inversión que comienza en la celda de la derecha. La siguiente instrucción está en la celda A16." sqref="A10" xr:uid="{1DD41C7D-5D43-42CA-AA71-75DCC5839777}"/>
    <dataValidation allowBlank="1" showInputMessage="1" showErrorMessage="1" prompt="Escriba los detalles en la tabla Beneficios que comienza en la celda de la derecha. La siguiente instrucción está en la celda A24." sqref="A16" xr:uid="{6C542594-E020-4FA1-82D1-63FD12774AC4}"/>
    <dataValidation allowBlank="1" showInputMessage="1" showErrorMessage="1" prompt="Escriba los detalles en la tabla Costes a partir de la celda de la derecha. Los valores se calculan automáticamente en celdas que contienen fórmulas. La siguiente instrucción está en la celda A32." sqref="A24" xr:uid="{6916CC61-03A0-4863-90DA-8446429BC3F0}"/>
    <dataValidation allowBlank="1" showInputMessage="1" showErrorMessage="1" prompt="Los valores se calculan automáticamente en la tabla Totales que comienza en la celda de la derecha. La siguiente instrucción está en la celda A40." sqref="A32" xr:uid="{9DD6D791-0C68-4FF6-971E-A2204DC9D069}"/>
    <dataValidation allowBlank="1" showInputMessage="1" showErrorMessage="1" prompt="Las métricas de evaluación se calculan automáticamente en la tabla Métricas que comienza en la celda de la derecha." sqref="A40" xr:uid="{6D1AFC92-32E9-4EC3-A6FC-EF81567F0825}"/>
  </dataValidations>
  <pageMargins left="0.7" right="0.7" top="0.75" bottom="0.75" header="0.3" footer="0.3"/>
  <pageSetup paperSize="9" fitToHeight="0" orientation="portrait" r:id="rId1"/>
  <tableParts count="6">
    <tablePart r:id="rId2"/>
    <tablePart r:id="rId3"/>
    <tablePart r:id="rId4"/>
    <tablePart r:id="rId5"/>
    <tablePart r:id="rId6"/>
    <tablePart r:id="rId7"/>
  </tableParts>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2.xml><?xml version="1.0" encoding="utf-8"?>
<ds:datastoreItem xmlns:ds="http://schemas.openxmlformats.org/officeDocument/2006/customXml" ds:itemID="{4797B3B5-A05F-4D5F-B2C8-FA796D0529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F72444C2-E270-4D2A-A7C0-216363099170}">
  <ds:schemaRefs>
    <ds:schemaRef ds:uri="http://schemas.microsoft.com/sharepoint/v3/contenttype/forms"/>
  </ds:schemaRefs>
</ds:datastoreItem>
</file>

<file path=customXml/itemProps33.xml><?xml version="1.0" encoding="utf-8"?>
<ds:datastoreItem xmlns:ds="http://schemas.openxmlformats.org/officeDocument/2006/customXml" ds:itemID="{63922C4A-8C1D-4FCA-8967-B21EFD371463}">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Template>TM04035480</ap:Template>
  <ap:DocSecurity>0</ap:DocSecurity>
  <ap:ScaleCrop>false</ap:ScaleCrop>
  <ap:HeadingPairs>
    <vt:vector baseType="variant" size="4">
      <vt:variant>
        <vt:lpstr>Hojas de cálculo</vt:lpstr>
      </vt:variant>
      <vt:variant>
        <vt:i4>2</vt:i4>
      </vt:variant>
      <vt:variant>
        <vt:lpstr>Rangos con nombre</vt:lpstr>
      </vt:variant>
      <vt:variant>
        <vt:i4>2</vt:i4>
      </vt:variant>
    </vt:vector>
  </ap:HeadingPairs>
  <ap:TitlesOfParts>
    <vt:vector baseType="lpstr" size="4">
      <vt:lpstr>INICIO</vt:lpstr>
      <vt:lpstr>HERRAMIENTA PRESUPUESTARIA</vt:lpstr>
      <vt:lpstr>TasaDeImpuestos</vt:lpstr>
      <vt:lpstr>TasaRetornoNecesaria</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2022-11-10T17:23:27Z</dcterms:created>
  <dcterms:modified xsi:type="dcterms:W3CDTF">2022-12-26T06:01:29Z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