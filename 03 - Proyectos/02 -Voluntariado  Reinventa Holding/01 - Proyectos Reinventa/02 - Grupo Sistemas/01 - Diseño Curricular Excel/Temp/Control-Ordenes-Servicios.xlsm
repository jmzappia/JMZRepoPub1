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b98e41fc05090364/Ofimatica Empresarial/PLANTILLAS YOUTUBE/CONTROL ORDEN DE SERVICIO/"/>
    </mc:Choice>
  </mc:AlternateContent>
  <xr:revisionPtr revIDLastSave="620" documentId="8_{8FFBFAF9-80C8-4AA4-AA36-B8B930A2D371}" xr6:coauthVersionLast="46" xr6:coauthVersionMax="46" xr10:uidLastSave="{A2C84A76-57F3-45E6-969D-DC331B8E26C8}"/>
  <bookViews>
    <workbookView xWindow="-120" yWindow="-120" windowWidth="20730" windowHeight="11160" xr2:uid="{F4B99A45-BFC7-4446-95E0-5A0C90A7B0BF}"/>
  </bookViews>
  <sheets>
    <sheet name="Inicio" sheetId="6" r:id="rId1"/>
    <sheet name="Servicios" sheetId="4" state="veryHidden" r:id="rId2"/>
    <sheet name="Clientes" sheetId="3" r:id="rId3"/>
    <sheet name="Base" sheetId="1" r:id="rId4"/>
    <sheet name="Calculos" sheetId="2" state="veryHidden" r:id="rId5"/>
    <sheet name="rptVentas" sheetId="5" r:id="rId6"/>
    <sheet name="rptServicios" sheetId="7" r:id="rId7"/>
  </sheets>
  <definedNames>
    <definedName name="_xlnm.Print_Titles" localSheetId="6">rptServicios!$4:$7</definedName>
    <definedName name="_xlnm.Print_Titles" localSheetId="5">rptVentas!$4:$7</definedName>
  </definedNames>
  <calcPr calcId="191029"/>
  <pivotCaches>
    <pivotCache cacheId="1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" i="1" l="1"/>
  <c r="P5" i="1" s="1"/>
  <c r="Q6" i="1"/>
  <c r="P6" i="1" s="1"/>
  <c r="Q7" i="1"/>
  <c r="P7" i="1" s="1"/>
  <c r="Q8" i="1"/>
  <c r="Q9" i="1"/>
  <c r="P9" i="1" s="1"/>
  <c r="Q10" i="1"/>
  <c r="P10" i="1" s="1"/>
  <c r="M5" i="1"/>
  <c r="M6" i="1"/>
  <c r="M7" i="1"/>
  <c r="P8" i="1"/>
  <c r="M8" i="1"/>
  <c r="M9" i="1"/>
  <c r="M10" i="1"/>
  <c r="B9" i="2" l="1"/>
</calcChain>
</file>

<file path=xl/sharedStrings.xml><?xml version="1.0" encoding="utf-8"?>
<sst xmlns="http://schemas.openxmlformats.org/spreadsheetml/2006/main" count="177" uniqueCount="91">
  <si>
    <t>NUM ORDEN</t>
  </si>
  <si>
    <t>NOMBRE CLIENTE</t>
  </si>
  <si>
    <t>TIPO DE SERVICIO</t>
  </si>
  <si>
    <t>TIPO DOCUM</t>
  </si>
  <si>
    <t>NUM DOCUM</t>
  </si>
  <si>
    <t>DESCRIPCION DEL SERVICIO</t>
  </si>
  <si>
    <t>COSTO SERVICIO</t>
  </si>
  <si>
    <t>COMENTARIO</t>
  </si>
  <si>
    <t>STATUS</t>
  </si>
  <si>
    <t>FILA ORDEN</t>
  </si>
  <si>
    <t>FECHA ENTREGA</t>
  </si>
  <si>
    <t>FECHA ORDEN</t>
  </si>
  <si>
    <t>YEAR</t>
  </si>
  <si>
    <t>MONTH</t>
  </si>
  <si>
    <t>TELEFONO</t>
  </si>
  <si>
    <t>EMAIL</t>
  </si>
  <si>
    <t>CEDULA</t>
  </si>
  <si>
    <t>DIRECCION</t>
  </si>
  <si>
    <t>ANTICIPO</t>
  </si>
  <si>
    <t>LISTA DE CLIENTES</t>
  </si>
  <si>
    <t>OSCAR RAMOS</t>
  </si>
  <si>
    <t>555 555 555</t>
  </si>
  <si>
    <t>oscarramos@gmail.com</t>
  </si>
  <si>
    <t>PAIS MEXICO</t>
  </si>
  <si>
    <t>MIGUEL PEREZ</t>
  </si>
  <si>
    <t>444 444 444</t>
  </si>
  <si>
    <t>miguelperez@hotmail.com</t>
  </si>
  <si>
    <t>PAIS EL SALVADOR</t>
  </si>
  <si>
    <t>MARIA HERNANDEZ</t>
  </si>
  <si>
    <t>333 333 333</t>
  </si>
  <si>
    <t>mariah@yahoo.es</t>
  </si>
  <si>
    <t>PAIS PERU</t>
  </si>
  <si>
    <t>LUIS CENTENO</t>
  </si>
  <si>
    <t>452 525 325</t>
  </si>
  <si>
    <t>luis@gmail.com</t>
  </si>
  <si>
    <t>PAIS ESPAÑA</t>
  </si>
  <si>
    <t>SAUL RAMIREZ</t>
  </si>
  <si>
    <t>147 852 369</t>
  </si>
  <si>
    <t>saul@hotmail.com</t>
  </si>
  <si>
    <t>PAIS CHILE</t>
  </si>
  <si>
    <t>EMPRESA</t>
  </si>
  <si>
    <t>AISAL, S.A. DE C.V.</t>
  </si>
  <si>
    <t>ALIMENTOS BUENA VIDA, S.A. DE C.V.</t>
  </si>
  <si>
    <t>ASAMUM DE R.L</t>
  </si>
  <si>
    <t>CADBURY STANI S.A. I.C.</t>
  </si>
  <si>
    <t>CAYRO, S.A. DE C.V.</t>
  </si>
  <si>
    <t>REGISTROS DE SERVICIOS</t>
  </si>
  <si>
    <t>Mtto Preventivo</t>
  </si>
  <si>
    <t>Se hará mantenimiento en local</t>
  </si>
  <si>
    <t>FACTURA</t>
  </si>
  <si>
    <t>PENDIENTE</t>
  </si>
  <si>
    <t>prueba</t>
  </si>
  <si>
    <t>jun</t>
  </si>
  <si>
    <t>Mtto Correctivo</t>
  </si>
  <si>
    <t>reparaciones en local</t>
  </si>
  <si>
    <t>prueba 2</t>
  </si>
  <si>
    <t>Total general</t>
  </si>
  <si>
    <t>TIPO SERVICIO</t>
  </si>
  <si>
    <t>Fabricación de Mueble</t>
  </si>
  <si>
    <t>Fabricación de Mueble para Sala</t>
  </si>
  <si>
    <t>Prueba</t>
  </si>
  <si>
    <t>DIAS VENCIM</t>
  </si>
  <si>
    <t>SALDO PENDIENTE</t>
  </si>
  <si>
    <t>VENCIMIENTO</t>
  </si>
  <si>
    <t>FINALIZADO</t>
  </si>
  <si>
    <t>PAGO COMPLEMENTO</t>
  </si>
  <si>
    <t>PAGO TOTAL</t>
  </si>
  <si>
    <t>Fabricaciòn de mueble para cocina</t>
  </si>
  <si>
    <t>mtto correctivo</t>
  </si>
  <si>
    <t>RECIBO</t>
  </si>
  <si>
    <t xml:space="preserve"> COSTO SERVICIO</t>
  </si>
  <si>
    <t xml:space="preserve"> ANTICIPO</t>
  </si>
  <si>
    <t xml:space="preserve"> PAGO COMPLEMENTO</t>
  </si>
  <si>
    <t xml:space="preserve">  PAGO TOTAL</t>
  </si>
  <si>
    <t xml:space="preserve"> SALDO PENDIENTE</t>
  </si>
  <si>
    <t>(Todas)</t>
  </si>
  <si>
    <t>REPORTE DE SERVICIOS POR FECHAS</t>
  </si>
  <si>
    <t>Total Fabricación de Mueble</t>
  </si>
  <si>
    <t>Total Mtto Correctivo</t>
  </si>
  <si>
    <t>Total Mtto Preventivo</t>
  </si>
  <si>
    <t>MES</t>
  </si>
  <si>
    <t>AÑO</t>
  </si>
  <si>
    <t>Quedan 2 días para fecha de entrega</t>
  </si>
  <si>
    <t>Quedan 12 días para fecha de entrega</t>
  </si>
  <si>
    <t>Quedan 15 días para fecha de entrega</t>
  </si>
  <si>
    <t>Quedan 17 días para fecha de entrega</t>
  </si>
  <si>
    <t>CONTROL DE ORDENES DE SERVICIO</t>
  </si>
  <si>
    <t>Mtto Preventivo de Local</t>
  </si>
  <si>
    <t>Local # 57 av 52</t>
  </si>
  <si>
    <t>may</t>
  </si>
  <si>
    <t>Fecha de entrega venció hace 19 días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</si>
</sst>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dd/mm/yyyy;@"/>
    <numFmt numFmtId="165" formatCode="00000"/>
  </numFmts>
  <fonts count="13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8"/>
      <color theme="4"/>
      <name val="Calibri"/>
      <family val="2"/>
    </font>
    <font>
      <u/>
      <sz val="11"/>
      <color theme="10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11"/>
      <color theme="1"/>
      <name val="Calibri"/>
      <family val="2"/>
    </font>
    <font>
      <sz val="8"/>
      <name val="Century Gothic"/>
      <family val="2"/>
      <scheme val="minor"/>
    </font>
    <font>
      <sz val="11"/>
      <color theme="0"/>
      <name val="Calibri"/>
      <family val="2"/>
    </font>
    <font>
      <b/>
      <sz val="20"/>
      <color theme="0"/>
      <name val="Calibri"/>
      <family val="2"/>
    </font>
    <font>
      <sz val="11"/>
      <color theme="1"/>
      <name val="Calibri"/>
    </font>
    <font>
      <b/>
      <sz val="11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C00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4" fillId="0" borderId="0" xfId="0" applyFont="1"/>
    <xf numFmtId="0" fontId="5" fillId="0" borderId="0" xfId="2"/>
    <xf numFmtId="0" fontId="2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44" fontId="2" fillId="0" borderId="0" xfId="1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</xf>
    <xf numFmtId="44" fontId="2" fillId="4" borderId="0" xfId="0" applyNumberFormat="1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  <protection locked="0"/>
    </xf>
    <xf numFmtId="44" fontId="2" fillId="4" borderId="0" xfId="1" applyFont="1" applyFill="1" applyAlignment="1" applyProtection="1">
      <alignment horizontal="center"/>
      <protection locked="0"/>
    </xf>
    <xf numFmtId="0" fontId="2" fillId="0" borderId="0" xfId="0" applyFont="1" applyFill="1" applyProtection="1">
      <protection locked="0"/>
    </xf>
    <xf numFmtId="0" fontId="2" fillId="0" borderId="0" xfId="0" applyFont="1" applyFill="1" applyAlignment="1" applyProtection="1">
      <alignment horizontal="center"/>
    </xf>
    <xf numFmtId="44" fontId="2" fillId="4" borderId="0" xfId="1" applyNumberFormat="1" applyFont="1" applyFill="1" applyAlignment="1" applyProtection="1">
      <alignment horizontal="left"/>
    </xf>
    <xf numFmtId="0" fontId="2" fillId="4" borderId="0" xfId="0" applyNumberFormat="1" applyFont="1" applyFill="1" applyAlignment="1" applyProtection="1">
      <alignment horizontal="center"/>
    </xf>
    <xf numFmtId="0" fontId="9" fillId="2" borderId="0" xfId="0" applyFont="1" applyFill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6" fillId="0" borderId="0" xfId="0" applyFont="1"/>
    <xf numFmtId="0" fontId="2" fillId="0" borderId="2" xfId="0" applyFont="1" applyBorder="1"/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center"/>
    </xf>
    <xf numFmtId="44" fontId="2" fillId="0" borderId="0" xfId="0" applyNumberFormat="1" applyFont="1" applyFill="1" applyAlignment="1" applyProtection="1">
      <alignment horizontal="left"/>
      <protection hidden="1"/>
    </xf>
    <xf numFmtId="0" fontId="11" fillId="0" borderId="0" xfId="0" pivotButton="1" applyFont="1"/>
    <xf numFmtId="0" fontId="11" fillId="0" borderId="0" xfId="0" applyFont="1" applyAlignment="1">
      <alignment horizontal="left"/>
    </xf>
    <xf numFmtId="0" fontId="11" fillId="0" borderId="0" xfId="0" applyFont="1"/>
    <xf numFmtId="44" fontId="11" fillId="0" borderId="0" xfId="0" applyNumberFormat="1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11" fillId="0" borderId="0" xfId="0" pivotButton="1" applyFont="1" applyAlignment="1">
      <alignment horizontal="center"/>
    </xf>
    <xf numFmtId="0" fontId="12" fillId="0" borderId="0" xfId="0" pivotButton="1" applyFont="1" applyAlignment="1">
      <alignment horizontal="right"/>
    </xf>
    <xf numFmtId="0" fontId="12" fillId="0" borderId="0" xfId="0" pivotButton="1" applyFont="1"/>
    <xf numFmtId="0" fontId="12" fillId="0" borderId="0" xfId="0" pivotButton="1" applyFont="1" applyAlignment="1">
      <alignment horizontal="center"/>
    </xf>
    <xf numFmtId="0" fontId="10" fillId="2" borderId="0" xfId="0" applyFont="1" applyFill="1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73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center"/>
    </dxf>
    <dxf>
      <alignment horizontal="center"/>
    </dxf>
    <dxf>
      <font>
        <name val="Calibri"/>
        <scheme val="none"/>
      </font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0.5999938962981048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4" formatCode="_-&quot;$&quot;* #,##0.00_-;\-&quot;$&quot;* #,##0.00_-;_-&quot;$&quot;* &quot;-&quot;??_-;_-@_-"/>
      <fill>
        <patternFill patternType="solid">
          <fgColor indexed="64"/>
          <bgColor theme="2" tint="0.5999938962981048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0.5999938962981048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;@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;@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protection locked="1" hidden="0"/>
    </dxf>
    <dxf>
      <fill>
        <patternFill>
          <bgColor rgb="FFFFFF7D"/>
        </patternFill>
      </fill>
    </dxf>
    <dxf>
      <fill>
        <patternFill>
          <bgColor rgb="FFF2B4B4"/>
        </patternFill>
      </fill>
    </dxf>
    <dxf>
      <fill>
        <patternFill>
          <bgColor rgb="FFFFFFB9"/>
        </patternFill>
      </fill>
    </dxf>
    <dxf>
      <fill>
        <patternFill>
          <bgColor rgb="FFF2B4B4"/>
        </patternFill>
      </fill>
    </dxf>
    <dxf>
      <fill>
        <patternFill>
          <bgColor rgb="FFFFFFB9"/>
        </patternFill>
      </fill>
    </dxf>
    <dxf>
      <fill>
        <patternFill>
          <bgColor rgb="FFFFFF7D"/>
        </patternFill>
      </fill>
    </dxf>
    <dxf>
      <font>
        <name val="Calibri"/>
        <scheme val="none"/>
      </font>
    </dxf>
  </dxfs>
  <tableStyles count="0" defaultTableStyle="TableStyleMedium2" defaultPivotStyle="PivotStyleLight16"/>
  <colors>
    <mruColors>
      <color rgb="FFFFFFB9"/>
      <color rgb="FFF2B4B4"/>
      <color rgb="FFFFFF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8</xdr:row>
      <xdr:rowOff>0</xdr:rowOff>
    </xdr:from>
    <xdr:to>
      <xdr:col>2</xdr:col>
      <xdr:colOff>20263</xdr:colOff>
      <xdr:row>12</xdr:row>
      <xdr:rowOff>85417</xdr:rowOff>
    </xdr:to>
    <xdr:pic macro="[0]!Select_Clientes">
      <xdr:nvPicPr>
        <xdr:cNvPr id="5" name="Imagen 4">
          <a:extLst>
            <a:ext uri="{FF2B5EF4-FFF2-40B4-BE49-F238E27FC236}">
              <a16:creationId xmlns:a16="http://schemas.microsoft.com/office/drawing/2014/main" id="{144B1448-2DDD-4CFC-BB20-B61F283D9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" y="1524000"/>
          <a:ext cx="810838" cy="847417"/>
        </a:xfrm>
        <a:prstGeom prst="rect">
          <a:avLst/>
        </a:prstGeom>
      </xdr:spPr>
    </xdr:pic>
    <xdr:clientData/>
  </xdr:twoCellAnchor>
  <xdr:twoCellAnchor editAs="oneCell">
    <xdr:from>
      <xdr:col>4</xdr:col>
      <xdr:colOff>88624</xdr:colOff>
      <xdr:row>8</xdr:row>
      <xdr:rowOff>85725</xdr:rowOff>
    </xdr:from>
    <xdr:to>
      <xdr:col>5</xdr:col>
      <xdr:colOff>67360</xdr:colOff>
      <xdr:row>13</xdr:row>
      <xdr:rowOff>114766</xdr:rowOff>
    </xdr:to>
    <xdr:pic macro="[0]!Select_rptVentas">
      <xdr:nvPicPr>
        <xdr:cNvPr id="11" name="Imagen 10">
          <a:extLst>
            <a:ext uri="{FF2B5EF4-FFF2-40B4-BE49-F238E27FC236}">
              <a16:creationId xmlns:a16="http://schemas.microsoft.com/office/drawing/2014/main" id="{1DA843FC-417A-4422-A2E4-1B016F02D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34798" y="1750529"/>
          <a:ext cx="815279" cy="981541"/>
        </a:xfrm>
        <a:prstGeom prst="rect">
          <a:avLst/>
        </a:prstGeom>
      </xdr:spPr>
    </xdr:pic>
    <xdr:clientData/>
  </xdr:twoCellAnchor>
  <xdr:twoCellAnchor editAs="oneCell">
    <xdr:from>
      <xdr:col>5</xdr:col>
      <xdr:colOff>357395</xdr:colOff>
      <xdr:row>8</xdr:row>
      <xdr:rowOff>85725</xdr:rowOff>
    </xdr:from>
    <xdr:to>
      <xdr:col>6</xdr:col>
      <xdr:colOff>701922</xdr:colOff>
      <xdr:row>13</xdr:row>
      <xdr:rowOff>114766</xdr:rowOff>
    </xdr:to>
    <xdr:pic macro="[0]!Select_rptServicios">
      <xdr:nvPicPr>
        <xdr:cNvPr id="12" name="Imagen 11">
          <a:extLst>
            <a:ext uri="{FF2B5EF4-FFF2-40B4-BE49-F238E27FC236}">
              <a16:creationId xmlns:a16="http://schemas.microsoft.com/office/drawing/2014/main" id="{99755712-E70C-47C3-938F-E2953CA07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40112" y="1750529"/>
          <a:ext cx="1181071" cy="981541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104775</xdr:rowOff>
    </xdr:from>
    <xdr:to>
      <xdr:col>4</xdr:col>
      <xdr:colOff>733425</xdr:colOff>
      <xdr:row>5</xdr:row>
      <xdr:rowOff>79375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53CA3DDF-E0F8-4E96-A2FF-87566D111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5125" y="104775"/>
          <a:ext cx="1181100" cy="927100"/>
        </a:xfrm>
        <a:prstGeom prst="rect">
          <a:avLst/>
        </a:prstGeom>
      </xdr:spPr>
    </xdr:pic>
    <xdr:clientData/>
  </xdr:twoCellAnchor>
  <xdr:twoCellAnchor editAs="oneCell">
    <xdr:from>
      <xdr:col>2</xdr:col>
      <xdr:colOff>390525</xdr:colOff>
      <xdr:row>8</xdr:row>
      <xdr:rowOff>66675</xdr:rowOff>
    </xdr:from>
    <xdr:to>
      <xdr:col>3</xdr:col>
      <xdr:colOff>472901</xdr:colOff>
      <xdr:row>12</xdr:row>
      <xdr:rowOff>78934</xdr:rowOff>
    </xdr:to>
    <xdr:pic macro="[0]!Select_Base">
      <xdr:nvPicPr>
        <xdr:cNvPr id="15" name="Imagen 14">
          <a:extLst>
            <a:ext uri="{FF2B5EF4-FFF2-40B4-BE49-F238E27FC236}">
              <a16:creationId xmlns:a16="http://schemas.microsoft.com/office/drawing/2014/main" id="{7A300476-8A75-49CC-9A27-A0755D503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66925" y="1733550"/>
          <a:ext cx="920576" cy="7742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243417</xdr:colOff>
      <xdr:row>0</xdr:row>
      <xdr:rowOff>0</xdr:rowOff>
    </xdr:from>
    <xdr:to>
      <xdr:col>2</xdr:col>
      <xdr:colOff>666751</xdr:colOff>
      <xdr:row>2</xdr:row>
      <xdr:rowOff>64173</xdr:rowOff>
    </xdr:to>
    <xdr:pic macro="[0]!Select_Inicio">
      <xdr:nvPicPr>
        <xdr:cNvPr id="3" name="Imagen 2">
          <a:extLst>
            <a:ext uri="{FF2B5EF4-FFF2-40B4-BE49-F238E27FC236}">
              <a16:creationId xmlns:a16="http://schemas.microsoft.com/office/drawing/2014/main" id="{1AE04A7A-1C47-4819-B6B6-D8C43969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7000" y="0"/>
          <a:ext cx="423334" cy="55100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1629831</xdr:colOff>
      <xdr:row>0</xdr:row>
      <xdr:rowOff>10584</xdr:rowOff>
    </xdr:from>
    <xdr:to>
      <xdr:col>4</xdr:col>
      <xdr:colOff>243416</xdr:colOff>
      <xdr:row>2</xdr:row>
      <xdr:rowOff>127001</xdr:rowOff>
    </xdr:to>
    <xdr:pic macro="[0]!Abrir_frmRegistros">
      <xdr:nvPicPr>
        <xdr:cNvPr id="5" name="Imagen 4">
          <a:extLst>
            <a:ext uri="{FF2B5EF4-FFF2-40B4-BE49-F238E27FC236}">
              <a16:creationId xmlns:a16="http://schemas.microsoft.com/office/drawing/2014/main" id="{0312D634-8050-4C80-91D6-6F69056D1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979" r="14699" b="11564"/>
        <a:stretch/>
      </xdr:blipFill>
      <xdr:spPr>
        <a:xfrm>
          <a:off x="5037664" y="10584"/>
          <a:ext cx="539751" cy="571500"/>
        </a:xfrm>
        <a:prstGeom prst="rect">
          <a:avLst/>
        </a:prstGeom>
      </xdr:spPr>
    </xdr:pic>
    <xdr:clientData fPrintsWithSheet="0"/>
  </xdr:twoCellAnchor>
  <xdr:twoCellAnchor editAs="absolute">
    <xdr:from>
      <xdr:col>5</xdr:col>
      <xdr:colOff>116418</xdr:colOff>
      <xdr:row>0</xdr:row>
      <xdr:rowOff>0</xdr:rowOff>
    </xdr:from>
    <xdr:to>
      <xdr:col>5</xdr:col>
      <xdr:colOff>793751</xdr:colOff>
      <xdr:row>2</xdr:row>
      <xdr:rowOff>148167</xdr:rowOff>
    </xdr:to>
    <xdr:pic macro="[0]!Eliminar_Filas">
      <xdr:nvPicPr>
        <xdr:cNvPr id="6" name="Imagen 5">
          <a:extLst>
            <a:ext uri="{FF2B5EF4-FFF2-40B4-BE49-F238E27FC236}">
              <a16:creationId xmlns:a16="http://schemas.microsoft.com/office/drawing/2014/main" id="{77D2F669-0A63-4D5B-ABEE-3FBDAC65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7659" r="10649" b="6652"/>
        <a:stretch/>
      </xdr:blipFill>
      <xdr:spPr>
        <a:xfrm>
          <a:off x="6614585" y="0"/>
          <a:ext cx="677333" cy="603250"/>
        </a:xfrm>
        <a:prstGeom prst="rect">
          <a:avLst/>
        </a:prstGeom>
      </xdr:spPr>
    </xdr:pic>
    <xdr:clientData fPrintsWithSheet="0"/>
  </xdr:twoCellAnchor>
  <xdr:twoCellAnchor editAs="absolute">
    <xdr:from>
      <xdr:col>4</xdr:col>
      <xdr:colOff>814917</xdr:colOff>
      <xdr:row>0</xdr:row>
      <xdr:rowOff>21167</xdr:rowOff>
    </xdr:from>
    <xdr:to>
      <xdr:col>4</xdr:col>
      <xdr:colOff>1238251</xdr:colOff>
      <xdr:row>2</xdr:row>
      <xdr:rowOff>117090</xdr:rowOff>
    </xdr:to>
    <xdr:pic macro="[0]!Select_Inicio">
      <xdr:nvPicPr>
        <xdr:cNvPr id="7" name="Imagen 6">
          <a:extLst>
            <a:ext uri="{FF2B5EF4-FFF2-40B4-BE49-F238E27FC236}">
              <a16:creationId xmlns:a16="http://schemas.microsoft.com/office/drawing/2014/main" id="{6CFB8AD6-5390-4045-BA4B-B74D365E6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8000" y="21167"/>
          <a:ext cx="423334" cy="551006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222250</xdr:colOff>
      <xdr:row>0</xdr:row>
      <xdr:rowOff>148166</xdr:rowOff>
    </xdr:from>
    <xdr:to>
      <xdr:col>3</xdr:col>
      <xdr:colOff>645584</xdr:colOff>
      <xdr:row>3</xdr:row>
      <xdr:rowOff>21839</xdr:rowOff>
    </xdr:to>
    <xdr:pic macro="[0]!Select_Inicio">
      <xdr:nvPicPr>
        <xdr:cNvPr id="3" name="Imagen 2">
          <a:extLst>
            <a:ext uri="{FF2B5EF4-FFF2-40B4-BE49-F238E27FC236}">
              <a16:creationId xmlns:a16="http://schemas.microsoft.com/office/drawing/2014/main" id="{6BD9FC32-B0CB-4CED-B434-2C75712A8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917" y="148166"/>
          <a:ext cx="423334" cy="551006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878417</xdr:colOff>
      <xdr:row>0</xdr:row>
      <xdr:rowOff>137584</xdr:rowOff>
    </xdr:from>
    <xdr:to>
      <xdr:col>4</xdr:col>
      <xdr:colOff>211667</xdr:colOff>
      <xdr:row>3</xdr:row>
      <xdr:rowOff>11257</xdr:rowOff>
    </xdr:to>
    <xdr:pic macro="[0]!Select_Inicio">
      <xdr:nvPicPr>
        <xdr:cNvPr id="2" name="Imagen 1">
          <a:extLst>
            <a:ext uri="{FF2B5EF4-FFF2-40B4-BE49-F238E27FC236}">
              <a16:creationId xmlns:a16="http://schemas.microsoft.com/office/drawing/2014/main" id="{CEB34CE1-7D0D-4235-BA99-685C07BE5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6500" y="137584"/>
          <a:ext cx="423334" cy="551006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Torres" refreshedDate="44360.944140162035" missingItemsLimit="0" createdVersion="7" refreshedVersion="7" minRefreshableVersion="3" recordCount="6" xr:uid="{A47743CC-178E-4F37-AB06-334FF140740F}">
  <cacheSource type="worksheet">
    <worksheetSource name="tblBase"/>
  </cacheSource>
  <cacheFields count="19">
    <cacheField name="NUM ORDEN" numFmtId="0">
      <sharedItems containsSemiMixedTypes="0" containsString="0" containsNumber="1" containsInteger="1" minValue="2" maxValue="7" count="6">
        <n v="7"/>
        <n v="6"/>
        <n v="5"/>
        <n v="4"/>
        <n v="3"/>
        <n v="2"/>
      </sharedItems>
    </cacheField>
    <cacheField name="FECHA ORDEN" numFmtId="164">
      <sharedItems containsSemiMixedTypes="0" containsNonDate="0" containsDate="1" containsString="0" minDate="2021-05-01T00:00:00" maxDate="2021-06-14T00:00:00" count="2">
        <d v="2021-05-01T00:00:00"/>
        <d v="2021-06-13T00:00:00"/>
      </sharedItems>
    </cacheField>
    <cacheField name="FECHA ENTREGA" numFmtId="164">
      <sharedItems containsSemiMixedTypes="0" containsNonDate="0" containsDate="1" containsString="0" minDate="2021-05-25T00:00:00" maxDate="2021-07-01T00:00:00" count="5">
        <d v="2021-05-25T00:00:00"/>
        <d v="2021-06-28T00:00:00"/>
        <d v="2021-06-15T00:00:00"/>
        <d v="2021-06-25T00:00:00"/>
        <d v="2021-06-30T00:00:00"/>
      </sharedItems>
    </cacheField>
    <cacheField name="NOMBRE CLIENTE" numFmtId="0">
      <sharedItems count="3">
        <s v="LUIS CENTENO"/>
        <s v="OSCAR RAMOS"/>
        <s v="MIGUEL PEREZ"/>
      </sharedItems>
    </cacheField>
    <cacheField name="TIPO DE SERVICIO" numFmtId="0">
      <sharedItems count="3">
        <s v="Mtto Preventivo"/>
        <s v="Mtto Correctivo"/>
        <s v="Fabricación de Mueble"/>
      </sharedItems>
    </cacheField>
    <cacheField name="DESCRIPCION DEL SERVICIO" numFmtId="0">
      <sharedItems count="6">
        <s v="Mtto Preventivo de Local"/>
        <s v="mtto correctivo"/>
        <s v="Fabricaciòn de mueble para cocina"/>
        <s v="Fabricación de Mueble para Sala"/>
        <s v="reparaciones en local"/>
        <s v="Se hará mantenimiento en local"/>
      </sharedItems>
    </cacheField>
    <cacheField name="TIPO DOCUM" numFmtId="0">
      <sharedItems/>
    </cacheField>
    <cacheField name="NUM DOCUM" numFmtId="0">
      <sharedItems containsSemiMixedTypes="0" containsString="0" containsNumber="1" containsInteger="1" minValue="452" maxValue="4562"/>
    </cacheField>
    <cacheField name="COSTO SERVICIO" numFmtId="44">
      <sharedItems containsSemiMixedTypes="0" containsString="0" containsNumber="1" minValue="450" maxValue="850"/>
    </cacheField>
    <cacheField name="ANTICIPO" numFmtId="44">
      <sharedItems containsSemiMixedTypes="0" containsString="0" containsNumber="1" containsInteger="1" minValue="50" maxValue="200"/>
    </cacheField>
    <cacheField name="PAGO COMPLEMENTO" numFmtId="44">
      <sharedItems containsSemiMixedTypes="0" containsString="0" containsNumber="1" containsInteger="1" minValue="0" maxValue="450"/>
    </cacheField>
    <cacheField name="PAGO TOTAL" numFmtId="44">
      <sharedItems containsSemiMixedTypes="0" containsString="0" containsNumber="1" containsInteger="1" minValue="50" maxValue="525"/>
    </cacheField>
    <cacheField name="SALDO PENDIENTE" numFmtId="44">
      <sharedItems containsSemiMixedTypes="0" containsString="0" containsNumber="1" minValue="0" maxValue="800"/>
    </cacheField>
    <cacheField name="COMENTARIO" numFmtId="0">
      <sharedItems/>
    </cacheField>
    <cacheField name="STATUS" numFmtId="0">
      <sharedItems count="2">
        <s v="PENDIENTE"/>
        <s v="FINALIZADO"/>
      </sharedItems>
    </cacheField>
    <cacheField name="VENCIMIENTO" numFmtId="44">
      <sharedItems count="6">
        <s v="Fecha de entrega venció hace 19 días"/>
        <s v="Quedan 15 días para fecha de entrega"/>
        <s v="Quedan 2 días para fecha de entrega"/>
        <s v=""/>
        <s v="Quedan 12 días para fecha de entrega"/>
        <s v="Quedan 17 días para fecha de entrega"/>
      </sharedItems>
    </cacheField>
    <cacheField name="DIAS VENCIM" numFmtId="0">
      <sharedItems containsSemiMixedTypes="0" containsString="0" containsNumber="1" containsInteger="1" minValue="-19" maxValue="17"/>
    </cacheField>
    <cacheField name="MONTH" numFmtId="0">
      <sharedItems count="2">
        <s v="may"/>
        <s v="jun"/>
      </sharedItems>
    </cacheField>
    <cacheField name="YEAR" numFmtId="0">
      <sharedItems containsSemiMixedTypes="0" containsString="0" containsNumber="1" containsInteger="1" minValue="2021" maxValue="2021" count="1">
        <n v="20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s v="FACTURA"/>
    <n v="456"/>
    <n v="600"/>
    <n v="75"/>
    <n v="0"/>
    <n v="75"/>
    <n v="525"/>
    <s v="Local # 57 av 52"/>
    <x v="0"/>
    <x v="0"/>
    <n v="-19"/>
    <x v="0"/>
    <x v="0"/>
  </r>
  <r>
    <x v="1"/>
    <x v="1"/>
    <x v="1"/>
    <x v="1"/>
    <x v="1"/>
    <x v="1"/>
    <s v="RECIBO"/>
    <n v="456"/>
    <n v="500"/>
    <n v="200"/>
    <n v="0"/>
    <n v="200"/>
    <n v="300"/>
    <s v="prueba"/>
    <x v="0"/>
    <x v="1"/>
    <n v="15"/>
    <x v="1"/>
    <x v="0"/>
  </r>
  <r>
    <x v="2"/>
    <x v="1"/>
    <x v="2"/>
    <x v="1"/>
    <x v="2"/>
    <x v="2"/>
    <s v="FACTURA"/>
    <n v="4562"/>
    <n v="850"/>
    <n v="50"/>
    <n v="0"/>
    <n v="50"/>
    <n v="800"/>
    <s v="prueba"/>
    <x v="0"/>
    <x v="2"/>
    <n v="2"/>
    <x v="1"/>
    <x v="0"/>
  </r>
  <r>
    <x v="3"/>
    <x v="1"/>
    <x v="1"/>
    <x v="2"/>
    <x v="2"/>
    <x v="3"/>
    <s v="FACTURA"/>
    <n v="985"/>
    <n v="525"/>
    <n v="75"/>
    <n v="450"/>
    <n v="525"/>
    <n v="0"/>
    <s v="prueba"/>
    <x v="1"/>
    <x v="3"/>
    <n v="0"/>
    <x v="1"/>
    <x v="0"/>
  </r>
  <r>
    <x v="4"/>
    <x v="1"/>
    <x v="3"/>
    <x v="1"/>
    <x v="1"/>
    <x v="4"/>
    <s v="FACTURA"/>
    <n v="489"/>
    <n v="525.23"/>
    <n v="50"/>
    <n v="0"/>
    <n v="50"/>
    <n v="475.23"/>
    <s v="prueba 2"/>
    <x v="0"/>
    <x v="4"/>
    <n v="12"/>
    <x v="1"/>
    <x v="0"/>
  </r>
  <r>
    <x v="5"/>
    <x v="1"/>
    <x v="4"/>
    <x v="1"/>
    <x v="0"/>
    <x v="5"/>
    <s v="FACTURA"/>
    <n v="452"/>
    <n v="450"/>
    <n v="50"/>
    <n v="0"/>
    <n v="50"/>
    <n v="400"/>
    <s v="prueba"/>
    <x v="0"/>
    <x v="5"/>
    <n v="17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F8C890-1818-49A4-B19C-7EFC1FBE1573}" name="tblTipoServicio" cacheId="1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rowHeaderCaption="TIPO SERVICIO">
  <location ref="A4:A7" firstHeaderRow="1" firstDataRow="1" firstDataCol="1"/>
  <pivotFields count="19">
    <pivotField showAll="0" defaultSubtotal="0"/>
    <pivotField numFmtId="14" showAll="0" defaultSubtotal="0"/>
    <pivotField numFmtId="14" showAll="0" defaultSubtotal="0"/>
    <pivotField showAll="0" defaultSubtotal="0"/>
    <pivotField axis="axisRow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numFmtId="44" showAll="0" defaultSubtotal="0"/>
    <pivotField numFmtId="44" showAll="0" defaultSubtotal="0"/>
    <pivotField subtotalTop="0" showAll="0" defaultSubtotal="0"/>
    <pivotField subtotalTop="0" showAll="0" defaultSubtotal="0"/>
    <pivotField numFmtId="44" subtotalTop="0" showAll="0" defaultSubtotal="0"/>
    <pivotField showAll="0" defaultSubtotal="0"/>
    <pivotField showAll="0" defaultSubtotal="0"/>
    <pivotField subtotalTop="0" showAll="0" defaultSubtotal="0"/>
    <pivotField subtotalTop="0" showAll="0" defaultSubtotal="0"/>
    <pivotField showAll="0" defaultSubtotal="0"/>
    <pivotField showAll="0" defaultSubtotal="0"/>
  </pivotFields>
  <rowFields count="1">
    <field x="4"/>
  </rowFields>
  <rowItems count="3">
    <i>
      <x/>
    </i>
    <i>
      <x v="1"/>
    </i>
    <i>
      <x v="2"/>
    </i>
  </rowItems>
  <colItems count="1">
    <i/>
  </colItems>
  <formats count="1">
    <format dxfId="72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6D9F9-CB3A-4D7A-A25A-BD2117EEBAA5}" name="tblVentas" cacheId="12" applyNumberFormats="0" applyBorderFormats="0" applyFontFormats="0" applyPatternFormats="0" applyAlignmentFormats="0" applyWidthHeightFormats="1" dataCaption="Valores" missingCaption="0" updatedVersion="7" minRefreshableVersion="3" showDrill="0" itemPrintTitles="1" createdVersion="7" indent="0" compact="0" compactData="0" multipleFieldFilters="0" rowHeaderCaption="TIPO DE SERVICIO">
  <location ref="A7:I17" firstHeaderRow="0" firstDataRow="1" firstDataCol="4" rowPageCount="2" colPageCount="1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"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">
        <item x="2"/>
        <item x="3"/>
        <item x="1"/>
        <item x="4"/>
        <item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Page" compact="0" outline="0" multipleItemSelectionAllowed="1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AÑO" axis="axisPage" compact="0" outline="0" multipleItemSelectionAllowed="1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4"/>
    <field x="1"/>
    <field x="3"/>
    <field x="5"/>
  </rowFields>
  <rowItems count="10">
    <i>
      <x/>
      <x/>
      <x/>
      <x v="1"/>
    </i>
    <i r="2">
      <x v="1"/>
      <x/>
    </i>
    <i t="default">
      <x/>
    </i>
    <i>
      <x v="1"/>
      <x/>
      <x v="1"/>
      <x v="2"/>
    </i>
    <i r="3">
      <x v="3"/>
    </i>
    <i t="default">
      <x v="1"/>
    </i>
    <i>
      <x v="2"/>
      <x/>
      <x v="1"/>
      <x v="4"/>
    </i>
    <i r="1">
      <x v="1"/>
      <x v="2"/>
      <x v="5"/>
    </i>
    <i t="default"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18" hier="-1"/>
    <pageField fld="17" hier="-1"/>
  </pageFields>
  <dataFields count="5">
    <dataField name=" COSTO SERVICIO" fld="8" baseField="0" baseItem="0" numFmtId="44"/>
    <dataField name=" ANTICIPO" fld="9" baseField="0" baseItem="0" numFmtId="44"/>
    <dataField name=" PAGO COMPLEMENTO" fld="10" baseField="0" baseItem="0" numFmtId="44"/>
    <dataField name="  PAGO TOTAL" fld="11" baseField="0" baseItem="0" numFmtId="44"/>
    <dataField name=" SALDO PENDIENTE" fld="12" baseField="0" baseItem="0" numFmtId="44"/>
  </dataFields>
  <formats count="20">
    <format dxfId="44">
      <pivotArea type="all" dataOnly="0" outline="0" fieldPosition="0"/>
    </format>
    <format dxfId="43">
      <pivotArea outline="0" fieldPosition="0">
        <references count="1">
          <reference field="4294967294" count="1">
            <x v="0"/>
          </reference>
        </references>
      </pivotArea>
    </format>
    <format dxfId="42">
      <pivotArea outline="0" fieldPosition="0">
        <references count="1">
          <reference field="4294967294" count="1">
            <x v="1"/>
          </reference>
        </references>
      </pivotArea>
    </format>
    <format dxfId="41">
      <pivotArea outline="0" fieldPosition="0">
        <references count="1">
          <reference field="4294967294" count="1">
            <x v="2"/>
          </reference>
        </references>
      </pivotArea>
    </format>
    <format dxfId="40">
      <pivotArea outline="0" fieldPosition="0">
        <references count="1">
          <reference field="4294967294" count="1">
            <x v="3"/>
          </reference>
        </references>
      </pivotArea>
    </format>
    <format dxfId="39">
      <pivotArea outline="0" fieldPosition="0">
        <references count="1">
          <reference field="4294967294" count="1">
            <x v="4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3">
      <pivotArea dataOnly="0" labelOnly="1" outline="0" fieldPosition="0">
        <references count="1">
          <reference field="1" count="0"/>
        </references>
      </pivotArea>
    </format>
    <format dxfId="32">
      <pivotArea field="1" type="button" dataOnly="0" labelOnly="1" outline="0" axis="axisRow" fieldPosition="1"/>
    </format>
    <format dxfId="31">
      <pivotArea field="18" type="button" dataOnly="0" labelOnly="1" outline="0" axis="axisPage" fieldPosition="0"/>
    </format>
    <format dxfId="30">
      <pivotArea field="17" type="button" dataOnly="0" labelOnly="1" outline="0" axis="axisPage" fieldPosition="1"/>
    </format>
    <format dxfId="29">
      <pivotArea field="17" type="button" dataOnly="0" labelOnly="1" outline="0" axis="axisPage" fieldPosition="1"/>
    </format>
    <format dxfId="28">
      <pivotArea field="18" type="button" dataOnly="0" labelOnly="1" outline="0" axis="axisPage" fieldPosition="0"/>
    </format>
    <format dxfId="27">
      <pivotArea dataOnly="0" labelOnly="1" outline="0" fieldPosition="0">
        <references count="1">
          <reference field="18" count="0"/>
        </references>
      </pivotArea>
    </format>
    <format dxfId="26">
      <pivotArea dataOnly="0" labelOnly="1" outline="0" fieldPosition="0">
        <references count="1">
          <reference field="17" count="0"/>
        </references>
      </pivotArea>
    </format>
    <format dxfId="25">
      <pivotArea field="3" type="button" dataOnly="0" labelOnly="1" outline="0" axis="axisRow" fieldPosition="2"/>
    </format>
  </formats>
  <pivotTableStyleInfo name="PivotStyleMedium9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9D393A-2BFC-430B-9FFE-8801283664D3}" name="tblSeguimiento" cacheId="12" applyNumberFormats="0" applyBorderFormats="0" applyFontFormats="0" applyPatternFormats="0" applyAlignmentFormats="0" applyWidthHeightFormats="1" dataCaption="Valores" missingCaption="0" updatedVersion="7" minRefreshableVersion="3" showDrill="0" rowGrandTotals="0" itemPrintTitles="1" createdVersion="7" indent="0" compact="0" compactData="0" multipleFieldFilters="0" rowHeaderCaption="TIPO DE SERVICIO">
  <location ref="A7:H13" firstHeaderRow="1" firstDataRow="1" firstDataCol="8" rowPageCount="2" colPageCount="1"/>
  <pivotFields count="19">
    <pivotField axis="axisRow" compact="0" outline="0" showAll="0" defaultSubtotal="0">
      <items count="6">
        <item x="5"/>
        <item x="4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5">
        <item x="2"/>
        <item x="3"/>
        <item x="1"/>
        <item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2"/>
        <item x="3"/>
        <item x="1"/>
        <item x="4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">
        <item x="3"/>
        <item x="4"/>
        <item x="1"/>
        <item x="2"/>
        <item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Page" compact="0" outline="0" multipleItemSelectionAllowed="1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AÑO" axis="axisPage" compact="0" outline="0" multipleItemSelectionAllowed="1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4"/>
    <field x="0"/>
    <field x="1"/>
    <field x="2"/>
    <field x="3"/>
    <field x="5"/>
    <field x="14"/>
    <field x="15"/>
  </rowFields>
  <rowItems count="6">
    <i>
      <x/>
      <x v="2"/>
      <x/>
      <x v="2"/>
      <x/>
      <x v="1"/>
      <x/>
      <x/>
    </i>
    <i r="1">
      <x v="3"/>
      <x/>
      <x/>
      <x v="1"/>
      <x/>
      <x v="1"/>
      <x v="3"/>
    </i>
    <i>
      <x v="1"/>
      <x v="1"/>
      <x/>
      <x v="1"/>
      <x v="1"/>
      <x v="3"/>
      <x v="1"/>
      <x v="1"/>
    </i>
    <i r="1">
      <x v="4"/>
      <x/>
      <x v="2"/>
      <x v="1"/>
      <x v="2"/>
      <x v="1"/>
      <x v="2"/>
    </i>
    <i>
      <x v="2"/>
      <x/>
      <x/>
      <x v="3"/>
      <x v="1"/>
      <x v="4"/>
      <x v="1"/>
      <x v="4"/>
    </i>
    <i r="1">
      <x v="5"/>
      <x v="1"/>
      <x v="4"/>
      <x v="2"/>
      <x v="5"/>
      <x v="1"/>
      <x v="5"/>
    </i>
  </rowItems>
  <colItems count="1">
    <i/>
  </colItems>
  <pageFields count="2">
    <pageField fld="18" hier="-1"/>
    <pageField fld="17" hier="-1"/>
  </pageFields>
  <formats count="25">
    <format dxfId="24">
      <pivotArea type="all" dataOnly="0" outline="0" fieldPosition="0"/>
    </format>
    <format dxfId="23">
      <pivotArea dataOnly="0" labelOnly="1" outline="0" fieldPosition="0">
        <references count="1">
          <reference field="1" count="0"/>
        </references>
      </pivotArea>
    </format>
    <format dxfId="22">
      <pivotArea field="1" type="button" dataOnly="0" labelOnly="1" outline="0" axis="axisRow" fieldPosition="2"/>
    </format>
    <format dxfId="21">
      <pivotArea field="18" type="button" dataOnly="0" labelOnly="1" outline="0" axis="axisPage" fieldPosition="0"/>
    </format>
    <format dxfId="20">
      <pivotArea field="17" type="button" dataOnly="0" labelOnly="1" outline="0" axis="axisPage" fieldPosition="1"/>
    </format>
    <format dxfId="19">
      <pivotArea field="17" type="button" dataOnly="0" labelOnly="1" outline="0" axis="axisPage" fieldPosition="1"/>
    </format>
    <format dxfId="18">
      <pivotArea field="18" type="button" dataOnly="0" labelOnly="1" outline="0" axis="axisPage" fieldPosition="0"/>
    </format>
    <format dxfId="17">
      <pivotArea dataOnly="0" labelOnly="1" outline="0" fieldPosition="0">
        <references count="1">
          <reference field="18" count="0"/>
        </references>
      </pivotArea>
    </format>
    <format dxfId="16">
      <pivotArea dataOnly="0" labelOnly="1" outline="0" fieldPosition="0">
        <references count="1">
          <reference field="17" count="0"/>
        </references>
      </pivotArea>
    </format>
    <format dxfId="15">
      <pivotArea field="3" type="button" dataOnly="0" labelOnly="1" outline="0" axis="axisRow" fieldPosition="4"/>
    </format>
    <format dxfId="14">
      <pivotArea dataOnly="0" labelOnly="1" outline="0" fieldPosition="0">
        <references count="1">
          <reference field="2" count="0"/>
        </references>
      </pivotArea>
    </format>
    <format dxfId="13">
      <pivotArea field="2" type="button" dataOnly="0" labelOnly="1" outline="0" axis="axisRow" fieldPosition="3"/>
    </format>
    <format dxfId="12">
      <pivotArea dataOnly="0" labelOnly="1" outline="0" fieldPosition="0">
        <references count="1">
          <reference field="0" count="0"/>
        </references>
      </pivotArea>
    </format>
    <format dxfId="11">
      <pivotArea field="0" type="button" dataOnly="0" labelOnly="1" outline="0" axis="axisRow" fieldPosition="1"/>
    </format>
    <format dxfId="10">
      <pivotArea dataOnly="0" labelOnly="1" outline="0" fieldPosition="0">
        <references count="1">
          <reference field="14" count="0"/>
        </references>
      </pivotArea>
    </format>
    <format dxfId="9">
      <pivotArea field="14" type="button" dataOnly="0" labelOnly="1" outline="0" axis="axisRow" fieldPosition="6"/>
    </format>
    <format dxfId="8">
      <pivotArea field="15" type="button" dataOnly="0" labelOnly="1" outline="0" axis="axisRow" fieldPosition="7"/>
    </format>
    <format dxfId="7">
      <pivotArea field="4" type="button" dataOnly="0" labelOnly="1" outline="0" axis="axisRow" fieldPosition="0"/>
    </format>
    <format dxfId="6">
      <pivotArea field="0" type="button" dataOnly="0" labelOnly="1" outline="0" axis="axisRow" fieldPosition="1"/>
    </format>
    <format dxfId="5">
      <pivotArea field="1" type="button" dataOnly="0" labelOnly="1" outline="0" axis="axisRow" fieldPosition="2"/>
    </format>
    <format dxfId="4">
      <pivotArea field="2" type="button" dataOnly="0" labelOnly="1" outline="0" axis="axisRow" fieldPosition="3"/>
    </format>
    <format dxfId="3">
      <pivotArea field="3" type="button" dataOnly="0" labelOnly="1" outline="0" axis="axisRow" fieldPosition="4"/>
    </format>
    <format dxfId="2">
      <pivotArea field="5" type="button" dataOnly="0" labelOnly="1" outline="0" axis="axisRow" fieldPosition="5"/>
    </format>
    <format dxfId="1">
      <pivotArea field="14" type="button" dataOnly="0" labelOnly="1" outline="0" axis="axisRow" fieldPosition="6"/>
    </format>
    <format dxfId="0">
      <pivotArea field="15" type="button" dataOnly="0" labelOnly="1" outline="0" axis="axisRow" fieldPosition="7"/>
    </format>
  </formats>
  <pivotTableStyleInfo name="PivotStyleMedium2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B1B277-92DC-419D-AC61-FF92FDB8B927}" name="tblBase" displayName="tblBase" ref="A4:S10" totalsRowShown="0" headerRowDxfId="65" dataDxfId="64">
  <autoFilter ref="A4:S10" xr:uid="{652DD1D9-E7FA-4657-A1DA-AF9ABF77D346}"/>
  <tableColumns count="19">
    <tableColumn id="1" xr3:uid="{61945432-3006-4DB2-BCD1-F22DC02F19C1}" name="NUM ORDEN" dataDxfId="63"/>
    <tableColumn id="4" xr3:uid="{9F0D4556-61C1-4FED-A252-587EBD48E40D}" name="FECHA ORDEN" dataDxfId="62"/>
    <tableColumn id="14" xr3:uid="{FE284C40-6744-4F94-8EC6-990B2133706C}" name="FECHA ENTREGA" dataDxfId="61"/>
    <tableColumn id="2" xr3:uid="{15F811F0-6A3B-4DC5-B9B1-9E6A77B3AF9A}" name="NOMBRE CLIENTE" dataDxfId="60"/>
    <tableColumn id="3" xr3:uid="{19788FE6-8376-4906-BC9C-5C41322BB91F}" name="TIPO DE SERVICIO" dataDxfId="59"/>
    <tableColumn id="10" xr3:uid="{F763733C-9F59-4AC2-A6AC-4575398F5312}" name="DESCRIPCION DEL SERVICIO" dataDxfId="58"/>
    <tableColumn id="5" xr3:uid="{990ECDD0-35B4-407C-8FC8-FB0E780A3A06}" name="TIPO DOCUM" dataDxfId="57"/>
    <tableColumn id="6" xr3:uid="{5A47B17A-85D6-4786-83C5-558388A8042F}" name="NUM DOCUM" dataDxfId="56"/>
    <tableColumn id="7" xr3:uid="{34D57EF9-96AA-45A1-9E3C-582112E5E791}" name="COSTO SERVICIO" dataDxfId="55" dataCellStyle="Moneda"/>
    <tableColumn id="15" xr3:uid="{10E11AE5-8A69-42EF-8CAF-95753138CAF1}" name="ANTICIPO" dataDxfId="54" dataCellStyle="Moneda"/>
    <tableColumn id="18" xr3:uid="{2CF1696D-AED5-4574-AE4D-E3350DD24209}" name="PAGO COMPLEMENTO" dataDxfId="53" dataCellStyle="Moneda"/>
    <tableColumn id="19" xr3:uid="{D193453F-58EB-46FB-AC11-425951F5E84B}" name="PAGO TOTAL" dataDxfId="52" dataCellStyle="Moneda"/>
    <tableColumn id="9" xr3:uid="{EAF93187-4AA4-4394-AEA6-54A19AAC3A5A}" name="SALDO PENDIENTE" dataDxfId="51" dataCellStyle="Moneda">
      <calculatedColumnFormula>+tblBase[[#This Row],[COSTO SERVICIO]]-tblBase[[#This Row],[PAGO TOTAL]]</calculatedColumnFormula>
    </tableColumn>
    <tableColumn id="8" xr3:uid="{2F9E5754-D823-4E65-9E3E-CC5A64C9682A}" name="COMENTARIO" dataDxfId="50"/>
    <tableColumn id="11" xr3:uid="{EBD19D09-54DF-4373-87BD-B5C9241240B1}" name="STATUS" dataDxfId="49"/>
    <tableColumn id="17" xr3:uid="{3C47D655-77D5-4A44-8746-DAA344E7C930}" name="VENCIMIENTO" dataDxfId="48">
      <calculatedColumnFormula>IF(tblBase[[#This Row],[STATUS]]="PENDIENTE",IF(tblBase[[#This Row],[DIAS VENCIM]]&gt;0,"Quedan "&amp;tblBase[[#This Row],[DIAS VENCIM]]&amp;" días para fecha de entrega",IF(tblBase[[#This Row],[DIAS VENCIM]]&lt;0,"Fecha de entrega venció hace "&amp;tblBase[[#This Row],[DIAS VENCIM]]*-1&amp;" días",IF(tblBase[[#This Row],[DIAS VENCIM]]=0,"Fecha de entrega vence hoy",""))),"")</calculatedColumnFormula>
    </tableColumn>
    <tableColumn id="16" xr3:uid="{70C6F7C1-77B5-4839-B714-D79B75B2F194}" name="DIAS VENCIM" dataDxfId="47">
      <calculatedColumnFormula>IF(tblBase[[#This Row],[STATUS]]="PENDIENTE",tblBase[[#This Row],[FECHA ENTREGA]]-TODAY(),0)</calculatedColumnFormula>
    </tableColumn>
    <tableColumn id="12" xr3:uid="{73C71E19-9D53-4C32-9F17-F971D8A1A9A7}" name="MONTH" dataDxfId="46"/>
    <tableColumn id="13" xr3:uid="{6C823ED4-6556-4C94-88A7-A7C88ABB35E4}" name="YEAR" dataDxfId="45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ariah@yahoo.es" TargetMode="External"/><Relationship Id="rId2" Type="http://schemas.openxmlformats.org/officeDocument/2006/relationships/hyperlink" Target="mailto:miguelperez@hotmail.com" TargetMode="External"/><Relationship Id="rId1" Type="http://schemas.openxmlformats.org/officeDocument/2006/relationships/hyperlink" Target="mailto:oscarramos@gmail.com" TargetMode="External"/><Relationship Id="rId6" Type="http://schemas.openxmlformats.org/officeDocument/2006/relationships/drawing" Target="../drawings/drawing2.xml"/><Relationship Id="rId5" Type="http://schemas.openxmlformats.org/officeDocument/2006/relationships/hyperlink" Target="mailto:saul@hotmail.com" TargetMode="External"/><Relationship Id="rId4" Type="http://schemas.openxmlformats.org/officeDocument/2006/relationships/hyperlink" Target="mailto:luis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B04F-5F90-4E22-B6DF-D49B0596668D}">
  <sheetPr codeName="Inicio"/>
  <dimension ref="B7:G17"/>
  <sheetViews>
    <sheetView showGridLines="0" tabSelected="1" zoomScale="115" zoomScaleNormal="115" workbookViewId="0">
      <selection activeCell="I8" sqref="I8"/>
    </sheetView>
  </sheetViews>
  <sheetFormatPr baseColWidth="10" defaultRowHeight="15" x14ac:dyDescent="0.25"/>
  <cols>
    <col min="1" max="16384" width="11" style="1"/>
  </cols>
  <sheetData>
    <row r="7" spans="2:7" ht="26.25" x14ac:dyDescent="0.4">
      <c r="B7" s="43" t="s">
        <v>86</v>
      </c>
      <c r="C7" s="43"/>
      <c r="D7" s="43"/>
      <c r="E7" s="43"/>
      <c r="F7" s="43"/>
      <c r="G7" s="43"/>
    </row>
    <row r="16" spans="2:7" ht="15.75" thickBot="1" x14ac:dyDescent="0.3">
      <c r="B16" s="29"/>
      <c r="C16" s="29"/>
      <c r="D16" s="29"/>
      <c r="E16" s="29"/>
      <c r="F16" s="29"/>
      <c r="G16" s="29"/>
    </row>
    <row r="17" ht="15.75" thickTop="1" x14ac:dyDescent="0.25"/>
  </sheetData>
  <mergeCells count="1">
    <mergeCell ref="B7:G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DB106-617C-41D1-B95D-ADDFC9CCBF80}">
  <sheetPr codeName="Servicios"/>
  <dimension ref="A4:C21"/>
  <sheetViews>
    <sheetView workbookViewId="0">
      <selection activeCell="B9" sqref="B9"/>
    </sheetView>
  </sheetViews>
  <sheetFormatPr baseColWidth="10" defaultRowHeight="15" x14ac:dyDescent="0.25"/>
  <cols>
    <col min="1" max="1" width="18.5" style="1" bestFit="1" customWidth="1"/>
    <col min="2" max="16384" width="11" style="1"/>
  </cols>
  <sheetData>
    <row r="4" spans="1:3" ht="16.5" x14ac:dyDescent="0.3">
      <c r="A4" s="33" t="s">
        <v>57</v>
      </c>
      <c r="B4"/>
      <c r="C4"/>
    </row>
    <row r="5" spans="1:3" ht="16.5" x14ac:dyDescent="0.3">
      <c r="A5" s="34" t="s">
        <v>53</v>
      </c>
      <c r="B5"/>
      <c r="C5"/>
    </row>
    <row r="6" spans="1:3" ht="16.5" x14ac:dyDescent="0.3">
      <c r="A6" s="34" t="s">
        <v>47</v>
      </c>
      <c r="B6"/>
      <c r="C6"/>
    </row>
    <row r="7" spans="1:3" ht="16.5" x14ac:dyDescent="0.3">
      <c r="A7" s="34" t="s">
        <v>58</v>
      </c>
      <c r="B7"/>
      <c r="C7"/>
    </row>
    <row r="8" spans="1:3" ht="16.5" x14ac:dyDescent="0.3">
      <c r="A8"/>
      <c r="B8"/>
      <c r="C8"/>
    </row>
    <row r="9" spans="1:3" ht="16.5" x14ac:dyDescent="0.3">
      <c r="A9"/>
      <c r="B9"/>
      <c r="C9"/>
    </row>
    <row r="10" spans="1:3" ht="16.5" x14ac:dyDescent="0.3">
      <c r="A10"/>
      <c r="B10"/>
      <c r="C10"/>
    </row>
    <row r="11" spans="1:3" ht="16.5" x14ac:dyDescent="0.3">
      <c r="A11"/>
      <c r="B11"/>
      <c r="C11"/>
    </row>
    <row r="12" spans="1:3" ht="16.5" x14ac:dyDescent="0.3">
      <c r="A12"/>
      <c r="B12"/>
      <c r="C12"/>
    </row>
    <row r="13" spans="1:3" ht="16.5" x14ac:dyDescent="0.3">
      <c r="A13"/>
      <c r="B13"/>
      <c r="C13"/>
    </row>
    <row r="14" spans="1:3" ht="16.5" x14ac:dyDescent="0.3">
      <c r="A14"/>
      <c r="B14"/>
      <c r="C14"/>
    </row>
    <row r="15" spans="1:3" ht="16.5" x14ac:dyDescent="0.3">
      <c r="A15"/>
      <c r="B15"/>
      <c r="C15"/>
    </row>
    <row r="16" spans="1:3" ht="16.5" x14ac:dyDescent="0.3">
      <c r="A16"/>
      <c r="B16"/>
      <c r="C16"/>
    </row>
    <row r="17" spans="1:3" ht="16.5" x14ac:dyDescent="0.3">
      <c r="A17"/>
      <c r="B17"/>
      <c r="C17"/>
    </row>
    <row r="18" spans="1:3" ht="16.5" x14ac:dyDescent="0.3">
      <c r="A18"/>
      <c r="B18"/>
      <c r="C18"/>
    </row>
    <row r="19" spans="1:3" ht="16.5" x14ac:dyDescent="0.3">
      <c r="A19"/>
      <c r="B19"/>
      <c r="C19"/>
    </row>
    <row r="20" spans="1:3" ht="16.5" x14ac:dyDescent="0.3">
      <c r="A20"/>
      <c r="B20"/>
      <c r="C20"/>
    </row>
    <row r="21" spans="1:3" ht="16.5" x14ac:dyDescent="0.3">
      <c r="A21"/>
      <c r="B21"/>
      <c r="C21"/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F049A-F3BC-42DB-A49E-793E3A89BC99}">
  <sheetPr codeName="Clientes"/>
  <dimension ref="A2:F9"/>
  <sheetViews>
    <sheetView zoomScale="90" zoomScaleNormal="90" workbookViewId="0">
      <selection activeCell="B15" sqref="B15"/>
    </sheetView>
  </sheetViews>
  <sheetFormatPr baseColWidth="10" defaultRowHeight="15" x14ac:dyDescent="0.25"/>
  <cols>
    <col min="1" max="1" width="23.75" style="1" customWidth="1"/>
    <col min="2" max="2" width="30" style="1" bestFit="1" customWidth="1"/>
    <col min="3" max="3" width="14" style="2" customWidth="1"/>
    <col min="4" max="4" width="26.375" style="1" customWidth="1"/>
    <col min="5" max="5" width="17.125" style="31" customWidth="1"/>
    <col min="6" max="6" width="45.875" style="1" customWidth="1"/>
    <col min="7" max="16384" width="11" style="1"/>
  </cols>
  <sheetData>
    <row r="2" spans="1:6" ht="23.25" x14ac:dyDescent="0.35">
      <c r="A2" s="5" t="s">
        <v>19</v>
      </c>
      <c r="B2" s="5"/>
    </row>
    <row r="3" spans="1:6" ht="12.75" customHeight="1" x14ac:dyDescent="0.25"/>
    <row r="4" spans="1:6" x14ac:dyDescent="0.25">
      <c r="A4" s="3" t="s">
        <v>1</v>
      </c>
      <c r="B4" s="4" t="s">
        <v>40</v>
      </c>
      <c r="C4" s="4" t="s">
        <v>14</v>
      </c>
      <c r="D4" s="4" t="s">
        <v>15</v>
      </c>
      <c r="E4" s="30" t="s">
        <v>16</v>
      </c>
      <c r="F4" s="4" t="s">
        <v>17</v>
      </c>
    </row>
    <row r="5" spans="1:6" ht="16.5" x14ac:dyDescent="0.3">
      <c r="A5" s="1" t="s">
        <v>20</v>
      </c>
      <c r="B5" s="1" t="s">
        <v>41</v>
      </c>
      <c r="C5" s="2" t="s">
        <v>21</v>
      </c>
      <c r="D5" s="6" t="s">
        <v>22</v>
      </c>
      <c r="E5" s="31">
        <v>25544152</v>
      </c>
      <c r="F5" s="1" t="s">
        <v>23</v>
      </c>
    </row>
    <row r="6" spans="1:6" ht="16.5" x14ac:dyDescent="0.3">
      <c r="A6" s="1" t="s">
        <v>24</v>
      </c>
      <c r="B6" s="1" t="s">
        <v>42</v>
      </c>
      <c r="C6" s="2" t="s">
        <v>25</v>
      </c>
      <c r="D6" s="6" t="s">
        <v>26</v>
      </c>
      <c r="E6" s="31">
        <v>25452524</v>
      </c>
      <c r="F6" s="1" t="s">
        <v>27</v>
      </c>
    </row>
    <row r="7" spans="1:6" ht="16.5" x14ac:dyDescent="0.3">
      <c r="A7" s="1" t="s">
        <v>28</v>
      </c>
      <c r="B7" s="1" t="s">
        <v>43</v>
      </c>
      <c r="C7" s="2" t="s">
        <v>29</v>
      </c>
      <c r="D7" s="6" t="s">
        <v>30</v>
      </c>
      <c r="E7" s="31">
        <v>12452554</v>
      </c>
      <c r="F7" s="1" t="s">
        <v>31</v>
      </c>
    </row>
    <row r="8" spans="1:6" ht="16.5" x14ac:dyDescent="0.3">
      <c r="A8" s="1" t="s">
        <v>32</v>
      </c>
      <c r="B8" s="1" t="s">
        <v>44</v>
      </c>
      <c r="C8" s="2" t="s">
        <v>33</v>
      </c>
      <c r="D8" s="6" t="s">
        <v>34</v>
      </c>
      <c r="E8" s="31">
        <v>25415252</v>
      </c>
      <c r="F8" s="1" t="s">
        <v>35</v>
      </c>
    </row>
    <row r="9" spans="1:6" ht="16.5" x14ac:dyDescent="0.3">
      <c r="A9" s="1" t="s">
        <v>36</v>
      </c>
      <c r="B9" s="1" t="s">
        <v>45</v>
      </c>
      <c r="C9" s="2" t="s">
        <v>37</v>
      </c>
      <c r="D9" s="6" t="s">
        <v>38</v>
      </c>
      <c r="E9" s="31">
        <v>52452522</v>
      </c>
      <c r="F9" s="1" t="s">
        <v>39</v>
      </c>
    </row>
  </sheetData>
  <hyperlinks>
    <hyperlink ref="D5" r:id="rId1" xr:uid="{E36081F6-71F1-4168-9EF7-CB226E081E86}"/>
    <hyperlink ref="D6" r:id="rId2" xr:uid="{561B1E5A-BDBA-4BCB-BD2B-9BD4934E34E9}"/>
    <hyperlink ref="D7" r:id="rId3" xr:uid="{45939710-9134-4237-9615-70B1A7C74978}"/>
    <hyperlink ref="D8" r:id="rId4" xr:uid="{6D8D7267-BD2C-49EF-8B36-CBB840261C61}"/>
    <hyperlink ref="D9" r:id="rId5" xr:uid="{8BCE844B-714D-47D8-9D2D-7463A7A4A97D}"/>
  </hyperlinks>
  <pageMargins left="0.7" right="0.7" top="0.75" bottom="0.75" header="0.3" footer="0.3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B172E-C331-40D0-96BF-DF8920228B02}">
  <sheetPr codeName="Base"/>
  <dimension ref="A1:S10"/>
  <sheetViews>
    <sheetView zoomScale="90" zoomScaleNormal="90" workbookViewId="0">
      <pane ySplit="4" topLeftCell="A5" activePane="bottomLeft" state="frozen"/>
      <selection pane="bottomLeft" activeCell="C6" sqref="C6"/>
    </sheetView>
  </sheetViews>
  <sheetFormatPr baseColWidth="10" defaultRowHeight="16.5" x14ac:dyDescent="0.3"/>
  <cols>
    <col min="1" max="1" width="10.5" style="9" customWidth="1"/>
    <col min="2" max="2" width="13.875" style="9" bestFit="1" customWidth="1"/>
    <col min="3" max="3" width="12.875" style="9" customWidth="1"/>
    <col min="4" max="4" width="25.25" style="9" customWidth="1"/>
    <col min="5" max="5" width="22.625" style="9" customWidth="1"/>
    <col min="6" max="6" width="26.625" style="9" customWidth="1"/>
    <col min="7" max="7" width="11" style="13"/>
    <col min="8" max="8" width="12.375" style="9" customWidth="1"/>
    <col min="9" max="9" width="17" style="9" customWidth="1"/>
    <col min="10" max="10" width="16.625" style="9" customWidth="1"/>
    <col min="11" max="11" width="18" style="9" customWidth="1"/>
    <col min="12" max="12" width="16.375" style="9" customWidth="1"/>
    <col min="13" max="13" width="18" style="9" customWidth="1"/>
    <col min="14" max="14" width="30.75" style="9" customWidth="1"/>
    <col min="15" max="15" width="16.625" style="9" customWidth="1"/>
    <col min="16" max="16" width="31.875" style="21" bestFit="1" customWidth="1"/>
    <col min="17" max="17" width="10.25" style="9" hidden="1" customWidth="1"/>
    <col min="18" max="18" width="9" style="13" hidden="1" customWidth="1"/>
    <col min="19" max="19" width="8.875" style="9" hidden="1" customWidth="1"/>
    <col min="20" max="16384" width="11" style="9"/>
  </cols>
  <sheetData>
    <row r="1" spans="1:19" s="7" customFormat="1" ht="14.25" customHeight="1" x14ac:dyDescent="0.25">
      <c r="P1" s="21"/>
    </row>
    <row r="2" spans="1:19" s="7" customFormat="1" ht="21.75" customHeight="1" x14ac:dyDescent="0.35">
      <c r="A2" s="8" t="s">
        <v>46</v>
      </c>
      <c r="P2" s="21"/>
    </row>
    <row r="3" spans="1:19" s="7" customFormat="1" ht="12.75" customHeight="1" x14ac:dyDescent="0.25">
      <c r="P3" s="21"/>
    </row>
    <row r="4" spans="1:19" ht="15" x14ac:dyDescent="0.25">
      <c r="A4" s="14" t="s">
        <v>0</v>
      </c>
      <c r="B4" s="14" t="s">
        <v>11</v>
      </c>
      <c r="C4" s="14" t="s">
        <v>10</v>
      </c>
      <c r="D4" s="14" t="s">
        <v>1</v>
      </c>
      <c r="E4" s="14" t="s">
        <v>2</v>
      </c>
      <c r="F4" s="14" t="s">
        <v>5</v>
      </c>
      <c r="G4" s="14" t="s">
        <v>3</v>
      </c>
      <c r="H4" s="14" t="s">
        <v>4</v>
      </c>
      <c r="I4" s="15" t="s">
        <v>6</v>
      </c>
      <c r="J4" s="15" t="s">
        <v>18</v>
      </c>
      <c r="K4" s="15" t="s">
        <v>65</v>
      </c>
      <c r="L4" s="15" t="s">
        <v>66</v>
      </c>
      <c r="M4" s="15" t="s">
        <v>62</v>
      </c>
      <c r="N4" s="15" t="s">
        <v>7</v>
      </c>
      <c r="O4" s="15" t="s">
        <v>8</v>
      </c>
      <c r="P4" s="22" t="s">
        <v>63</v>
      </c>
      <c r="Q4" s="15" t="s">
        <v>61</v>
      </c>
      <c r="R4" s="15" t="s">
        <v>13</v>
      </c>
      <c r="S4" s="15" t="s">
        <v>12</v>
      </c>
    </row>
    <row r="5" spans="1:19" ht="15" x14ac:dyDescent="0.25">
      <c r="A5" s="19">
        <v>7</v>
      </c>
      <c r="B5" s="16">
        <v>44317</v>
      </c>
      <c r="C5" s="16">
        <v>44341</v>
      </c>
      <c r="D5" s="9" t="s">
        <v>32</v>
      </c>
      <c r="E5" s="9" t="s">
        <v>47</v>
      </c>
      <c r="F5" s="9" t="s">
        <v>87</v>
      </c>
      <c r="G5" s="9" t="s">
        <v>49</v>
      </c>
      <c r="H5" s="10">
        <v>456</v>
      </c>
      <c r="I5" s="20">
        <v>600</v>
      </c>
      <c r="J5" s="11">
        <v>75</v>
      </c>
      <c r="K5" s="11">
        <v>0</v>
      </c>
      <c r="L5" s="11">
        <v>75</v>
      </c>
      <c r="M5" s="23">
        <f>+tblBase[[#This Row],[COSTO SERVICIO]]-tblBase[[#This Row],[PAGO TOTAL]]</f>
        <v>525</v>
      </c>
      <c r="N5" s="12" t="s">
        <v>88</v>
      </c>
      <c r="O5" s="10" t="s">
        <v>50</v>
      </c>
      <c r="P5" s="32" t="str">
        <f ca="1">IF(tblBase[[#This Row],[STATUS]]="PENDIENTE",IF(tblBase[[#This Row],[DIAS VENCIM]]&gt;0,"Quedan "&amp;tblBase[[#This Row],[DIAS VENCIM]]&amp;" días para fecha de entrega",IF(tblBase[[#This Row],[DIAS VENCIM]]&lt;0,"Fecha de entrega venció hace "&amp;tblBase[[#This Row],[DIAS VENCIM]]*-1&amp;" días",IF(tblBase[[#This Row],[DIAS VENCIM]]=0,"Fecha de entrega vence hoy",""))),"")</f>
        <v>Fecha de entrega venció hace 19 días</v>
      </c>
      <c r="Q5" s="24">
        <f ca="1">IF(tblBase[[#This Row],[STATUS]]="PENDIENTE",tblBase[[#This Row],[FECHA ENTREGA]]-TODAY(),0)</f>
        <v>-19</v>
      </c>
      <c r="R5" s="19" t="s">
        <v>89</v>
      </c>
      <c r="S5" s="19">
        <v>2021</v>
      </c>
    </row>
    <row r="6" spans="1:19" ht="15" x14ac:dyDescent="0.25">
      <c r="A6" s="19">
        <v>6</v>
      </c>
      <c r="B6" s="16">
        <v>44360</v>
      </c>
      <c r="C6" s="16">
        <v>44375</v>
      </c>
      <c r="D6" s="9" t="s">
        <v>20</v>
      </c>
      <c r="E6" s="9" t="s">
        <v>53</v>
      </c>
      <c r="F6" s="9" t="s">
        <v>68</v>
      </c>
      <c r="G6" s="9" t="s">
        <v>69</v>
      </c>
      <c r="H6" s="10">
        <v>456</v>
      </c>
      <c r="I6" s="20">
        <v>500</v>
      </c>
      <c r="J6" s="11">
        <v>200</v>
      </c>
      <c r="K6" s="11">
        <v>0</v>
      </c>
      <c r="L6" s="11">
        <v>200</v>
      </c>
      <c r="M6" s="23">
        <f>+tblBase[[#This Row],[COSTO SERVICIO]]-tblBase[[#This Row],[PAGO TOTAL]]</f>
        <v>300</v>
      </c>
      <c r="N6" s="12" t="s">
        <v>51</v>
      </c>
      <c r="O6" s="10" t="s">
        <v>50</v>
      </c>
      <c r="P6" s="32" t="str">
        <f ca="1">IF(tblBase[[#This Row],[STATUS]]="PENDIENTE",IF(tblBase[[#This Row],[DIAS VENCIM]]&gt;0,"Quedan "&amp;tblBase[[#This Row],[DIAS VENCIM]]&amp;" días para fecha de entrega",IF(tblBase[[#This Row],[DIAS VENCIM]]&lt;0,"Fecha de entrega venció hace "&amp;tblBase[[#This Row],[DIAS VENCIM]]*-1&amp;" días",IF(tblBase[[#This Row],[DIAS VENCIM]]=0,"Fecha de entrega vence hoy",""))),"")</f>
        <v>Quedan 15 días para fecha de entrega</v>
      </c>
      <c r="Q6" s="24">
        <f ca="1">IF(tblBase[[#This Row],[STATUS]]="PENDIENTE",tblBase[[#This Row],[FECHA ENTREGA]]-TODAY(),0)</f>
        <v>15</v>
      </c>
      <c r="R6" s="19" t="s">
        <v>52</v>
      </c>
      <c r="S6" s="19">
        <v>2021</v>
      </c>
    </row>
    <row r="7" spans="1:19" ht="15" x14ac:dyDescent="0.25">
      <c r="A7" s="19">
        <v>5</v>
      </c>
      <c r="B7" s="16">
        <v>44360</v>
      </c>
      <c r="C7" s="16">
        <v>44362</v>
      </c>
      <c r="D7" s="9" t="s">
        <v>20</v>
      </c>
      <c r="E7" s="9" t="s">
        <v>58</v>
      </c>
      <c r="F7" s="9" t="s">
        <v>67</v>
      </c>
      <c r="G7" s="9" t="s">
        <v>49</v>
      </c>
      <c r="H7" s="10">
        <v>4562</v>
      </c>
      <c r="I7" s="20">
        <v>850</v>
      </c>
      <c r="J7" s="11">
        <v>50</v>
      </c>
      <c r="K7" s="11">
        <v>0</v>
      </c>
      <c r="L7" s="11">
        <v>50</v>
      </c>
      <c r="M7" s="23">
        <f>+tblBase[[#This Row],[COSTO SERVICIO]]-tblBase[[#This Row],[PAGO TOTAL]]</f>
        <v>800</v>
      </c>
      <c r="N7" s="12" t="s">
        <v>51</v>
      </c>
      <c r="O7" s="10" t="s">
        <v>50</v>
      </c>
      <c r="P7" s="32" t="str">
        <f ca="1">IF(tblBase[[#This Row],[STATUS]]="PENDIENTE",IF(tblBase[[#This Row],[DIAS VENCIM]]&gt;0,"Quedan "&amp;tblBase[[#This Row],[DIAS VENCIM]]&amp;" días para fecha de entrega",IF(tblBase[[#This Row],[DIAS VENCIM]]&lt;0,"Fecha de entrega venció hace "&amp;tblBase[[#This Row],[DIAS VENCIM]]*-1&amp;" días",IF(tblBase[[#This Row],[DIAS VENCIM]]=0,"Fecha de entrega vence hoy",""))),"")</f>
        <v>Quedan 2 días para fecha de entrega</v>
      </c>
      <c r="Q7" s="24">
        <f ca="1">IF(tblBase[[#This Row],[STATUS]]="PENDIENTE",tblBase[[#This Row],[FECHA ENTREGA]]-TODAY(),0)</f>
        <v>2</v>
      </c>
      <c r="R7" s="19" t="s">
        <v>52</v>
      </c>
      <c r="S7" s="19">
        <v>2021</v>
      </c>
    </row>
    <row r="8" spans="1:19" ht="15" x14ac:dyDescent="0.25">
      <c r="A8" s="19">
        <v>4</v>
      </c>
      <c r="B8" s="16">
        <v>44360</v>
      </c>
      <c r="C8" s="16">
        <v>44375</v>
      </c>
      <c r="D8" s="9" t="s">
        <v>24</v>
      </c>
      <c r="E8" s="9" t="s">
        <v>58</v>
      </c>
      <c r="F8" s="9" t="s">
        <v>59</v>
      </c>
      <c r="G8" s="9" t="s">
        <v>49</v>
      </c>
      <c r="H8" s="10">
        <v>985</v>
      </c>
      <c r="I8" s="20">
        <v>525</v>
      </c>
      <c r="J8" s="11">
        <v>75</v>
      </c>
      <c r="K8" s="11">
        <v>450</v>
      </c>
      <c r="L8" s="11">
        <v>525</v>
      </c>
      <c r="M8" s="18">
        <f>+tblBase[[#This Row],[COSTO SERVICIO]]-tblBase[[#This Row],[PAGO TOTAL]]</f>
        <v>0</v>
      </c>
      <c r="N8" s="12" t="s">
        <v>60</v>
      </c>
      <c r="O8" s="10" t="s">
        <v>64</v>
      </c>
      <c r="P8" s="32" t="str">
        <f>IF(tblBase[[#This Row],[STATUS]]="PENDIENTE",IF(tblBase[[#This Row],[DIAS VENCIM]]&gt;0,"Quedan "&amp;tblBase[[#This Row],[DIAS VENCIM]]&amp;" días para fecha de entrega",IF(tblBase[[#This Row],[DIAS VENCIM]]&lt;0,"Fecha de entrega venció hace "&amp;tblBase[[#This Row],[DIAS VENCIM]]*-1&amp;" días",IF(tblBase[[#This Row],[DIAS VENCIM]]=0,"Fecha de entrega vence hoy",""))),"")</f>
        <v/>
      </c>
      <c r="Q8" s="17">
        <f ca="1">IF(tblBase[[#This Row],[STATUS]]="PENDIENTE",tblBase[[#This Row],[FECHA ENTREGA]]-TODAY(),0)</f>
        <v>0</v>
      </c>
      <c r="R8" s="19" t="s">
        <v>52</v>
      </c>
      <c r="S8" s="19">
        <v>2021</v>
      </c>
    </row>
    <row r="9" spans="1:19" ht="15" x14ac:dyDescent="0.25">
      <c r="A9" s="19">
        <v>3</v>
      </c>
      <c r="B9" s="16">
        <v>44360</v>
      </c>
      <c r="C9" s="16">
        <v>44372</v>
      </c>
      <c r="D9" s="9" t="s">
        <v>20</v>
      </c>
      <c r="E9" s="9" t="s">
        <v>53</v>
      </c>
      <c r="F9" s="9" t="s">
        <v>54</v>
      </c>
      <c r="G9" s="9" t="s">
        <v>49</v>
      </c>
      <c r="H9" s="10">
        <v>489</v>
      </c>
      <c r="I9" s="20">
        <v>525.23</v>
      </c>
      <c r="J9" s="11">
        <v>50</v>
      </c>
      <c r="K9" s="11">
        <v>0</v>
      </c>
      <c r="L9" s="11">
        <v>50</v>
      </c>
      <c r="M9" s="18">
        <f>+tblBase[[#This Row],[COSTO SERVICIO]]-tblBase[[#This Row],[PAGO TOTAL]]</f>
        <v>475.23</v>
      </c>
      <c r="N9" s="12" t="s">
        <v>55</v>
      </c>
      <c r="O9" s="10" t="s">
        <v>50</v>
      </c>
      <c r="P9" s="32" t="str">
        <f ca="1">IF(tblBase[[#This Row],[STATUS]]="PENDIENTE",IF(tblBase[[#This Row],[DIAS VENCIM]]&gt;0,"Quedan "&amp;tblBase[[#This Row],[DIAS VENCIM]]&amp;" días para fecha de entrega",IF(tblBase[[#This Row],[DIAS VENCIM]]&lt;0,"Fecha de entrega venció hace "&amp;tblBase[[#This Row],[DIAS VENCIM]]*-1&amp;" días",IF(tblBase[[#This Row],[DIAS VENCIM]]=0,"Fecha de entrega vence hoy",""))),"")</f>
        <v>Quedan 12 días para fecha de entrega</v>
      </c>
      <c r="Q9" s="17">
        <f ca="1">IF(tblBase[[#This Row],[STATUS]]="PENDIENTE",tblBase[[#This Row],[FECHA ENTREGA]]-TODAY(),0)</f>
        <v>12</v>
      </c>
      <c r="R9" s="19" t="s">
        <v>52</v>
      </c>
      <c r="S9" s="19">
        <v>2021</v>
      </c>
    </row>
    <row r="10" spans="1:19" ht="15" x14ac:dyDescent="0.25">
      <c r="A10" s="19">
        <v>2</v>
      </c>
      <c r="B10" s="16">
        <v>44360</v>
      </c>
      <c r="C10" s="16">
        <v>44377</v>
      </c>
      <c r="D10" s="9" t="s">
        <v>20</v>
      </c>
      <c r="E10" s="9" t="s">
        <v>47</v>
      </c>
      <c r="F10" s="9" t="s">
        <v>48</v>
      </c>
      <c r="G10" s="9" t="s">
        <v>49</v>
      </c>
      <c r="H10" s="10">
        <v>452</v>
      </c>
      <c r="I10" s="20">
        <v>450</v>
      </c>
      <c r="J10" s="11">
        <v>50</v>
      </c>
      <c r="K10" s="11">
        <v>0</v>
      </c>
      <c r="L10" s="11">
        <v>50</v>
      </c>
      <c r="M10" s="18">
        <f>+tblBase[[#This Row],[COSTO SERVICIO]]-tblBase[[#This Row],[PAGO TOTAL]]</f>
        <v>400</v>
      </c>
      <c r="N10" s="12" t="s">
        <v>51</v>
      </c>
      <c r="O10" s="10" t="s">
        <v>50</v>
      </c>
      <c r="P10" s="32" t="str">
        <f ca="1">IF(tblBase[[#This Row],[STATUS]]="PENDIENTE",IF(tblBase[[#This Row],[DIAS VENCIM]]&gt;0,"Quedan "&amp;tblBase[[#This Row],[DIAS VENCIM]]&amp;" días para fecha de entrega",IF(tblBase[[#This Row],[DIAS VENCIM]]&lt;0,"Fecha de entrega venció hace "&amp;tblBase[[#This Row],[DIAS VENCIM]]*-1&amp;" días",IF(tblBase[[#This Row],[DIAS VENCIM]]=0,"Fecha de entrega vence hoy",""))),"")</f>
        <v>Quedan 17 días para fecha de entrega</v>
      </c>
      <c r="Q10" s="17">
        <f ca="1">IF(tblBase[[#This Row],[STATUS]]="PENDIENTE",tblBase[[#This Row],[FECHA ENTREGA]]-TODAY(),0)</f>
        <v>17</v>
      </c>
      <c r="R10" s="19" t="s">
        <v>52</v>
      </c>
      <c r="S10" s="19">
        <v>2021</v>
      </c>
    </row>
  </sheetData>
  <sheetProtection algorithmName="SHA-512" hashValue="jjngGCYPhmtSXRmtbknkjU/dFTC18DUk/NV9RA9G8AMvsromKHdMJvHmW2kkz1y63JT8xt/QBWllx4KelZQ3rQ==" saltValue="WePz13yDW3Lw2d61PPlgmg==" spinCount="100000" sheet="1" objects="1" scenarios="1" formatCells="0" formatColumns="0" formatRows="0" deleteRows="0" autoFilter="0"/>
  <phoneticPr fontId="8" type="noConversion"/>
  <conditionalFormatting sqref="M1:M3 M11:M1048576">
    <cfRule type="expression" dxfId="71" priority="4">
      <formula>$M1="PENDIENTE"</formula>
    </cfRule>
  </conditionalFormatting>
  <conditionalFormatting sqref="P1:P3 P11:P1048576">
    <cfRule type="expression" dxfId="70" priority="1">
      <formula>AND($Q1&gt;=0,ROW()&gt;4,$Q1&lt;&gt;"")</formula>
    </cfRule>
    <cfRule type="expression" dxfId="69" priority="3">
      <formula>$Q1&lt;0</formula>
    </cfRule>
  </conditionalFormatting>
  <conditionalFormatting sqref="P4:P10">
    <cfRule type="expression" dxfId="68" priority="7">
      <formula>AND($Q4&gt;=0,ROW()&gt;4,$Q4&lt;&gt;"",O4="PENDIENTE")</formula>
    </cfRule>
    <cfRule type="expression" dxfId="67" priority="8">
      <formula>$Q4&lt;0</formula>
    </cfRule>
  </conditionalFormatting>
  <conditionalFormatting sqref="O4:O10">
    <cfRule type="expression" dxfId="66" priority="10">
      <formula>$O4="PENDIENTE"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1DC23-E54F-41DD-89D5-F9442A3DAEC7}">
  <sheetPr codeName="Calculos"/>
  <dimension ref="A8:B9"/>
  <sheetViews>
    <sheetView workbookViewId="0">
      <selection activeCell="C6" sqref="C6"/>
    </sheetView>
  </sheetViews>
  <sheetFormatPr baseColWidth="10" defaultRowHeight="15" x14ac:dyDescent="0.25"/>
  <cols>
    <col min="1" max="1" width="12.75" style="1" customWidth="1"/>
    <col min="2" max="16384" width="11" style="1"/>
  </cols>
  <sheetData>
    <row r="8" spans="1:2" x14ac:dyDescent="0.25">
      <c r="A8" s="25" t="s">
        <v>0</v>
      </c>
      <c r="B8" s="26">
        <v>8</v>
      </c>
    </row>
    <row r="9" spans="1:2" x14ac:dyDescent="0.25">
      <c r="A9" s="25" t="s">
        <v>9</v>
      </c>
      <c r="B9" s="26">
        <f>IFERROR(MATCH(B8,Base!A:A,0),0)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19EFC-38CB-4460-AAEE-7F404EB8D3FD}">
  <sheetPr codeName="rptVentas">
    <pageSetUpPr fitToPage="1"/>
  </sheetPr>
  <dimension ref="A2:I23"/>
  <sheetViews>
    <sheetView showGridLines="0" zoomScale="90" zoomScaleNormal="90" workbookViewId="0">
      <selection activeCell="C22" sqref="C22"/>
    </sheetView>
  </sheetViews>
  <sheetFormatPr baseColWidth="10" defaultRowHeight="15" x14ac:dyDescent="0.25"/>
  <cols>
    <col min="1" max="1" width="28.75" style="1" customWidth="1"/>
    <col min="2" max="2" width="13.875" style="1" customWidth="1"/>
    <col min="3" max="3" width="25.125" style="1" customWidth="1"/>
    <col min="4" max="4" width="30.75" style="1" customWidth="1"/>
    <col min="5" max="5" width="14.5" style="1" customWidth="1"/>
    <col min="6" max="6" width="17" style="1" customWidth="1"/>
    <col min="7" max="7" width="18.75" style="1" bestFit="1" customWidth="1"/>
    <col min="8" max="8" width="16.875" style="1" customWidth="1"/>
    <col min="9" max="9" width="15.375" style="1" bestFit="1" customWidth="1"/>
    <col min="10" max="16384" width="11" style="1"/>
  </cols>
  <sheetData>
    <row r="2" spans="1:9" ht="23.25" x14ac:dyDescent="0.35">
      <c r="A2" s="5" t="s">
        <v>76</v>
      </c>
    </row>
    <row r="4" spans="1:9" x14ac:dyDescent="0.25">
      <c r="A4" s="40" t="s">
        <v>81</v>
      </c>
      <c r="B4" s="37">
        <v>2021</v>
      </c>
    </row>
    <row r="5" spans="1:9" x14ac:dyDescent="0.25">
      <c r="A5" s="40" t="s">
        <v>80</v>
      </c>
      <c r="B5" s="37" t="s">
        <v>75</v>
      </c>
    </row>
    <row r="6" spans="1:9" ht="5.25" customHeight="1" x14ac:dyDescent="0.3">
      <c r="A6"/>
      <c r="B6"/>
      <c r="C6"/>
      <c r="D6"/>
      <c r="E6"/>
      <c r="F6"/>
    </row>
    <row r="7" spans="1:9" x14ac:dyDescent="0.25">
      <c r="A7" s="33" t="s">
        <v>2</v>
      </c>
      <c r="B7" s="39" t="s">
        <v>11</v>
      </c>
      <c r="C7" s="39" t="s">
        <v>1</v>
      </c>
      <c r="D7" s="33" t="s">
        <v>5</v>
      </c>
      <c r="E7" s="37" t="s">
        <v>70</v>
      </c>
      <c r="F7" s="37" t="s">
        <v>71</v>
      </c>
      <c r="G7" s="37" t="s">
        <v>72</v>
      </c>
      <c r="H7" s="37" t="s">
        <v>73</v>
      </c>
      <c r="I7" s="37" t="s">
        <v>74</v>
      </c>
    </row>
    <row r="8" spans="1:9" x14ac:dyDescent="0.25">
      <c r="A8" s="35" t="s">
        <v>58</v>
      </c>
      <c r="B8" s="38">
        <v>44360</v>
      </c>
      <c r="C8" s="35" t="s">
        <v>24</v>
      </c>
      <c r="D8" s="35" t="s">
        <v>59</v>
      </c>
      <c r="E8" s="36">
        <v>525</v>
      </c>
      <c r="F8" s="36">
        <v>75</v>
      </c>
      <c r="G8" s="36">
        <v>450</v>
      </c>
      <c r="H8" s="36">
        <v>525</v>
      </c>
      <c r="I8" s="36">
        <v>0</v>
      </c>
    </row>
    <row r="9" spans="1:9" x14ac:dyDescent="0.25">
      <c r="A9" s="35" t="s">
        <v>58</v>
      </c>
      <c r="B9" s="38">
        <v>44360</v>
      </c>
      <c r="C9" s="35" t="s">
        <v>20</v>
      </c>
      <c r="D9" s="35" t="s">
        <v>67</v>
      </c>
      <c r="E9" s="36">
        <v>850</v>
      </c>
      <c r="F9" s="36">
        <v>50</v>
      </c>
      <c r="G9" s="36">
        <v>0</v>
      </c>
      <c r="H9" s="36">
        <v>50</v>
      </c>
      <c r="I9" s="36">
        <v>800</v>
      </c>
    </row>
    <row r="10" spans="1:9" x14ac:dyDescent="0.25">
      <c r="A10" s="35" t="s">
        <v>77</v>
      </c>
      <c r="B10" s="35"/>
      <c r="C10" s="35"/>
      <c r="D10" s="35"/>
      <c r="E10" s="36">
        <v>1375</v>
      </c>
      <c r="F10" s="36">
        <v>125</v>
      </c>
      <c r="G10" s="36">
        <v>450</v>
      </c>
      <c r="H10" s="36">
        <v>575</v>
      </c>
      <c r="I10" s="36">
        <v>800</v>
      </c>
    </row>
    <row r="11" spans="1:9" x14ac:dyDescent="0.25">
      <c r="A11" s="35" t="s">
        <v>53</v>
      </c>
      <c r="B11" s="38">
        <v>44360</v>
      </c>
      <c r="C11" s="35" t="s">
        <v>20</v>
      </c>
      <c r="D11" s="35" t="s">
        <v>68</v>
      </c>
      <c r="E11" s="36">
        <v>500</v>
      </c>
      <c r="F11" s="36">
        <v>200</v>
      </c>
      <c r="G11" s="36">
        <v>0</v>
      </c>
      <c r="H11" s="36">
        <v>200</v>
      </c>
      <c r="I11" s="36">
        <v>300</v>
      </c>
    </row>
    <row r="12" spans="1:9" x14ac:dyDescent="0.25">
      <c r="A12" s="35" t="s">
        <v>53</v>
      </c>
      <c r="B12" s="38">
        <v>44360</v>
      </c>
      <c r="C12" s="35" t="s">
        <v>20</v>
      </c>
      <c r="D12" s="35" t="s">
        <v>54</v>
      </c>
      <c r="E12" s="36">
        <v>525.23</v>
      </c>
      <c r="F12" s="36">
        <v>50</v>
      </c>
      <c r="G12" s="36">
        <v>0</v>
      </c>
      <c r="H12" s="36">
        <v>50</v>
      </c>
      <c r="I12" s="36">
        <v>475.23</v>
      </c>
    </row>
    <row r="13" spans="1:9" x14ac:dyDescent="0.25">
      <c r="A13" s="35" t="s">
        <v>78</v>
      </c>
      <c r="B13" s="35"/>
      <c r="C13" s="35"/>
      <c r="D13" s="35"/>
      <c r="E13" s="36">
        <v>1025.23</v>
      </c>
      <c r="F13" s="36">
        <v>250</v>
      </c>
      <c r="G13" s="36">
        <v>0</v>
      </c>
      <c r="H13" s="36">
        <v>250</v>
      </c>
      <c r="I13" s="36">
        <v>775.23</v>
      </c>
    </row>
    <row r="14" spans="1:9" x14ac:dyDescent="0.25">
      <c r="A14" s="35" t="s">
        <v>47</v>
      </c>
      <c r="B14" s="38">
        <v>44360</v>
      </c>
      <c r="C14" s="35" t="s">
        <v>20</v>
      </c>
      <c r="D14" s="35" t="s">
        <v>48</v>
      </c>
      <c r="E14" s="36">
        <v>450</v>
      </c>
      <c r="F14" s="36">
        <v>50</v>
      </c>
      <c r="G14" s="36">
        <v>0</v>
      </c>
      <c r="H14" s="36">
        <v>50</v>
      </c>
      <c r="I14" s="36">
        <v>400</v>
      </c>
    </row>
    <row r="15" spans="1:9" x14ac:dyDescent="0.25">
      <c r="A15" s="35" t="s">
        <v>47</v>
      </c>
      <c r="B15" s="38">
        <v>44317</v>
      </c>
      <c r="C15" s="35" t="s">
        <v>32</v>
      </c>
      <c r="D15" s="35" t="s">
        <v>87</v>
      </c>
      <c r="E15" s="36">
        <v>600</v>
      </c>
      <c r="F15" s="36">
        <v>75</v>
      </c>
      <c r="G15" s="36">
        <v>0</v>
      </c>
      <c r="H15" s="36">
        <v>75</v>
      </c>
      <c r="I15" s="36">
        <v>525</v>
      </c>
    </row>
    <row r="16" spans="1:9" x14ac:dyDescent="0.25">
      <c r="A16" s="35" t="s">
        <v>79</v>
      </c>
      <c r="B16" s="35"/>
      <c r="C16" s="35"/>
      <c r="D16" s="35"/>
      <c r="E16" s="36">
        <v>1050</v>
      </c>
      <c r="F16" s="36">
        <v>125</v>
      </c>
      <c r="G16" s="36">
        <v>0</v>
      </c>
      <c r="H16" s="36">
        <v>125</v>
      </c>
      <c r="I16" s="36">
        <v>925</v>
      </c>
    </row>
    <row r="17" spans="1:9" x14ac:dyDescent="0.25">
      <c r="A17" s="35" t="s">
        <v>56</v>
      </c>
      <c r="B17" s="35"/>
      <c r="C17" s="35"/>
      <c r="D17" s="35"/>
      <c r="E17" s="36">
        <v>3450.23</v>
      </c>
      <c r="F17" s="36">
        <v>500</v>
      </c>
      <c r="G17" s="36">
        <v>450</v>
      </c>
      <c r="H17" s="36">
        <v>950</v>
      </c>
      <c r="I17" s="36">
        <v>2500.23</v>
      </c>
    </row>
    <row r="18" spans="1:9" ht="16.5" x14ac:dyDescent="0.3">
      <c r="A18"/>
      <c r="B18"/>
      <c r="C18"/>
      <c r="D18"/>
      <c r="E18"/>
      <c r="F18"/>
      <c r="G18"/>
      <c r="H18"/>
      <c r="I18"/>
    </row>
    <row r="19" spans="1:9" ht="16.5" x14ac:dyDescent="0.3">
      <c r="A19"/>
      <c r="B19"/>
      <c r="C19"/>
      <c r="D19"/>
      <c r="E19"/>
      <c r="F19"/>
      <c r="G19"/>
      <c r="H19"/>
      <c r="I19"/>
    </row>
    <row r="20" spans="1:9" ht="16.5" x14ac:dyDescent="0.3">
      <c r="A20"/>
      <c r="B20"/>
      <c r="C20"/>
      <c r="D20"/>
      <c r="E20"/>
      <c r="F20"/>
      <c r="G20"/>
      <c r="H20"/>
      <c r="I20"/>
    </row>
    <row r="21" spans="1:9" ht="16.5" x14ac:dyDescent="0.3">
      <c r="A21"/>
      <c r="B21"/>
      <c r="C21"/>
    </row>
    <row r="22" spans="1:9" ht="16.5" x14ac:dyDescent="0.3">
      <c r="A22"/>
      <c r="B22"/>
      <c r="C22"/>
    </row>
    <row r="23" spans="1:9" ht="16.5" x14ac:dyDescent="0.3">
      <c r="A23"/>
      <c r="B23"/>
      <c r="C23"/>
    </row>
  </sheetData>
  <pageMargins left="0.23622047244094491" right="0.27559055118110237" top="0.47244094488188981" bottom="0.39370078740157483" header="0.31496062992125984" footer="0.31496062992125984"/>
  <pageSetup scale="68" fitToHeight="50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C0C91-EE7A-486E-A2BD-4754DB182123}">
  <sheetPr codeName="rptServicios">
    <pageSetUpPr fitToPage="1"/>
  </sheetPr>
  <dimension ref="A2:I23"/>
  <sheetViews>
    <sheetView showGridLines="0" zoomScale="90" zoomScaleNormal="90" workbookViewId="0">
      <selection activeCell="B5" sqref="B5"/>
    </sheetView>
  </sheetViews>
  <sheetFormatPr baseColWidth="10" defaultRowHeight="15" x14ac:dyDescent="0.25"/>
  <cols>
    <col min="1" max="1" width="26.25" style="1" customWidth="1"/>
    <col min="2" max="2" width="11.875" style="1" customWidth="1"/>
    <col min="3" max="3" width="16.125" style="1" bestFit="1" customWidth="1"/>
    <col min="4" max="4" width="14.25" style="1" customWidth="1"/>
    <col min="5" max="5" width="26.5" style="1" customWidth="1"/>
    <col min="6" max="6" width="33.625" style="1" customWidth="1"/>
    <col min="7" max="7" width="15.125" style="1" customWidth="1"/>
    <col min="8" max="8" width="31.375" style="1" customWidth="1"/>
    <col min="9" max="9" width="15.375" style="1" bestFit="1" customWidth="1"/>
    <col min="10" max="16384" width="11" style="1"/>
  </cols>
  <sheetData>
    <row r="2" spans="1:9" ht="23.25" x14ac:dyDescent="0.35">
      <c r="A2" s="5" t="s">
        <v>76</v>
      </c>
    </row>
    <row r="4" spans="1:9" x14ac:dyDescent="0.25">
      <c r="A4" s="40" t="s">
        <v>81</v>
      </c>
      <c r="B4" s="37">
        <v>2021</v>
      </c>
    </row>
    <row r="5" spans="1:9" x14ac:dyDescent="0.25">
      <c r="A5" s="40" t="s">
        <v>80</v>
      </c>
      <c r="B5" s="37" t="s">
        <v>75</v>
      </c>
    </row>
    <row r="6" spans="1:9" ht="5.25" customHeight="1" x14ac:dyDescent="0.3">
      <c r="A6"/>
      <c r="B6"/>
      <c r="C6"/>
      <c r="D6"/>
      <c r="E6"/>
      <c r="F6"/>
    </row>
    <row r="7" spans="1:9" s="27" customFormat="1" x14ac:dyDescent="0.25">
      <c r="A7" s="41" t="s">
        <v>2</v>
      </c>
      <c r="B7" s="42" t="s">
        <v>0</v>
      </c>
      <c r="C7" s="42" t="s">
        <v>11</v>
      </c>
      <c r="D7" s="42" t="s">
        <v>10</v>
      </c>
      <c r="E7" s="42" t="s">
        <v>1</v>
      </c>
      <c r="F7" s="41" t="s">
        <v>5</v>
      </c>
      <c r="G7" s="42" t="s">
        <v>8</v>
      </c>
      <c r="H7" s="42" t="s">
        <v>63</v>
      </c>
      <c r="I7" s="28"/>
    </row>
    <row r="8" spans="1:9" ht="16.5" x14ac:dyDescent="0.3">
      <c r="A8" s="35" t="s">
        <v>58</v>
      </c>
      <c r="B8" s="37">
        <v>4</v>
      </c>
      <c r="C8" s="38">
        <v>44360</v>
      </c>
      <c r="D8" s="38">
        <v>44375</v>
      </c>
      <c r="E8" s="35" t="s">
        <v>24</v>
      </c>
      <c r="F8" s="35" t="s">
        <v>59</v>
      </c>
      <c r="G8" s="37" t="s">
        <v>64</v>
      </c>
      <c r="H8" s="35"/>
      <c r="I8"/>
    </row>
    <row r="9" spans="1:9" ht="16.5" x14ac:dyDescent="0.3">
      <c r="A9" s="35" t="s">
        <v>58</v>
      </c>
      <c r="B9" s="37">
        <v>5</v>
      </c>
      <c r="C9" s="38">
        <v>44360</v>
      </c>
      <c r="D9" s="38">
        <v>44362</v>
      </c>
      <c r="E9" s="35" t="s">
        <v>20</v>
      </c>
      <c r="F9" s="35" t="s">
        <v>67</v>
      </c>
      <c r="G9" s="37" t="s">
        <v>50</v>
      </c>
      <c r="H9" s="35" t="s">
        <v>82</v>
      </c>
      <c r="I9"/>
    </row>
    <row r="10" spans="1:9" ht="16.5" x14ac:dyDescent="0.3">
      <c r="A10" s="35" t="s">
        <v>53</v>
      </c>
      <c r="B10" s="37">
        <v>3</v>
      </c>
      <c r="C10" s="38">
        <v>44360</v>
      </c>
      <c r="D10" s="38">
        <v>44372</v>
      </c>
      <c r="E10" s="35" t="s">
        <v>20</v>
      </c>
      <c r="F10" s="35" t="s">
        <v>54</v>
      </c>
      <c r="G10" s="37" t="s">
        <v>50</v>
      </c>
      <c r="H10" s="35" t="s">
        <v>83</v>
      </c>
      <c r="I10"/>
    </row>
    <row r="11" spans="1:9" ht="16.5" x14ac:dyDescent="0.3">
      <c r="A11" s="35" t="s">
        <v>53</v>
      </c>
      <c r="B11" s="37">
        <v>6</v>
      </c>
      <c r="C11" s="38">
        <v>44360</v>
      </c>
      <c r="D11" s="38">
        <v>44375</v>
      </c>
      <c r="E11" s="35" t="s">
        <v>20</v>
      </c>
      <c r="F11" s="35" t="s">
        <v>68</v>
      </c>
      <c r="G11" s="37" t="s">
        <v>50</v>
      </c>
      <c r="H11" s="35" t="s">
        <v>84</v>
      </c>
      <c r="I11"/>
    </row>
    <row r="12" spans="1:9" ht="16.5" x14ac:dyDescent="0.3">
      <c r="A12" s="35" t="s">
        <v>47</v>
      </c>
      <c r="B12" s="37">
        <v>2</v>
      </c>
      <c r="C12" s="38">
        <v>44360</v>
      </c>
      <c r="D12" s="38">
        <v>44377</v>
      </c>
      <c r="E12" s="35" t="s">
        <v>20</v>
      </c>
      <c r="F12" s="35" t="s">
        <v>48</v>
      </c>
      <c r="G12" s="37" t="s">
        <v>50</v>
      </c>
      <c r="H12" s="35" t="s">
        <v>85</v>
      </c>
      <c r="I12"/>
    </row>
    <row r="13" spans="1:9" ht="16.5" x14ac:dyDescent="0.3">
      <c r="A13" s="35" t="s">
        <v>47</v>
      </c>
      <c r="B13" s="37">
        <v>7</v>
      </c>
      <c r="C13" s="38">
        <v>44317</v>
      </c>
      <c r="D13" s="38">
        <v>44341</v>
      </c>
      <c r="E13" s="35" t="s">
        <v>32</v>
      </c>
      <c r="F13" s="35" t="s">
        <v>87</v>
      </c>
      <c r="G13" s="37" t="s">
        <v>50</v>
      </c>
      <c r="H13" s="35" t="s">
        <v>90</v>
      </c>
      <c r="I13"/>
    </row>
    <row r="14" spans="1:9" ht="16.5" x14ac:dyDescent="0.3">
      <c r="A14"/>
      <c r="B14"/>
      <c r="C14"/>
      <c r="D14"/>
      <c r="E14"/>
      <c r="F14"/>
      <c r="G14"/>
      <c r="H14"/>
      <c r="I14"/>
    </row>
    <row r="15" spans="1:9" ht="16.5" x14ac:dyDescent="0.3">
      <c r="A15"/>
      <c r="B15"/>
      <c r="C15"/>
      <c r="D15"/>
      <c r="E15"/>
      <c r="F15"/>
      <c r="G15"/>
      <c r="H15"/>
      <c r="I15"/>
    </row>
    <row r="16" spans="1:9" ht="16.5" x14ac:dyDescent="0.3">
      <c r="A16"/>
      <c r="B16"/>
      <c r="C16"/>
      <c r="D16"/>
      <c r="E16"/>
      <c r="F16"/>
      <c r="G16"/>
      <c r="H16"/>
      <c r="I16"/>
    </row>
    <row r="17" spans="1:9" ht="16.5" x14ac:dyDescent="0.3">
      <c r="A17"/>
      <c r="B17"/>
      <c r="C17"/>
      <c r="D17"/>
      <c r="E17"/>
      <c r="F17"/>
      <c r="G17"/>
      <c r="H17"/>
      <c r="I17"/>
    </row>
    <row r="18" spans="1:9" ht="16.5" x14ac:dyDescent="0.3">
      <c r="A18"/>
      <c r="B18"/>
      <c r="C18"/>
      <c r="D18"/>
      <c r="E18"/>
      <c r="F18"/>
      <c r="G18"/>
      <c r="H18"/>
      <c r="I18"/>
    </row>
    <row r="19" spans="1:9" ht="16.5" x14ac:dyDescent="0.3">
      <c r="A19"/>
      <c r="B19"/>
      <c r="C19"/>
      <c r="D19"/>
      <c r="E19"/>
      <c r="F19"/>
      <c r="G19"/>
      <c r="H19"/>
      <c r="I19"/>
    </row>
    <row r="20" spans="1:9" ht="16.5" x14ac:dyDescent="0.3">
      <c r="A20"/>
      <c r="B20"/>
      <c r="C20"/>
      <c r="D20"/>
      <c r="E20"/>
      <c r="F20"/>
      <c r="G20"/>
      <c r="H20"/>
      <c r="I20"/>
    </row>
    <row r="21" spans="1:9" ht="16.5" x14ac:dyDescent="0.3">
      <c r="A21"/>
      <c r="B21"/>
      <c r="C21"/>
      <c r="D21"/>
      <c r="E21"/>
      <c r="F21"/>
    </row>
    <row r="22" spans="1:9" ht="16.5" x14ac:dyDescent="0.3">
      <c r="A22"/>
      <c r="B22"/>
      <c r="C22"/>
      <c r="D22"/>
      <c r="E22"/>
      <c r="F22"/>
    </row>
    <row r="23" spans="1:9" ht="16.5" x14ac:dyDescent="0.3">
      <c r="A23"/>
      <c r="B23"/>
      <c r="C23"/>
      <c r="D23"/>
      <c r="E23"/>
      <c r="F23"/>
    </row>
  </sheetData>
  <pageMargins left="0.23622047244094491" right="0.27559055118110237" top="0.47244094488188981" bottom="0.39370078740157483" header="0.31496062992125984" footer="0.31496062992125984"/>
  <pageSetup scale="70" fitToHeight="50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Inicio</vt:lpstr>
      <vt:lpstr>Clientes</vt:lpstr>
      <vt:lpstr>Base</vt:lpstr>
      <vt:lpstr>rptVentas</vt:lpstr>
      <vt:lpstr>rptServicios</vt:lpstr>
      <vt:lpstr>rptServicios!Títulos_a_imprimir</vt:lpstr>
      <vt:lpstr>rptVentas!Títulos_a_imprimir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2021-06-13T22:55:31Z</cp:lastPrinted>
  <dcterms:created xsi:type="dcterms:W3CDTF">2021-06-13T04:35:57Z</dcterms:created>
  <dcterms:modified xsi:type="dcterms:W3CDTF">2021-06-14T04:40:31Z</dcterms:modified>
</cp:coreProperties>
</file>