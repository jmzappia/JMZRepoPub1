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workbookPr/>
  <mc:AlternateContent xmlns:mc="http://schemas.openxmlformats.org/markup-compatibility/2006">
    <mc:Choice Requires="x15">
      <x15ac:absPath xmlns:x15ac="http://schemas.microsoft.com/office/spreadsheetml/2010/11/ac" url="C:\Users\admin\Desktop\"/>
    </mc:Choice>
  </mc:AlternateContent>
  <bookViews>
    <workbookView xWindow="0" yWindow="0" windowWidth="20490" windowHeight="6930" xr2:uid="{00000000-000D-0000-FFFF-FFFF00000000}"/>
  </bookViews>
  <sheets>
    <sheet name="Asistencia del estudiante" sheetId="1" r:id="rId1"/>
  </sheets>
  <definedNames>
    <definedName name="ColumnTitleRegion1..AK3.1">'Asistencia del estudiante'!$B$2:$J$2</definedName>
    <definedName name="ColumnTitleRegion10..AG23.1">'Asistencia del estudiante'!$C$22</definedName>
    <definedName name="ColumnTitleRegion11..AG25.1">'Asistencia del estudiante'!$C$24</definedName>
    <definedName name="ColumnTitleRegion12..AG27.1">'Asistencia del estudiante'!$C$26</definedName>
    <definedName name="ColumnTitleRegion13..AG29.1">'Asistencia del estudiante'!$C$28</definedName>
    <definedName name="ColumnTitleRegion14..AG31.1">'Asistencia del estudiante'!$C$30</definedName>
    <definedName name="ColumnTitleRegion15..AG33.1">'Asistencia del estudiante'!$C$32</definedName>
    <definedName name="ColumnTitleRegion16..AG35.1">'Asistencia del estudiante'!$C$34</definedName>
    <definedName name="ColumnTitleRegion2..AK5.1">'Asistencia del estudiante'!$B$4:$J$4</definedName>
    <definedName name="ColumnTitleRegion3..AK7.1">'Asistencia del estudiante'!$B$6:$J$6</definedName>
    <definedName name="ColumnTitleRegion4..AK9.1">'Asistencia del estudiante'!$B$8:$J$8</definedName>
    <definedName name="ColumnTitleRegion5..AG13.1">'Asistencia del estudiante'!$C$12</definedName>
    <definedName name="ColumnTitleRegion6..AG15.1">'Asistencia del estudiante'!$C$14</definedName>
    <definedName name="ColumnTitleRegion7..AG17.1">'Asistencia del estudiante'!$C$16</definedName>
    <definedName name="ColumnTitleRegion8..AG19.1">'Asistencia del estudiante'!$C$18</definedName>
    <definedName name="ColumnTitleRegion9..AG21.1">'Asistencia del estudiante'!$C$20</definedName>
    <definedName name="RowTitleRegion1..AK36">'Asistencia del estudiante'!$AE$36:$AG$36</definedName>
    <definedName name="TitleRegion1..AG13.1">'Asistencia del estudiante'!$B$12</definedName>
    <definedName name="TitleRegion10..AG31.1">'Asistencia del estudiante'!$B$30</definedName>
    <definedName name="TitleRegion11..AG33.1">'Asistencia del estudiante'!$B$32</definedName>
    <definedName name="TitleRegion12..AG35.1">'Asistencia del estudiante'!$B$34</definedName>
    <definedName name="TitleRegion13..AK34.1">'Asistencia del estudiante'!$AH$11</definedName>
    <definedName name="TitleRegion2..AG15.1">'Asistencia del estudiante'!$B$14</definedName>
    <definedName name="TitleRegion3..AG17.1">'Asistencia del estudiante'!$B$16</definedName>
    <definedName name="TitleRegion4..AG19.1">'Asistencia del estudiante'!$B$18</definedName>
    <definedName name="TitleRegion5..AG21.1">'Asistencia del estudiante'!$B$20</definedName>
    <definedName name="TitleRegion6..AG23.1">'Asistencia del estudiante'!$B$22</definedName>
    <definedName name="TitleRegion7..AG25.1">'Asistencia del estudiante'!$B$24</definedName>
    <definedName name="TitleRegion8..AG27.1">'Asistencia del estudiante'!$B$26</definedName>
    <definedName name="TitleRegion9..AG29.1">'Asistencia del estudiante'!$B$28</definedName>
  </definedNames>
  <calcPr calcId="179017"/>
  <webPublishing codePage="1252"/>
</workbook>
</file>

<file path=xl/calcChain.xml><?xml version="1.0" encoding="utf-8"?>
<calcChain xmlns="http://schemas.openxmlformats.org/spreadsheetml/2006/main">
  <c r="AK34" i="1" l="1"/>
  <c r="AJ34" i="1"/>
  <c r="AI34" i="1"/>
  <c r="AH34" i="1"/>
  <c r="AH12" i="1" l="1"/>
  <c r="AH14" i="1" l="1"/>
  <c r="AH16" i="1"/>
  <c r="AH18" i="1"/>
  <c r="AH20" i="1"/>
  <c r="AH22" i="1"/>
  <c r="AH24" i="1"/>
  <c r="AH26" i="1"/>
  <c r="AH28" i="1"/>
  <c r="AH30" i="1"/>
  <c r="AH32" i="1"/>
  <c r="AK24" i="1"/>
  <c r="AJ24" i="1"/>
  <c r="AI24" i="1"/>
  <c r="AK22" i="1"/>
  <c r="AJ22" i="1"/>
  <c r="AI22" i="1"/>
  <c r="AK18" i="1"/>
  <c r="AJ18" i="1"/>
  <c r="AI18" i="1"/>
  <c r="AK12" i="1"/>
  <c r="AJ12" i="1"/>
  <c r="AI12" i="1"/>
  <c r="AI32" i="1"/>
  <c r="AJ32" i="1"/>
  <c r="AK32" i="1"/>
  <c r="AI30" i="1"/>
  <c r="AJ30" i="1"/>
  <c r="AK30" i="1"/>
  <c r="AK28" i="1"/>
  <c r="AJ28" i="1"/>
  <c r="AI28" i="1"/>
  <c r="AK26" i="1"/>
  <c r="AJ26" i="1"/>
  <c r="AI26" i="1"/>
  <c r="AI20" i="1"/>
  <c r="AJ20" i="1"/>
  <c r="AK20" i="1"/>
  <c r="AK16" i="1"/>
  <c r="AJ16" i="1"/>
  <c r="AI16" i="1"/>
  <c r="AK14" i="1"/>
  <c r="AJ14" i="1"/>
  <c r="AI14" i="1"/>
  <c r="AK36" i="1" l="1"/>
  <c r="AJ36" i="1"/>
  <c r="AI36" i="1"/>
  <c r="AH36" i="1"/>
</calcChain>
</file>

<file path=xl/sharedStrings.xml><?xml version="1.0" encoding="utf-8"?>
<sst xmlns="http://schemas.openxmlformats.org/spreadsheetml/2006/main" count="41" uniqueCount="35">
  <si>
    <t>Registro de asistencia del estudiante</t>
  </si>
  <si>
    <t>Nombre del estudiante</t>
  </si>
  <si>
    <t>Nombre de padre, madre o tutor 1</t>
  </si>
  <si>
    <t>Nombre de padre, madre o tutor 2</t>
  </si>
  <si>
    <t>Contacto de emergencia</t>
  </si>
  <si>
    <t>AGOSTO</t>
  </si>
  <si>
    <t>SEPTIEMBRE</t>
  </si>
  <si>
    <t>OCTUBRE</t>
  </si>
  <si>
    <t>NOVIEMBRE</t>
  </si>
  <si>
    <t>DICIEMBRE</t>
  </si>
  <si>
    <t>ENERO</t>
  </si>
  <si>
    <t>FEBRERO</t>
  </si>
  <si>
    <t>MARZO</t>
  </si>
  <si>
    <t>ABRIL</t>
  </si>
  <si>
    <t>MAYO</t>
  </si>
  <si>
    <t>JUNIO</t>
  </si>
  <si>
    <t>JULIO</t>
  </si>
  <si>
    <t>N.º de Id. de estudiante</t>
  </si>
  <si>
    <t>Relación</t>
  </si>
  <si>
    <t>Año</t>
  </si>
  <si>
    <t>Género</t>
  </si>
  <si>
    <t>Fecha de nacimiento</t>
  </si>
  <si>
    <t>Escuela</t>
  </si>
  <si>
    <t>Número de teléfono del trabajo</t>
  </si>
  <si>
    <t>Curso</t>
  </si>
  <si>
    <t>Número de teléfono particular</t>
  </si>
  <si>
    <t xml:space="preserve">Total </t>
  </si>
  <si>
    <t>Profesor</t>
  </si>
  <si>
    <t>Totales de asistencia</t>
  </si>
  <si>
    <t>Tarde</t>
  </si>
  <si>
    <t>No justificado</t>
  </si>
  <si>
    <t>Justificado</t>
  </si>
  <si>
    <t>Aula</t>
  </si>
  <si>
    <t>Presente</t>
  </si>
  <si>
    <t>T = tarde; U = no justificado; E = justificado; P = presente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</si>
</sst>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quot;₹&quot;\ * #,##0_ ;_ &quot;₹&quot;\ * \-#,##0_ ;_ &quot;₹&quot;\ * &quot;-&quot;_ ;_ @_ "/>
    <numFmt numFmtId="165" formatCode="_ * #,##0_ ;_ * \-#,##0_ ;_ * &quot;-&quot;_ ;_ @_ "/>
    <numFmt numFmtId="166" formatCode="_ &quot;₹&quot;\ * #,##0.00_ ;_ &quot;₹&quot;\ * \-#,##0.00_ ;_ &quot;₹&quot;\ * &quot;-&quot;??_ ;_ @_ "/>
    <numFmt numFmtId="167" formatCode="_ * #,##0.00_ ;_ * \-#,##0.00_ ;_ * &quot;-&quot;??_ ;_ @_ "/>
    <numFmt numFmtId="168" formatCode="[&lt;=9999999]###\-####;\(###\)\ ###\-####"/>
    <numFmt numFmtId="170" formatCode="dd\-mm\-yy;@"/>
  </numFmts>
  <fonts count="26" x14ac:knownFonts="1">
    <font>
      <sz val="11"/>
      <name val="Corbel"/>
      <family val="2"/>
      <scheme val="minor"/>
    </font>
    <font>
      <sz val="11"/>
      <color theme="1"/>
      <name val="Corbel"/>
      <family val="2"/>
      <scheme val="minor"/>
    </font>
    <font>
      <sz val="8"/>
      <name val="Arial"/>
      <family val="2"/>
    </font>
    <font>
      <sz val="20"/>
      <name val="Corbel"/>
      <family val="1"/>
      <scheme val="major"/>
    </font>
    <font>
      <sz val="16"/>
      <name val="Corbel"/>
      <family val="1"/>
      <scheme val="major"/>
    </font>
    <font>
      <b/>
      <sz val="13"/>
      <color theme="3"/>
      <name val="Corbel"/>
      <family val="2"/>
      <scheme val="minor"/>
    </font>
    <font>
      <b/>
      <sz val="11"/>
      <color theme="3"/>
      <name val="Corbel"/>
      <family val="2"/>
      <scheme val="minor"/>
    </font>
    <font>
      <b/>
      <sz val="11"/>
      <color theme="1"/>
      <name val="Corbel"/>
      <family val="2"/>
      <scheme val="minor"/>
    </font>
    <font>
      <sz val="11"/>
      <name val="Corbel"/>
      <family val="2"/>
      <scheme val="minor"/>
    </font>
    <font>
      <b/>
      <sz val="11"/>
      <color theme="1" tint="0.14993743705557422"/>
      <name val="Corbel"/>
      <family val="2"/>
      <scheme val="minor"/>
    </font>
    <font>
      <sz val="11"/>
      <name val="Corbel"/>
      <family val="1"/>
      <scheme val="minor"/>
    </font>
    <font>
      <b/>
      <sz val="11"/>
      <color theme="1" tint="0.14993743705557422"/>
      <name val="Corbel"/>
      <family val="1"/>
      <scheme val="minor"/>
    </font>
    <font>
      <i/>
      <sz val="11"/>
      <color theme="1" tint="0.34998626667073579"/>
      <name val="Corbel"/>
      <family val="2"/>
      <scheme val="minor"/>
    </font>
    <font>
      <b/>
      <sz val="11"/>
      <color theme="1" tint="0.14996795556505021"/>
      <name val="Corbel"/>
      <family val="2"/>
      <scheme val="minor"/>
    </font>
    <font>
      <sz val="18"/>
      <color theme="3"/>
      <name val="Corbel"/>
      <family val="2"/>
      <scheme val="major"/>
    </font>
    <font>
      <b/>
      <sz val="15"/>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sz val="11"/>
      <color theme="0"/>
      <name val="Corbel"/>
      <family val="2"/>
      <scheme val="minor"/>
    </font>
  </fonts>
  <fills count="38">
    <fill>
      <patternFill patternType="none"/>
    </fill>
    <fill>
      <patternFill patternType="gray125"/>
    </fill>
    <fill>
      <patternFill patternType="solid">
        <fgColor theme="5" tint="0.79998168889431442"/>
        <bgColor indexed="65"/>
      </patternFill>
    </fill>
    <fill>
      <patternFill patternType="solid">
        <fgColor theme="4" tint="0.79998168889431442"/>
        <bgColor indexed="65"/>
      </patternFill>
    </fill>
    <fill>
      <patternFill patternType="solid">
        <fgColor theme="0"/>
      </patternFill>
    </fill>
    <fill>
      <patternFill patternType="lightUp">
        <fgColor theme="0" tint="-0.34998626667073579"/>
        <bgColor indexed="65"/>
      </patternFill>
    </fill>
    <fill>
      <patternFill patternType="solid">
        <fgColor theme="7" tint="0.79998168889431442"/>
        <bgColor indexed="64"/>
      </patternFill>
    </fill>
    <fill>
      <patternFill patternType="solid">
        <fgColor theme="2"/>
        <bgColor indexed="64"/>
      </patternFill>
    </fill>
    <fill>
      <patternFill patternType="solid">
        <fgColor theme="2" tint="-0.24994659260841701"/>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rgb="FFB2B2B2"/>
      </left>
      <right style="thin">
        <color rgb="FFB2B2B2"/>
      </right>
      <top style="thin">
        <color rgb="FFB2B2B2"/>
      </top>
      <bottom style="thin">
        <color rgb="FFB2B2B2"/>
      </bottom>
      <diagonal/>
    </border>
    <border>
      <left/>
      <right/>
      <top/>
      <bottom style="thick">
        <color theme="4" tint="-0.24994659260841701"/>
      </bottom>
      <diagonal/>
    </border>
    <border>
      <left/>
      <right/>
      <top/>
      <bottom style="medium">
        <color theme="4" tint="-0.24994659260841701"/>
      </bottom>
      <diagonal/>
    </border>
    <border>
      <left/>
      <right/>
      <top style="thin">
        <color theme="4" tint="-0.24994659260841701"/>
      </top>
      <bottom style="double">
        <color theme="4"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0" tint="-0.34998626667073579"/>
      </right>
      <top style="thin">
        <color theme="1" tint="0.34998626667073579"/>
      </top>
      <bottom style="thin">
        <color theme="1" tint="0.34998626667073579"/>
      </bottom>
      <diagonal/>
    </border>
    <border>
      <left style="thin">
        <color theme="0" tint="-0.34998626667073579"/>
      </left>
      <right style="thin">
        <color theme="0" tint="-0.34998626667073579"/>
      </right>
      <top style="thin">
        <color theme="1" tint="0.34998626667073579"/>
      </top>
      <bottom style="thin">
        <color theme="1" tint="0.34998626667073579"/>
      </bottom>
      <diagonal/>
    </border>
    <border>
      <left style="thin">
        <color theme="0"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0" tint="-0.34998626667073579"/>
      </right>
      <top style="thin">
        <color theme="1" tint="0.34998626667073579"/>
      </top>
      <bottom style="thin">
        <color theme="0" tint="-0.34998626667073579"/>
      </bottom>
      <diagonal/>
    </border>
    <border>
      <left style="thin">
        <color theme="0" tint="-0.34998626667073579"/>
      </left>
      <right style="thin">
        <color theme="0" tint="-0.34998626667073579"/>
      </right>
      <top style="thin">
        <color theme="1" tint="0.34998626667073579"/>
      </top>
      <bottom style="thin">
        <color theme="0" tint="-0.34998626667073579"/>
      </bottom>
      <diagonal/>
    </border>
    <border>
      <left style="thin">
        <color theme="0" tint="-0.34998626667073579"/>
      </left>
      <right style="thin">
        <color theme="1" tint="0.34998626667073579"/>
      </right>
      <top style="thin">
        <color theme="1" tint="0.34998626667073579"/>
      </top>
      <bottom style="thin">
        <color theme="0" tint="-0.34998626667073579"/>
      </bottom>
      <diagonal/>
    </border>
    <border>
      <left style="thin">
        <color theme="1" tint="0.34998626667073579"/>
      </left>
      <right style="thin">
        <color theme="0" tint="-0.34998626667073579"/>
      </right>
      <top style="thin">
        <color theme="0" tint="-0.34998626667073579"/>
      </top>
      <bottom style="thin">
        <color theme="1" tint="0.34998626667073579"/>
      </bottom>
      <diagonal/>
    </border>
    <border>
      <left style="thin">
        <color theme="0" tint="-0.34998626667073579"/>
      </left>
      <right style="thin">
        <color theme="0" tint="-0.34998626667073579"/>
      </right>
      <top style="thin">
        <color theme="0" tint="-0.34998626667073579"/>
      </top>
      <bottom style="thin">
        <color theme="1" tint="0.34998626667073579"/>
      </bottom>
      <diagonal/>
    </border>
    <border>
      <left style="thin">
        <color theme="0" tint="-0.34998626667073579"/>
      </left>
      <right style="thin">
        <color theme="1" tint="0.34998626667073579"/>
      </right>
      <top style="thin">
        <color theme="0"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bottom style="thin">
        <color theme="1" tint="0.34998626667073579"/>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55">
    <xf numFmtId="0" fontId="0" fillId="0" borderId="0"/>
    <xf numFmtId="0" fontId="8" fillId="5" borderId="1">
      <alignment horizontal="center" vertical="center"/>
    </xf>
    <xf numFmtId="0" fontId="8" fillId="4" borderId="1">
      <alignment horizontal="center" vertical="center"/>
      <protection locked="0"/>
    </xf>
    <xf numFmtId="0" fontId="9" fillId="2" borderId="2" applyBorder="0">
      <alignment horizontal="center" vertical="center"/>
    </xf>
    <xf numFmtId="0" fontId="11" fillId="3" borderId="1">
      <alignment vertical="center"/>
    </xf>
    <xf numFmtId="168" fontId="10" fillId="0" borderId="1">
      <alignment horizontal="left" vertical="center" wrapText="1"/>
      <protection locked="0"/>
    </xf>
    <xf numFmtId="0" fontId="10" fillId="0" borderId="1">
      <alignment horizontal="left" vertical="center" wrapText="1"/>
      <protection locked="0"/>
    </xf>
    <xf numFmtId="170" fontId="10" fillId="0" borderId="1">
      <alignment horizontal="left" vertical="center" wrapText="1"/>
      <protection locked="0"/>
    </xf>
    <xf numFmtId="1" fontId="9" fillId="2" borderId="1">
      <alignment horizontal="center" vertical="center"/>
    </xf>
    <xf numFmtId="167" fontId="8" fillId="0" borderId="0" applyFill="0" applyBorder="0" applyAlignment="0" applyProtection="0"/>
    <xf numFmtId="165" fontId="8" fillId="0" borderId="0" applyFill="0" applyBorder="0" applyAlignment="0" applyProtection="0"/>
    <xf numFmtId="166" fontId="8" fillId="0" borderId="0" applyFill="0" applyBorder="0" applyAlignment="0" applyProtection="0"/>
    <xf numFmtId="164" fontId="8" fillId="0" borderId="0" applyFill="0" applyBorder="0" applyAlignment="0" applyProtection="0"/>
    <xf numFmtId="9" fontId="8" fillId="0" borderId="0" applyFill="0" applyBorder="0" applyAlignment="0" applyProtection="0"/>
    <xf numFmtId="0" fontId="5" fillId="0" borderId="4" applyNumberFormat="0" applyFill="0" applyAlignment="0" applyProtection="0"/>
    <xf numFmtId="0" fontId="6" fillId="0" borderId="5" applyNumberFormat="0" applyFill="0" applyAlignment="0" applyProtection="0"/>
    <xf numFmtId="0" fontId="8" fillId="9" borderId="3" applyNumberFormat="0" applyAlignment="0" applyProtection="0"/>
    <xf numFmtId="0" fontId="12" fillId="0" borderId="0" applyNumberFormat="0" applyFill="0" applyBorder="0" applyAlignment="0" applyProtection="0"/>
    <xf numFmtId="0" fontId="7" fillId="0" borderId="6" applyNumberFormat="0" applyFill="0" applyAlignment="0" applyProtection="0"/>
    <xf numFmtId="0" fontId="14" fillId="0" borderId="0" applyNumberFormat="0" applyFill="0" applyBorder="0" applyAlignment="0" applyProtection="0"/>
    <xf numFmtId="0" fontId="15" fillId="0" borderId="19" applyNumberFormat="0" applyFill="0" applyAlignment="0" applyProtection="0"/>
    <xf numFmtId="0" fontId="6"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20" applyNumberFormat="0" applyAlignment="0" applyProtection="0"/>
    <xf numFmtId="0" fontId="20" fillId="14" borderId="21" applyNumberFormat="0" applyAlignment="0" applyProtection="0"/>
    <xf numFmtId="0" fontId="21" fillId="14" borderId="20" applyNumberFormat="0" applyAlignment="0" applyProtection="0"/>
    <xf numFmtId="0" fontId="22" fillId="0" borderId="22" applyNumberFormat="0" applyFill="0" applyAlignment="0" applyProtection="0"/>
    <xf numFmtId="0" fontId="23" fillId="15" borderId="23" applyNumberFormat="0" applyAlignment="0" applyProtection="0"/>
    <xf numFmtId="0" fontId="24" fillId="0" borderId="0" applyNumberFormat="0" applyFill="0" applyBorder="0" applyAlignment="0" applyProtection="0"/>
    <xf numFmtId="0" fontId="25" fillId="16" borderId="0" applyNumberFormat="0" applyBorder="0" applyAlignment="0" applyProtection="0"/>
    <xf numFmtId="0" fontId="1" fillId="3"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25" fillId="19" borderId="0" applyNumberFormat="0" applyBorder="0" applyAlignment="0" applyProtection="0"/>
    <xf numFmtId="0" fontId="1" fillId="2"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5"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5"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5"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5"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cellStyleXfs>
  <cellXfs count="42">
    <xf numFmtId="0" fontId="0" fillId="0" borderId="0" xfId="0"/>
    <xf numFmtId="0" fontId="8" fillId="0" borderId="0" xfId="0" applyFont="1" applyFill="1" applyBorder="1" applyProtection="1"/>
    <xf numFmtId="0" fontId="9" fillId="7" borderId="7" xfId="4" applyFont="1" applyFill="1" applyBorder="1">
      <alignment vertical="center"/>
    </xf>
    <xf numFmtId="0" fontId="8" fillId="0" borderId="7" xfId="6" applyFont="1" applyBorder="1">
      <alignment horizontal="left" vertical="center" wrapText="1"/>
      <protection locked="0"/>
    </xf>
    <xf numFmtId="0" fontId="13" fillId="7" borderId="17" xfId="0" applyFont="1" applyFill="1" applyBorder="1" applyAlignment="1" applyProtection="1">
      <alignment horizontal="center" vertical="center"/>
    </xf>
    <xf numFmtId="0" fontId="13" fillId="7" borderId="7" xfId="0" applyFont="1" applyFill="1" applyBorder="1" applyAlignment="1" applyProtection="1">
      <alignment horizontal="center" vertical="center"/>
    </xf>
    <xf numFmtId="1" fontId="9" fillId="6" borderId="7" xfId="8" applyFill="1" applyBorder="1">
      <alignment horizontal="center" vertical="center"/>
    </xf>
    <xf numFmtId="0" fontId="13" fillId="2" borderId="7" xfId="0" applyFont="1" applyFill="1" applyBorder="1" applyAlignment="1" applyProtection="1">
      <alignment horizontal="center" vertical="center"/>
    </xf>
    <xf numFmtId="0" fontId="8" fillId="0" borderId="7" xfId="2" applyFont="1" applyFill="1" applyBorder="1">
      <alignment horizontal="center" vertical="center"/>
      <protection locked="0"/>
    </xf>
    <xf numFmtId="0" fontId="8" fillId="0" borderId="7" xfId="1" applyFont="1" applyFill="1" applyBorder="1">
      <alignment horizontal="center" vertical="center"/>
    </xf>
    <xf numFmtId="0" fontId="8" fillId="0" borderId="7" xfId="2" applyFont="1" applyFill="1" applyBorder="1" applyProtection="1">
      <alignment horizontal="center" vertical="center"/>
    </xf>
    <xf numFmtId="0" fontId="0" fillId="0" borderId="0" xfId="0" applyFont="1" applyFill="1" applyBorder="1" applyProtection="1"/>
    <xf numFmtId="0" fontId="0" fillId="0" borderId="0" xfId="0" applyFont="1"/>
    <xf numFmtId="0" fontId="0" fillId="0" borderId="7" xfId="2" applyFont="1" applyFill="1" applyBorder="1">
      <alignment horizontal="center" vertical="center"/>
      <protection locked="0"/>
    </xf>
    <xf numFmtId="0" fontId="0" fillId="0" borderId="7" xfId="1" applyFont="1" applyFill="1" applyBorder="1">
      <alignment horizontal="center" vertical="center"/>
    </xf>
    <xf numFmtId="0" fontId="0" fillId="0" borderId="7" xfId="2" applyFont="1" applyFill="1" applyBorder="1" applyProtection="1">
      <alignment horizontal="center" vertical="center"/>
    </xf>
    <xf numFmtId="1" fontId="0" fillId="0" borderId="0" xfId="0" applyNumberFormat="1" applyFont="1" applyFill="1" applyBorder="1" applyProtection="1"/>
    <xf numFmtId="0" fontId="4" fillId="0" borderId="18" xfId="0" applyFont="1" applyFill="1" applyBorder="1" applyAlignment="1" applyProtection="1">
      <alignment horizontal="right"/>
    </xf>
    <xf numFmtId="0" fontId="8" fillId="0" borderId="7" xfId="6" applyFont="1" applyBorder="1">
      <alignment horizontal="left" vertical="center" wrapText="1"/>
      <protection locked="0"/>
    </xf>
    <xf numFmtId="0" fontId="9" fillId="6" borderId="7" xfId="3" applyFont="1" applyFill="1" applyBorder="1">
      <alignment horizontal="center" vertical="center"/>
    </xf>
    <xf numFmtId="0" fontId="9" fillId="7" borderId="7" xfId="4" applyFont="1" applyFill="1" applyBorder="1">
      <alignment vertical="center"/>
    </xf>
    <xf numFmtId="0" fontId="9" fillId="7" borderId="8" xfId="4" applyFont="1" applyFill="1" applyBorder="1">
      <alignment vertical="center"/>
    </xf>
    <xf numFmtId="0" fontId="9" fillId="7" borderId="9" xfId="4" applyFont="1" applyFill="1" applyBorder="1">
      <alignment vertical="center"/>
    </xf>
    <xf numFmtId="0" fontId="9" fillId="7" borderId="10" xfId="4" applyFont="1" applyFill="1" applyBorder="1">
      <alignment vertical="center"/>
    </xf>
    <xf numFmtId="0" fontId="8" fillId="0" borderId="8" xfId="6" applyFont="1" applyBorder="1">
      <alignment horizontal="left" vertical="center" wrapText="1"/>
      <protection locked="0"/>
    </xf>
    <xf numFmtId="0" fontId="8" fillId="0" borderId="9" xfId="6" applyFont="1" applyBorder="1">
      <alignment horizontal="left" vertical="center" wrapText="1"/>
      <protection locked="0"/>
    </xf>
    <xf numFmtId="0" fontId="8" fillId="0" borderId="10" xfId="6" applyFont="1" applyBorder="1">
      <alignment horizontal="left" vertical="center" wrapText="1"/>
      <protection locked="0"/>
    </xf>
    <xf numFmtId="0" fontId="13" fillId="8" borderId="17" xfId="0" applyFont="1" applyFill="1" applyBorder="1" applyAlignment="1" applyProtection="1">
      <alignment horizontal="center" vertical="center"/>
    </xf>
    <xf numFmtId="0" fontId="13" fillId="8" borderId="7" xfId="0" applyFont="1" applyFill="1" applyBorder="1" applyAlignment="1" applyProtection="1">
      <alignment horizontal="center" vertical="center"/>
    </xf>
    <xf numFmtId="168" fontId="8" fillId="0" borderId="7" xfId="5" applyFont="1" applyBorder="1">
      <alignment horizontal="left" vertical="center" wrapText="1"/>
      <protection locked="0"/>
    </xf>
    <xf numFmtId="170" fontId="8" fillId="0" borderId="7" xfId="7" applyNumberFormat="1" applyFont="1" applyBorder="1">
      <alignment horizontal="left" vertical="center" wrapText="1"/>
      <protection locked="0"/>
    </xf>
    <xf numFmtId="1" fontId="9" fillId="6" borderId="7" xfId="8" applyFill="1" applyBorder="1">
      <alignment horizontal="center" vertical="center"/>
    </xf>
    <xf numFmtId="1" fontId="9" fillId="6" borderId="17" xfId="8" applyFill="1" applyBorder="1">
      <alignment horizontal="center" vertical="center"/>
    </xf>
    <xf numFmtId="0" fontId="3" fillId="0" borderId="0" xfId="0" applyFont="1" applyFill="1" applyBorder="1" applyAlignment="1" applyProtection="1"/>
    <xf numFmtId="0" fontId="0" fillId="0" borderId="0" xfId="0" applyAlignment="1"/>
    <xf numFmtId="0" fontId="13" fillId="0" borderId="0" xfId="0" applyFont="1" applyFill="1" applyBorder="1" applyAlignment="1" applyProtection="1">
      <alignment horizontal="right" vertical="center"/>
    </xf>
    <xf numFmtId="0" fontId="13" fillId="7" borderId="11" xfId="0" applyFont="1" applyFill="1" applyBorder="1" applyAlignment="1" applyProtection="1">
      <alignment horizontal="center" vertical="center"/>
    </xf>
    <xf numFmtId="0" fontId="13" fillId="7" borderId="12" xfId="0" applyFont="1" applyFill="1" applyBorder="1" applyAlignment="1" applyProtection="1">
      <alignment horizontal="center" vertical="center"/>
    </xf>
    <xf numFmtId="0" fontId="13" fillId="7" borderId="13" xfId="0" applyFont="1" applyFill="1" applyBorder="1" applyAlignment="1" applyProtection="1">
      <alignment horizontal="center" vertical="center"/>
    </xf>
    <xf numFmtId="0" fontId="13" fillId="7" borderId="14" xfId="0" applyFont="1" applyFill="1" applyBorder="1" applyAlignment="1" applyProtection="1">
      <alignment horizontal="center" vertical="center"/>
    </xf>
    <xf numFmtId="0" fontId="13" fillId="7" borderId="15" xfId="0" applyFont="1" applyFill="1" applyBorder="1" applyAlignment="1" applyProtection="1">
      <alignment horizontal="center" vertical="center"/>
    </xf>
    <xf numFmtId="0" fontId="13" fillId="7" borderId="16" xfId="0" applyFont="1" applyFill="1" applyBorder="1" applyAlignment="1" applyProtection="1">
      <alignment horizontal="center" vertical="center"/>
    </xf>
  </cellXfs>
  <cellStyles count="55">
    <cellStyle name="20% - Énfasis1" xfId="32" builtinId="30" customBuiltin="1"/>
    <cellStyle name="20% - Énfasis2" xfId="36" builtinId="34" customBuiltin="1"/>
    <cellStyle name="20% - Énfasis3" xfId="40" builtinId="38" customBuiltin="1"/>
    <cellStyle name="20% - Énfasis4" xfId="44" builtinId="42" customBuiltin="1"/>
    <cellStyle name="20% - Énfasis5" xfId="48" builtinId="46" customBuiltin="1"/>
    <cellStyle name="20% - Énfasis6" xfId="52" builtinId="50" customBuiltin="1"/>
    <cellStyle name="40% - Énfasis1" xfId="33" builtinId="31" customBuiltin="1"/>
    <cellStyle name="40% - Énfasis2" xfId="37" builtinId="35" customBuiltin="1"/>
    <cellStyle name="40% - Énfasis3" xfId="41" builtinId="39" customBuiltin="1"/>
    <cellStyle name="40% - Énfasis4" xfId="45" builtinId="43" customBuiltin="1"/>
    <cellStyle name="40% - Énfasis5" xfId="49" builtinId="47" customBuiltin="1"/>
    <cellStyle name="40% - Énfasis6" xfId="53" builtinId="51" customBuiltin="1"/>
    <cellStyle name="60% - Énfasis1" xfId="34" builtinId="32" customBuiltin="1"/>
    <cellStyle name="60% - Énfasis2" xfId="38" builtinId="36" customBuiltin="1"/>
    <cellStyle name="60% - Énfasis3" xfId="42" builtinId="40" customBuiltin="1"/>
    <cellStyle name="60% - Énfasis4" xfId="46" builtinId="44" customBuiltin="1"/>
    <cellStyle name="60% - Énfasis5" xfId="50" builtinId="48" customBuiltin="1"/>
    <cellStyle name="60% - Énfasis6" xfId="54" builtinId="52" customBuiltin="1"/>
    <cellStyle name="Bueno" xfId="22" builtinId="26" customBuiltin="1"/>
    <cellStyle name="Cálculo" xfId="27" builtinId="22" customBuiltin="1"/>
    <cellStyle name="Celda de comprobación" xfId="29" builtinId="23" customBuiltin="1"/>
    <cellStyle name="Celda vinculada" xfId="28" builtinId="24" customBuiltin="1"/>
    <cellStyle name="Día laborable" xfId="2" xr:uid="{00000000-0005-0000-0000-000011000000}"/>
    <cellStyle name="Encabezado 1" xfId="20" builtinId="16" customBuiltin="1"/>
    <cellStyle name="Encabezado 4" xfId="21" builtinId="19" customBuiltin="1"/>
    <cellStyle name="Énfasis1" xfId="31" builtinId="29" customBuiltin="1"/>
    <cellStyle name="Énfasis2" xfId="35" builtinId="33" customBuiltin="1"/>
    <cellStyle name="Énfasis3" xfId="39" builtinId="37" customBuiltin="1"/>
    <cellStyle name="Énfasis4" xfId="43" builtinId="41" customBuiltin="1"/>
    <cellStyle name="Énfasis5" xfId="47" builtinId="45" customBuiltin="1"/>
    <cellStyle name="Énfasis6" xfId="51" builtinId="49" customBuiltin="1"/>
    <cellStyle name="Entrada" xfId="25" builtinId="20" customBuiltin="1"/>
    <cellStyle name="Fecha de nacimiento" xfId="7" xr:uid="{00000000-0005-0000-0000-000001000000}"/>
    <cellStyle name="Fin de semana" xfId="1" xr:uid="{00000000-0005-0000-0000-000012000000}"/>
    <cellStyle name="Incorrecto" xfId="23" builtinId="27" customBuiltin="1"/>
    <cellStyle name="Información del estudiante" xfId="4" xr:uid="{00000000-0005-0000-0000-00000E000000}"/>
    <cellStyle name="Información del estudiante, escrita por el usuario" xfId="6" xr:uid="{00000000-0005-0000-0000-00000F000000}"/>
    <cellStyle name="Mes" xfId="3" xr:uid="{00000000-0005-0000-0000-000009000000}"/>
    <cellStyle name="Millares" xfId="9" builtinId="3" customBuiltin="1"/>
    <cellStyle name="Millares [0]" xfId="10" builtinId="6" customBuiltin="1"/>
    <cellStyle name="Moneda" xfId="11" builtinId="4" customBuiltin="1"/>
    <cellStyle name="Moneda [0]" xfId="12" builtinId="7" customBuiltin="1"/>
    <cellStyle name="Neutral" xfId="24" builtinId="28" customBuiltin="1"/>
    <cellStyle name="Normal" xfId="0" builtinId="0" customBuiltin="1"/>
    <cellStyle name="Notas" xfId="16" builtinId="10" customBuiltin="1"/>
    <cellStyle name="Número de teléfono" xfId="5" xr:uid="{00000000-0005-0000-0000-00000D000000}"/>
    <cellStyle name="Porcentaje" xfId="13" builtinId="5" customBuiltin="1"/>
    <cellStyle name="Salida" xfId="26" builtinId="21" customBuiltin="1"/>
    <cellStyle name="Texto de advertencia" xfId="30" builtinId="11" customBuiltin="1"/>
    <cellStyle name="Texto explicativo" xfId="17" builtinId="53" customBuiltin="1"/>
    <cellStyle name="Título" xfId="19" builtinId="15" customBuiltin="1"/>
    <cellStyle name="Título 2" xfId="14" builtinId="17" customBuiltin="1"/>
    <cellStyle name="Título 3" xfId="15" builtinId="18" customBuiltin="1"/>
    <cellStyle name="Total" xfId="18" builtinId="25" customBuiltin="1"/>
    <cellStyle name="Totales de asistencia" xfId="8" xr:uid="{00000000-0005-0000-0000-000000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5F5F5F"/>
      <rgbColor rgb="00FFFFFF"/>
      <rgbColor rgb="005B7557"/>
      <rgbColor rgb="00C0D6D5"/>
      <rgbColor rgb="00F4EBC8"/>
      <rgbColor rgb="00535C9B"/>
      <rgbColor rgb="00F5D28B"/>
      <rgbColor rgb="00D6864A"/>
      <rgbColor rgb="00CCCCFF"/>
      <rgbColor rgb="00000080"/>
      <rgbColor rgb="00D0E6E3"/>
      <rgbColor rgb="00FFFF00"/>
      <rgbColor rgb="0000FFFF"/>
      <rgbColor rgb="00800080"/>
      <rgbColor rgb="00800000"/>
      <rgbColor rgb="00008080"/>
      <rgbColor rgb="000000FF"/>
      <rgbColor rgb="0000CCFF"/>
      <rgbColor rgb="00F5D28B"/>
      <rgbColor rgb="00E0EBC8"/>
      <rgbColor rgb="00D0E6E3"/>
      <rgbColor rgb="00F4EBC8"/>
      <rgbColor rgb="00EAEAEA"/>
      <rgbColor rgb="00FEF9F0"/>
      <rgbColor rgb="00A7C5C4"/>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_rels/theme1.xml.rels><?xml version="1.0" encoding="UTF-8" standalone="yes"?>
<Relationships xmlns="http://schemas.openxmlformats.org/package/2006/relationships"><Relationship Id="rId1" Type="http://schemas.openxmlformats.org/officeDocument/2006/relationships/image" Target="NULL"/></Relationships>
</file>

<file path=xl/theme/theme1.xml><?xml version="1.0" encoding="utf-8"?>
<a:theme xmlns:a="http://schemas.openxmlformats.org/drawingml/2006/main" name="Currency">
  <a:themeElements>
    <a:clrScheme name="Solstice">
      <a:dk1>
        <a:sysClr val="windowText" lastClr="000000"/>
      </a:dk1>
      <a:lt1>
        <a:sysClr val="window" lastClr="FFFFFF"/>
      </a:lt1>
      <a:dk2>
        <a:srgbClr val="4F271C"/>
      </a:dk2>
      <a:lt2>
        <a:srgbClr val="E7DEC9"/>
      </a:lt2>
      <a:accent1>
        <a:srgbClr val="3891A7"/>
      </a:accent1>
      <a:accent2>
        <a:srgbClr val="FEB80A"/>
      </a:accent2>
      <a:accent3>
        <a:srgbClr val="C32D2E"/>
      </a:accent3>
      <a:accent4>
        <a:srgbClr val="84AA33"/>
      </a:accent4>
      <a:accent5>
        <a:srgbClr val="964305"/>
      </a:accent5>
      <a:accent6>
        <a:srgbClr val="475A8D"/>
      </a:accent6>
      <a:hlink>
        <a:srgbClr val="21873A"/>
      </a:hlink>
      <a:folHlink>
        <a:srgbClr val="717E00"/>
      </a:folHlink>
    </a:clrScheme>
    <a:fontScheme name="Deluxe">
      <a:majorFont>
        <a:latin typeface="Corbel"/>
        <a:ea typeface=""/>
        <a:cs typeface=""/>
        <a:font script="Jpan" typeface="HGｺﾞｼｯｸM"/>
        <a:font script="Hang" typeface="HY엽서L"/>
        <a:font script="Hans" typeface="楷体_GB2312"/>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Corbel"/>
        <a:ea typeface=""/>
        <a:cs typeface=""/>
        <a:font script="Jpan" typeface="HGｺﾞｼｯｸM"/>
        <a:font script="Hang" typeface="HY엽서L"/>
        <a:font script="Hans" typeface="楷体_GB2312"/>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Currency">
      <a:fillStyleLst>
        <a:solidFill>
          <a:schemeClr val="phClr"/>
        </a:solidFill>
        <a:gradFill rotWithShape="1">
          <a:gsLst>
            <a:gs pos="0">
              <a:schemeClr val="phClr">
                <a:tint val="80000"/>
                <a:satMod val="110000"/>
              </a:schemeClr>
            </a:gs>
            <a:gs pos="47500">
              <a:schemeClr val="phClr">
                <a:tint val="35000"/>
                <a:satMod val="110000"/>
              </a:schemeClr>
            </a:gs>
            <a:gs pos="58500">
              <a:schemeClr val="phClr">
                <a:tint val="35000"/>
                <a:satMod val="110000"/>
              </a:schemeClr>
            </a:gs>
            <a:gs pos="100000">
              <a:schemeClr val="phClr">
                <a:tint val="80000"/>
                <a:satMod val="110000"/>
              </a:schemeClr>
            </a:gs>
          </a:gsLst>
          <a:lin ang="3600000" scaled="1"/>
        </a:gradFill>
        <a:gradFill rotWithShape="1">
          <a:gsLst>
            <a:gs pos="0">
              <a:schemeClr val="phClr">
                <a:shade val="52000"/>
                <a:satMod val="105000"/>
              </a:schemeClr>
            </a:gs>
            <a:gs pos="47500">
              <a:schemeClr val="phClr">
                <a:shade val="89000"/>
                <a:satMod val="105000"/>
              </a:schemeClr>
            </a:gs>
            <a:gs pos="58500">
              <a:schemeClr val="phClr">
                <a:shade val="89000"/>
                <a:satMod val="105000"/>
              </a:schemeClr>
            </a:gs>
            <a:gs pos="100000">
              <a:schemeClr val="phClr">
                <a:shade val="52000"/>
                <a:satMod val="105000"/>
              </a:schemeClr>
            </a:gs>
          </a:gsLst>
          <a:lin ang="3600000" scaled="1"/>
        </a:gradFill>
      </a:fillStyleLst>
      <a:lnStyleLst>
        <a:ln w="10000" cap="flat" cmpd="sng" algn="ctr">
          <a:solidFill>
            <a:schemeClr val="phClr"/>
          </a:solidFill>
          <a:prstDash val="solid"/>
        </a:ln>
        <a:ln w="60000" cap="flat" cmpd="thickThin" algn="ctr">
          <a:solidFill>
            <a:schemeClr val="phClr"/>
          </a:solidFill>
          <a:prstDash val="solid"/>
        </a:ln>
        <a:ln w="25400" cap="flat" cmpd="sng" algn="ctr">
          <a:solidFill>
            <a:schemeClr val="phClr"/>
          </a:solidFill>
          <a:prstDash val="solid"/>
        </a:ln>
      </a:lnStyleLst>
      <a:effectStyleLst>
        <a:effectStyle>
          <a:effectLst>
            <a:outerShdw blurRad="38100" dist="38100" dir="5400000" algn="r" rotWithShape="0">
              <a:srgbClr val="000000">
                <a:alpha val="60000"/>
              </a:srgbClr>
            </a:outerShdw>
          </a:effectLst>
          <a:scene3d>
            <a:camera prst="isometricLeftDown" fov="0">
              <a:rot lat="0" lon="0" rev="0"/>
            </a:camera>
            <a:lightRig rig="harsh" dir="tl">
              <a:rot lat="0" lon="0" rev="8400000"/>
            </a:lightRig>
          </a:scene3d>
          <a:sp3d prstMaterial="flat">
            <a:bevelT w="38100" h="50800" prst="softRound"/>
          </a:sp3d>
        </a:effectStyle>
        <a:effectStyle>
          <a:effectLst>
            <a:outerShdw blurRad="38100" dist="38100" dir="5400000" algn="r" rotWithShape="0">
              <a:srgbClr val="000000">
                <a:alpha val="60000"/>
              </a:srgbClr>
            </a:outerShdw>
          </a:effectLst>
          <a:scene3d>
            <a:camera prst="isometricLeftDown" fov="0">
              <a:rot lat="0" lon="0" rev="0"/>
            </a:camera>
            <a:lightRig rig="harsh" dir="tl">
              <a:rot lat="0" lon="0" rev="8400000"/>
            </a:lightRig>
          </a:scene3d>
          <a:sp3d prstMaterial="flat">
            <a:bevelT w="38100" h="50800" prst="softRound"/>
          </a:sp3d>
        </a:effectStyle>
        <a:effectStyle>
          <a:effectLst>
            <a:outerShdw blurRad="50800" dist="63500" dir="5400000" algn="r" rotWithShape="0">
              <a:srgbClr val="000000">
                <a:alpha val="65000"/>
              </a:srgbClr>
            </a:outerShdw>
          </a:effectLst>
          <a:scene3d>
            <a:camera prst="isometricLeftDown" fov="0">
              <a:rot lat="0" lon="0" rev="0"/>
            </a:camera>
            <a:lightRig rig="harsh" dir="tl">
              <a:rot lat="0" lon="0" rev="8400000"/>
            </a:lightRig>
          </a:scene3d>
          <a:sp3d extrusionH="63500" contourW="38100" prstMaterial="flat">
            <a:bevelT w="50800" h="63500" prst="softRound"/>
            <a:contourClr>
              <a:schemeClr val="phClr">
                <a:tint val="5"/>
                <a:satMod val="130000"/>
              </a:schemeClr>
            </a:contourClr>
          </a:sp3d>
        </a:effectStyle>
      </a:effectStyleLst>
      <a:bgFillStyleLst>
        <a:solidFill>
          <a:schemeClr val="phClr"/>
        </a:solidFill>
        <a:gradFill rotWithShape="1">
          <a:gsLst>
            <a:gs pos="0">
              <a:schemeClr val="phClr">
                <a:tint val="80000"/>
                <a:satMod val="300000"/>
              </a:schemeClr>
            </a:gs>
            <a:gs pos="100000">
              <a:schemeClr val="phClr">
                <a:shade val="20000"/>
                <a:satMod val="350000"/>
              </a:schemeClr>
            </a:gs>
          </a:gsLst>
          <a:path path="circle">
            <a:fillToRect l="100000" t="100000" r="100000" b="100000"/>
          </a:path>
        </a:gradFill>
        <a:blipFill>
          <a:blip xmlns:r="http://schemas.openxmlformats.org/officeDocument/2006/relationships" r:embed="rId1">
            <a:duotone>
              <a:schemeClr val="phClr">
                <a:tint val="90000"/>
                <a:satMod val="120000"/>
              </a:schemeClr>
              <a:schemeClr val="phClr">
                <a:tint val="84000"/>
                <a:shade val="97000"/>
                <a:satMod val="130000"/>
              </a:schemeClr>
            </a:duotone>
          </a:blip>
          <a:tile tx="0" ty="0" sx="60000" sy="60000" flip="none" algn="t"/>
        </a:blip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indexed="41"/>
    <pageSetUpPr fitToPage="1"/>
  </sheetPr>
  <dimension ref="B1:AL36"/>
  <sheetViews>
    <sheetView showGridLines="0" tabSelected="1" zoomScaleNormal="100" workbookViewId="0"/>
  </sheetViews>
  <sheetFormatPr baseColWidth="10" defaultColWidth="9" defaultRowHeight="30" customHeight="1" x14ac:dyDescent="0.25"/>
  <cols>
    <col min="1" max="1" width="2.625" style="12" customWidth="1"/>
    <col min="2" max="2" width="11.875" bestFit="1" customWidth="1"/>
    <col min="3" max="33" width="4.375" customWidth="1"/>
    <col min="34" max="37" width="12.125" customWidth="1"/>
    <col min="38" max="38" width="2.625" style="12" customWidth="1"/>
    <col min="39" max="16384" width="9" style="12"/>
  </cols>
  <sheetData>
    <row r="1" spans="2:38" s="11" customFormat="1" ht="38.1" customHeight="1" x14ac:dyDescent="0.4">
      <c r="B1" s="33" t="s">
        <v>0</v>
      </c>
      <c r="C1" s="34"/>
      <c r="D1" s="34"/>
      <c r="E1" s="34"/>
      <c r="F1" s="34"/>
      <c r="G1" s="34"/>
      <c r="H1" s="34"/>
      <c r="I1" s="34"/>
      <c r="J1" s="34"/>
      <c r="K1" s="34"/>
      <c r="L1" s="34"/>
      <c r="M1" s="34"/>
      <c r="N1" s="17" t="s">
        <v>19</v>
      </c>
      <c r="O1" s="17"/>
      <c r="P1" s="17"/>
      <c r="Q1" s="17"/>
      <c r="R1" s="17"/>
      <c r="S1" s="17"/>
      <c r="T1" s="17"/>
      <c r="U1" s="17"/>
      <c r="V1" s="17"/>
      <c r="W1" s="17"/>
      <c r="X1" s="17"/>
      <c r="Y1" s="17"/>
      <c r="Z1" s="17"/>
      <c r="AA1" s="17"/>
      <c r="AB1" s="17"/>
      <c r="AC1" s="17"/>
      <c r="AD1" s="17"/>
      <c r="AE1" s="17"/>
      <c r="AF1" s="17"/>
      <c r="AG1" s="17"/>
      <c r="AH1" s="17"/>
      <c r="AI1" s="17"/>
      <c r="AJ1" s="17"/>
      <c r="AK1" s="17"/>
    </row>
    <row r="2" spans="2:38" s="11" customFormat="1" ht="30" customHeight="1" x14ac:dyDescent="0.25">
      <c r="B2" s="21" t="s">
        <v>1</v>
      </c>
      <c r="C2" s="22"/>
      <c r="D2" s="22"/>
      <c r="E2" s="22"/>
      <c r="F2" s="22"/>
      <c r="G2" s="22"/>
      <c r="H2" s="22"/>
      <c r="I2" s="22"/>
      <c r="J2" s="23"/>
      <c r="K2" s="20" t="s">
        <v>17</v>
      </c>
      <c r="L2" s="20"/>
      <c r="M2" s="20"/>
      <c r="N2" s="20"/>
      <c r="O2" s="20"/>
      <c r="P2" s="20" t="s">
        <v>20</v>
      </c>
      <c r="Q2" s="20"/>
      <c r="R2" s="20"/>
      <c r="S2" s="20" t="s">
        <v>21</v>
      </c>
      <c r="T2" s="20"/>
      <c r="U2" s="20"/>
      <c r="V2" s="20"/>
      <c r="W2" s="20" t="s">
        <v>22</v>
      </c>
      <c r="X2" s="20"/>
      <c r="Y2" s="20"/>
      <c r="Z2" s="20"/>
      <c r="AA2" s="20"/>
      <c r="AB2" s="20"/>
      <c r="AC2" s="20"/>
      <c r="AD2" s="20"/>
      <c r="AE2" s="20" t="s">
        <v>24</v>
      </c>
      <c r="AF2" s="20"/>
      <c r="AG2" s="20"/>
      <c r="AH2" s="20" t="s">
        <v>27</v>
      </c>
      <c r="AI2" s="20"/>
      <c r="AJ2" s="20"/>
      <c r="AK2" s="2" t="s">
        <v>32</v>
      </c>
    </row>
    <row r="3" spans="2:38" s="11" customFormat="1" ht="30" customHeight="1" x14ac:dyDescent="0.25">
      <c r="B3" s="24"/>
      <c r="C3" s="25"/>
      <c r="D3" s="25"/>
      <c r="E3" s="25"/>
      <c r="F3" s="25"/>
      <c r="G3" s="25"/>
      <c r="H3" s="25"/>
      <c r="I3" s="25"/>
      <c r="J3" s="26"/>
      <c r="K3" s="18"/>
      <c r="L3" s="18"/>
      <c r="M3" s="18"/>
      <c r="N3" s="18"/>
      <c r="O3" s="18"/>
      <c r="P3" s="18"/>
      <c r="Q3" s="18"/>
      <c r="R3" s="18"/>
      <c r="S3" s="30"/>
      <c r="T3" s="30"/>
      <c r="U3" s="30"/>
      <c r="V3" s="30"/>
      <c r="W3" s="18"/>
      <c r="X3" s="18"/>
      <c r="Y3" s="18"/>
      <c r="Z3" s="18"/>
      <c r="AA3" s="18"/>
      <c r="AB3" s="18"/>
      <c r="AC3" s="18"/>
      <c r="AD3" s="18"/>
      <c r="AE3" s="18"/>
      <c r="AF3" s="18"/>
      <c r="AG3" s="18"/>
      <c r="AH3" s="18"/>
      <c r="AI3" s="18"/>
      <c r="AJ3" s="18"/>
      <c r="AK3" s="3"/>
    </row>
    <row r="4" spans="2:38" s="11" customFormat="1" ht="30" customHeight="1" x14ac:dyDescent="0.25">
      <c r="B4" s="21" t="s">
        <v>2</v>
      </c>
      <c r="C4" s="22"/>
      <c r="D4" s="22"/>
      <c r="E4" s="22"/>
      <c r="F4" s="22"/>
      <c r="G4" s="22"/>
      <c r="H4" s="22"/>
      <c r="I4" s="22"/>
      <c r="J4" s="23"/>
      <c r="K4" s="20" t="s">
        <v>18</v>
      </c>
      <c r="L4" s="20"/>
      <c r="M4" s="20"/>
      <c r="N4" s="20"/>
      <c r="O4" s="20"/>
      <c r="P4" s="20"/>
      <c r="Q4" s="20"/>
      <c r="R4" s="20"/>
      <c r="S4" s="20"/>
      <c r="T4" s="20"/>
      <c r="U4" s="20"/>
      <c r="V4" s="20"/>
      <c r="W4" s="20" t="s">
        <v>23</v>
      </c>
      <c r="X4" s="20"/>
      <c r="Y4" s="20"/>
      <c r="Z4" s="20"/>
      <c r="AA4" s="20"/>
      <c r="AB4" s="20"/>
      <c r="AC4" s="20"/>
      <c r="AD4" s="20"/>
      <c r="AE4" s="20" t="s">
        <v>25</v>
      </c>
      <c r="AF4" s="20"/>
      <c r="AG4" s="20"/>
      <c r="AH4" s="20"/>
      <c r="AI4" s="20"/>
      <c r="AJ4" s="20"/>
      <c r="AK4" s="20"/>
    </row>
    <row r="5" spans="2:38" s="11" customFormat="1" ht="30" customHeight="1" x14ac:dyDescent="0.25">
      <c r="B5" s="24"/>
      <c r="C5" s="25"/>
      <c r="D5" s="25"/>
      <c r="E5" s="25"/>
      <c r="F5" s="25"/>
      <c r="G5" s="25"/>
      <c r="H5" s="25"/>
      <c r="I5" s="25"/>
      <c r="J5" s="26"/>
      <c r="K5" s="18"/>
      <c r="L5" s="18"/>
      <c r="M5" s="18"/>
      <c r="N5" s="18"/>
      <c r="O5" s="18"/>
      <c r="P5" s="18"/>
      <c r="Q5" s="18"/>
      <c r="R5" s="18"/>
      <c r="S5" s="18"/>
      <c r="T5" s="18"/>
      <c r="U5" s="18"/>
      <c r="V5" s="18"/>
      <c r="W5" s="29"/>
      <c r="X5" s="29"/>
      <c r="Y5" s="29"/>
      <c r="Z5" s="29"/>
      <c r="AA5" s="29"/>
      <c r="AB5" s="29"/>
      <c r="AC5" s="29"/>
      <c r="AD5" s="29"/>
      <c r="AE5" s="29"/>
      <c r="AF5" s="29"/>
      <c r="AG5" s="29"/>
      <c r="AH5" s="29"/>
      <c r="AI5" s="29"/>
      <c r="AJ5" s="29"/>
      <c r="AK5" s="29"/>
    </row>
    <row r="6" spans="2:38" s="11" customFormat="1" ht="30" customHeight="1" x14ac:dyDescent="0.25">
      <c r="B6" s="21" t="s">
        <v>3</v>
      </c>
      <c r="C6" s="22"/>
      <c r="D6" s="22"/>
      <c r="E6" s="22"/>
      <c r="F6" s="22"/>
      <c r="G6" s="22"/>
      <c r="H6" s="22"/>
      <c r="I6" s="22"/>
      <c r="J6" s="23"/>
      <c r="K6" s="20" t="s">
        <v>18</v>
      </c>
      <c r="L6" s="20"/>
      <c r="M6" s="20"/>
      <c r="N6" s="20"/>
      <c r="O6" s="20"/>
      <c r="P6" s="20"/>
      <c r="Q6" s="20"/>
      <c r="R6" s="20"/>
      <c r="S6" s="20"/>
      <c r="T6" s="20"/>
      <c r="U6" s="20"/>
      <c r="V6" s="20"/>
      <c r="W6" s="20" t="s">
        <v>23</v>
      </c>
      <c r="X6" s="20"/>
      <c r="Y6" s="20"/>
      <c r="Z6" s="20"/>
      <c r="AA6" s="20"/>
      <c r="AB6" s="20"/>
      <c r="AC6" s="20"/>
      <c r="AD6" s="20"/>
      <c r="AE6" s="20" t="s">
        <v>25</v>
      </c>
      <c r="AF6" s="20"/>
      <c r="AG6" s="20"/>
      <c r="AH6" s="20"/>
      <c r="AI6" s="20"/>
      <c r="AJ6" s="20"/>
      <c r="AK6" s="20"/>
    </row>
    <row r="7" spans="2:38" s="11" customFormat="1" ht="30" customHeight="1" x14ac:dyDescent="0.25">
      <c r="B7" s="24"/>
      <c r="C7" s="25"/>
      <c r="D7" s="25"/>
      <c r="E7" s="25"/>
      <c r="F7" s="25"/>
      <c r="G7" s="25"/>
      <c r="H7" s="25"/>
      <c r="I7" s="25"/>
      <c r="J7" s="26"/>
      <c r="K7" s="18"/>
      <c r="L7" s="18"/>
      <c r="M7" s="18"/>
      <c r="N7" s="18"/>
      <c r="O7" s="18"/>
      <c r="P7" s="18"/>
      <c r="Q7" s="18"/>
      <c r="R7" s="18"/>
      <c r="S7" s="18"/>
      <c r="T7" s="18"/>
      <c r="U7" s="18"/>
      <c r="V7" s="18"/>
      <c r="W7" s="29"/>
      <c r="X7" s="29"/>
      <c r="Y7" s="29"/>
      <c r="Z7" s="29"/>
      <c r="AA7" s="29"/>
      <c r="AB7" s="29"/>
      <c r="AC7" s="29"/>
      <c r="AD7" s="29"/>
      <c r="AE7" s="29"/>
      <c r="AF7" s="29"/>
      <c r="AG7" s="29"/>
      <c r="AH7" s="29"/>
      <c r="AI7" s="29"/>
      <c r="AJ7" s="29"/>
      <c r="AK7" s="29"/>
    </row>
    <row r="8" spans="2:38" s="11" customFormat="1" ht="30" customHeight="1" x14ac:dyDescent="0.25">
      <c r="B8" s="21" t="s">
        <v>4</v>
      </c>
      <c r="C8" s="22"/>
      <c r="D8" s="22"/>
      <c r="E8" s="22"/>
      <c r="F8" s="22"/>
      <c r="G8" s="22"/>
      <c r="H8" s="22"/>
      <c r="I8" s="22"/>
      <c r="J8" s="23"/>
      <c r="K8" s="20" t="s">
        <v>18</v>
      </c>
      <c r="L8" s="20"/>
      <c r="M8" s="20"/>
      <c r="N8" s="20"/>
      <c r="O8" s="20"/>
      <c r="P8" s="20"/>
      <c r="Q8" s="20"/>
      <c r="R8" s="20"/>
      <c r="S8" s="20"/>
      <c r="T8" s="20"/>
      <c r="U8" s="20"/>
      <c r="V8" s="20"/>
      <c r="W8" s="20" t="s">
        <v>23</v>
      </c>
      <c r="X8" s="20"/>
      <c r="Y8" s="20"/>
      <c r="Z8" s="20"/>
      <c r="AA8" s="20"/>
      <c r="AB8" s="20"/>
      <c r="AC8" s="20"/>
      <c r="AD8" s="20"/>
      <c r="AE8" s="20" t="s">
        <v>25</v>
      </c>
      <c r="AF8" s="20"/>
      <c r="AG8" s="20"/>
      <c r="AH8" s="20"/>
      <c r="AI8" s="20"/>
      <c r="AJ8" s="20"/>
      <c r="AK8" s="20"/>
    </row>
    <row r="9" spans="2:38" s="11" customFormat="1" ht="30" customHeight="1" x14ac:dyDescent="0.25">
      <c r="B9" s="24"/>
      <c r="C9" s="25"/>
      <c r="D9" s="25"/>
      <c r="E9" s="25"/>
      <c r="F9" s="25"/>
      <c r="G9" s="25"/>
      <c r="H9" s="25"/>
      <c r="I9" s="25"/>
      <c r="J9" s="26"/>
      <c r="K9" s="18"/>
      <c r="L9" s="18"/>
      <c r="M9" s="18"/>
      <c r="N9" s="18"/>
      <c r="O9" s="18"/>
      <c r="P9" s="18"/>
      <c r="Q9" s="18"/>
      <c r="R9" s="18"/>
      <c r="S9" s="18"/>
      <c r="T9" s="18"/>
      <c r="U9" s="18"/>
      <c r="V9" s="18"/>
      <c r="W9" s="29"/>
      <c r="X9" s="29"/>
      <c r="Y9" s="29"/>
      <c r="Z9" s="29"/>
      <c r="AA9" s="29"/>
      <c r="AB9" s="29"/>
      <c r="AC9" s="29"/>
      <c r="AD9" s="29"/>
      <c r="AE9" s="29"/>
      <c r="AF9" s="29"/>
      <c r="AG9" s="29"/>
      <c r="AH9" s="29"/>
      <c r="AI9" s="29"/>
      <c r="AJ9" s="29"/>
      <c r="AK9" s="29"/>
    </row>
    <row r="10" spans="2:38" s="11" customFormat="1" ht="30" customHeight="1" x14ac:dyDescent="0.25">
      <c r="B10" s="36" t="s">
        <v>34</v>
      </c>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8"/>
      <c r="AH10" s="27" t="s">
        <v>28</v>
      </c>
      <c r="AI10" s="28"/>
      <c r="AJ10" s="28"/>
      <c r="AK10" s="28"/>
    </row>
    <row r="11" spans="2:38" s="11" customFormat="1" ht="30" customHeight="1" x14ac:dyDescent="0.25">
      <c r="B11" s="39"/>
      <c r="C11" s="40"/>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1"/>
      <c r="AH11" s="4" t="s">
        <v>29</v>
      </c>
      <c r="AI11" s="5" t="s">
        <v>30</v>
      </c>
      <c r="AJ11" s="5" t="s">
        <v>31</v>
      </c>
      <c r="AK11" s="5" t="s">
        <v>33</v>
      </c>
    </row>
    <row r="12" spans="2:38" s="11" customFormat="1" ht="30" customHeight="1" x14ac:dyDescent="0.25">
      <c r="B12" s="19" t="s">
        <v>5</v>
      </c>
      <c r="C12" s="7">
        <v>1</v>
      </c>
      <c r="D12" s="7">
        <v>2</v>
      </c>
      <c r="E12" s="7">
        <v>3</v>
      </c>
      <c r="F12" s="7">
        <v>4</v>
      </c>
      <c r="G12" s="7">
        <v>5</v>
      </c>
      <c r="H12" s="7">
        <v>6</v>
      </c>
      <c r="I12" s="7">
        <v>7</v>
      </c>
      <c r="J12" s="7">
        <v>8</v>
      </c>
      <c r="K12" s="7">
        <v>9</v>
      </c>
      <c r="L12" s="7">
        <v>10</v>
      </c>
      <c r="M12" s="7">
        <v>11</v>
      </c>
      <c r="N12" s="7">
        <v>12</v>
      </c>
      <c r="O12" s="7">
        <v>13</v>
      </c>
      <c r="P12" s="7">
        <v>14</v>
      </c>
      <c r="Q12" s="7">
        <v>15</v>
      </c>
      <c r="R12" s="7">
        <v>16</v>
      </c>
      <c r="S12" s="7">
        <v>17</v>
      </c>
      <c r="T12" s="7">
        <v>18</v>
      </c>
      <c r="U12" s="7">
        <v>19</v>
      </c>
      <c r="V12" s="7">
        <v>20</v>
      </c>
      <c r="W12" s="7">
        <v>21</v>
      </c>
      <c r="X12" s="7">
        <v>22</v>
      </c>
      <c r="Y12" s="7">
        <v>23</v>
      </c>
      <c r="Z12" s="7">
        <v>24</v>
      </c>
      <c r="AA12" s="7">
        <v>25</v>
      </c>
      <c r="AB12" s="7">
        <v>26</v>
      </c>
      <c r="AC12" s="7">
        <v>27</v>
      </c>
      <c r="AD12" s="7">
        <v>28</v>
      </c>
      <c r="AE12" s="7">
        <v>29</v>
      </c>
      <c r="AF12" s="7">
        <v>30</v>
      </c>
      <c r="AG12" s="7">
        <v>31</v>
      </c>
      <c r="AH12" s="32">
        <f>COUNTIF($C13:$AG13,"T")</f>
        <v>0</v>
      </c>
      <c r="AI12" s="31">
        <f>COUNTIF($C13:$AG13,"U")</f>
        <v>0</v>
      </c>
      <c r="AJ12" s="31">
        <f>COUNTIF($C13:$AG13,"E")</f>
        <v>0</v>
      </c>
      <c r="AK12" s="31">
        <f>COUNTIF($C13:$AG13,"P")</f>
        <v>0</v>
      </c>
    </row>
    <row r="13" spans="2:38" s="11" customFormat="1" ht="30" customHeight="1" x14ac:dyDescent="0.25">
      <c r="B13" s="19"/>
      <c r="C13" s="13"/>
      <c r="D13" s="13"/>
      <c r="E13" s="13"/>
      <c r="F13" s="13"/>
      <c r="G13" s="14"/>
      <c r="H13" s="14"/>
      <c r="I13" s="13"/>
      <c r="J13" s="13"/>
      <c r="K13" s="13"/>
      <c r="L13" s="13"/>
      <c r="M13" s="13"/>
      <c r="N13" s="14"/>
      <c r="O13" s="14"/>
      <c r="P13" s="13"/>
      <c r="Q13" s="13"/>
      <c r="R13" s="13"/>
      <c r="S13" s="13"/>
      <c r="T13" s="13"/>
      <c r="U13" s="14"/>
      <c r="V13" s="14"/>
      <c r="W13" s="13"/>
      <c r="X13" s="13"/>
      <c r="Y13" s="8"/>
      <c r="Z13" s="8"/>
      <c r="AA13" s="8"/>
      <c r="AB13" s="9"/>
      <c r="AC13" s="9"/>
      <c r="AD13" s="8"/>
      <c r="AE13" s="8"/>
      <c r="AF13" s="8"/>
      <c r="AG13" s="8"/>
      <c r="AH13" s="32"/>
      <c r="AI13" s="31"/>
      <c r="AJ13" s="31"/>
      <c r="AK13" s="31"/>
    </row>
    <row r="14" spans="2:38" s="11" customFormat="1" ht="30" customHeight="1" x14ac:dyDescent="0.25">
      <c r="B14" s="19" t="s">
        <v>6</v>
      </c>
      <c r="C14" s="7">
        <v>1</v>
      </c>
      <c r="D14" s="7">
        <v>2</v>
      </c>
      <c r="E14" s="7">
        <v>3</v>
      </c>
      <c r="F14" s="7">
        <v>4</v>
      </c>
      <c r="G14" s="7">
        <v>5</v>
      </c>
      <c r="H14" s="7">
        <v>6</v>
      </c>
      <c r="I14" s="7">
        <v>7</v>
      </c>
      <c r="J14" s="7">
        <v>8</v>
      </c>
      <c r="K14" s="7">
        <v>9</v>
      </c>
      <c r="L14" s="7">
        <v>10</v>
      </c>
      <c r="M14" s="7">
        <v>11</v>
      </c>
      <c r="N14" s="7">
        <v>12</v>
      </c>
      <c r="O14" s="7">
        <v>13</v>
      </c>
      <c r="P14" s="7">
        <v>14</v>
      </c>
      <c r="Q14" s="7">
        <v>15</v>
      </c>
      <c r="R14" s="7">
        <v>16</v>
      </c>
      <c r="S14" s="7">
        <v>17</v>
      </c>
      <c r="T14" s="7">
        <v>18</v>
      </c>
      <c r="U14" s="7">
        <v>19</v>
      </c>
      <c r="V14" s="7">
        <v>20</v>
      </c>
      <c r="W14" s="7">
        <v>21</v>
      </c>
      <c r="X14" s="7">
        <v>22</v>
      </c>
      <c r="Y14" s="7">
        <v>23</v>
      </c>
      <c r="Z14" s="7">
        <v>24</v>
      </c>
      <c r="AA14" s="7">
        <v>25</v>
      </c>
      <c r="AB14" s="7">
        <v>26</v>
      </c>
      <c r="AC14" s="7">
        <v>27</v>
      </c>
      <c r="AD14" s="7">
        <v>28</v>
      </c>
      <c r="AE14" s="7">
        <v>29</v>
      </c>
      <c r="AF14" s="7">
        <v>30</v>
      </c>
      <c r="AG14" s="7"/>
      <c r="AH14" s="32">
        <f>COUNTIF($C15:$AF15,"T")</f>
        <v>0</v>
      </c>
      <c r="AI14" s="31">
        <f>COUNTIF($C15:$AF15,"U")</f>
        <v>0</v>
      </c>
      <c r="AJ14" s="31">
        <f>COUNTIF($C15:$AF15,"E")</f>
        <v>0</v>
      </c>
      <c r="AK14" s="31">
        <f>COUNTIF($C15:$AF15,"P")</f>
        <v>0</v>
      </c>
    </row>
    <row r="15" spans="2:38" s="11" customFormat="1" ht="30" customHeight="1" x14ac:dyDescent="0.25">
      <c r="B15" s="19"/>
      <c r="C15" s="8"/>
      <c r="D15" s="9"/>
      <c r="E15" s="9"/>
      <c r="F15" s="8"/>
      <c r="G15" s="8"/>
      <c r="H15" s="8"/>
      <c r="I15" s="8"/>
      <c r="J15" s="13"/>
      <c r="K15" s="14"/>
      <c r="L15" s="14"/>
      <c r="M15" s="13"/>
      <c r="N15" s="13"/>
      <c r="O15" s="13"/>
      <c r="P15" s="13"/>
      <c r="Q15" s="13"/>
      <c r="R15" s="14"/>
      <c r="S15" s="14"/>
      <c r="T15" s="13"/>
      <c r="U15" s="13"/>
      <c r="V15" s="13"/>
      <c r="W15" s="13"/>
      <c r="X15" s="13"/>
      <c r="Y15" s="14"/>
      <c r="Z15" s="14"/>
      <c r="AA15" s="13"/>
      <c r="AB15" s="13"/>
      <c r="AC15" s="13"/>
      <c r="AD15" s="13"/>
      <c r="AE15" s="13"/>
      <c r="AF15" s="14"/>
      <c r="AG15" s="10"/>
      <c r="AH15" s="32"/>
      <c r="AI15" s="31"/>
      <c r="AJ15" s="31"/>
      <c r="AK15" s="31"/>
      <c r="AL15" s="16"/>
    </row>
    <row r="16" spans="2:38" s="11" customFormat="1" ht="30" customHeight="1" x14ac:dyDescent="0.25">
      <c r="B16" s="19" t="s">
        <v>7</v>
      </c>
      <c r="C16" s="7">
        <v>1</v>
      </c>
      <c r="D16" s="7">
        <v>2</v>
      </c>
      <c r="E16" s="7">
        <v>3</v>
      </c>
      <c r="F16" s="7">
        <v>4</v>
      </c>
      <c r="G16" s="7">
        <v>5</v>
      </c>
      <c r="H16" s="7">
        <v>6</v>
      </c>
      <c r="I16" s="7">
        <v>7</v>
      </c>
      <c r="J16" s="7">
        <v>8</v>
      </c>
      <c r="K16" s="7">
        <v>9</v>
      </c>
      <c r="L16" s="7">
        <v>10</v>
      </c>
      <c r="M16" s="7">
        <v>11</v>
      </c>
      <c r="N16" s="7">
        <v>12</v>
      </c>
      <c r="O16" s="7">
        <v>13</v>
      </c>
      <c r="P16" s="7">
        <v>14</v>
      </c>
      <c r="Q16" s="7">
        <v>15</v>
      </c>
      <c r="R16" s="7">
        <v>16</v>
      </c>
      <c r="S16" s="7">
        <v>17</v>
      </c>
      <c r="T16" s="7">
        <v>18</v>
      </c>
      <c r="U16" s="7">
        <v>19</v>
      </c>
      <c r="V16" s="7">
        <v>20</v>
      </c>
      <c r="W16" s="7">
        <v>21</v>
      </c>
      <c r="X16" s="7">
        <v>22</v>
      </c>
      <c r="Y16" s="7">
        <v>23</v>
      </c>
      <c r="Z16" s="7">
        <v>24</v>
      </c>
      <c r="AA16" s="7">
        <v>25</v>
      </c>
      <c r="AB16" s="7">
        <v>26</v>
      </c>
      <c r="AC16" s="7">
        <v>27</v>
      </c>
      <c r="AD16" s="7">
        <v>28</v>
      </c>
      <c r="AE16" s="7">
        <v>29</v>
      </c>
      <c r="AF16" s="7">
        <v>30</v>
      </c>
      <c r="AG16" s="7">
        <v>31</v>
      </c>
      <c r="AH16" s="32">
        <f>COUNTIF($C17:$AG17,"T")</f>
        <v>0</v>
      </c>
      <c r="AI16" s="31">
        <f>COUNTIF($C17:$AG17,"U")</f>
        <v>0</v>
      </c>
      <c r="AJ16" s="31">
        <f>COUNTIF($C17:$AG17,"E")</f>
        <v>0</v>
      </c>
      <c r="AK16" s="31">
        <f>COUNTIF($C17:$AG17,"P")</f>
        <v>0</v>
      </c>
    </row>
    <row r="17" spans="2:37" s="11" customFormat="1" ht="30" customHeight="1" x14ac:dyDescent="0.25">
      <c r="B17" s="19"/>
      <c r="C17" s="14"/>
      <c r="D17" s="13"/>
      <c r="E17" s="8"/>
      <c r="F17" s="8"/>
      <c r="G17" s="8"/>
      <c r="H17" s="8"/>
      <c r="I17" s="9"/>
      <c r="J17" s="9"/>
      <c r="K17" s="8"/>
      <c r="L17" s="8"/>
      <c r="M17" s="8"/>
      <c r="N17" s="8"/>
      <c r="O17" s="8"/>
      <c r="P17" s="9"/>
      <c r="Q17" s="9"/>
      <c r="R17" s="13"/>
      <c r="S17" s="13"/>
      <c r="T17" s="13"/>
      <c r="U17" s="13"/>
      <c r="V17" s="13"/>
      <c r="W17" s="14"/>
      <c r="X17" s="9"/>
      <c r="Y17" s="8"/>
      <c r="Z17" s="8"/>
      <c r="AA17" s="8"/>
      <c r="AB17" s="8"/>
      <c r="AC17" s="8"/>
      <c r="AD17" s="9"/>
      <c r="AE17" s="14"/>
      <c r="AF17" s="13"/>
      <c r="AG17" s="8"/>
      <c r="AH17" s="32"/>
      <c r="AI17" s="31"/>
      <c r="AJ17" s="31"/>
      <c r="AK17" s="31"/>
    </row>
    <row r="18" spans="2:37" s="11" customFormat="1" ht="30" customHeight="1" x14ac:dyDescent="0.25">
      <c r="B18" s="19" t="s">
        <v>8</v>
      </c>
      <c r="C18" s="7">
        <v>1</v>
      </c>
      <c r="D18" s="7">
        <v>2</v>
      </c>
      <c r="E18" s="7">
        <v>3</v>
      </c>
      <c r="F18" s="7">
        <v>4</v>
      </c>
      <c r="G18" s="7">
        <v>5</v>
      </c>
      <c r="H18" s="7">
        <v>6</v>
      </c>
      <c r="I18" s="7">
        <v>7</v>
      </c>
      <c r="J18" s="7">
        <v>8</v>
      </c>
      <c r="K18" s="7">
        <v>9</v>
      </c>
      <c r="L18" s="7">
        <v>10</v>
      </c>
      <c r="M18" s="7">
        <v>11</v>
      </c>
      <c r="N18" s="7">
        <v>12</v>
      </c>
      <c r="O18" s="7">
        <v>13</v>
      </c>
      <c r="P18" s="7">
        <v>14</v>
      </c>
      <c r="Q18" s="7">
        <v>15</v>
      </c>
      <c r="R18" s="7">
        <v>16</v>
      </c>
      <c r="S18" s="7">
        <v>17</v>
      </c>
      <c r="T18" s="7">
        <v>18</v>
      </c>
      <c r="U18" s="7">
        <v>19</v>
      </c>
      <c r="V18" s="7">
        <v>20</v>
      </c>
      <c r="W18" s="7">
        <v>21</v>
      </c>
      <c r="X18" s="7">
        <v>22</v>
      </c>
      <c r="Y18" s="7">
        <v>23</v>
      </c>
      <c r="Z18" s="7">
        <v>24</v>
      </c>
      <c r="AA18" s="7">
        <v>25</v>
      </c>
      <c r="AB18" s="7">
        <v>26</v>
      </c>
      <c r="AC18" s="7">
        <v>27</v>
      </c>
      <c r="AD18" s="7">
        <v>28</v>
      </c>
      <c r="AE18" s="7">
        <v>29</v>
      </c>
      <c r="AF18" s="7">
        <v>30</v>
      </c>
      <c r="AG18" s="7"/>
      <c r="AH18" s="32">
        <f>COUNTIF($C19:$AF19,"T")</f>
        <v>0</v>
      </c>
      <c r="AI18" s="31">
        <f>COUNTIF($C19:$AF19,"U")</f>
        <v>0</v>
      </c>
      <c r="AJ18" s="31">
        <f>COUNTIF($C19:$AF19,"E")</f>
        <v>0</v>
      </c>
      <c r="AK18" s="31">
        <f>COUNTIF($C19:$AF19,"P")</f>
        <v>0</v>
      </c>
    </row>
    <row r="19" spans="2:37" s="11" customFormat="1" ht="30" customHeight="1" x14ac:dyDescent="0.25">
      <c r="B19" s="19"/>
      <c r="C19" s="13"/>
      <c r="D19" s="13"/>
      <c r="E19" s="8"/>
      <c r="F19" s="9"/>
      <c r="G19" s="9"/>
      <c r="H19" s="8"/>
      <c r="I19" s="13"/>
      <c r="J19" s="13"/>
      <c r="K19" s="8"/>
      <c r="L19" s="8"/>
      <c r="M19" s="9"/>
      <c r="N19" s="14"/>
      <c r="O19" s="13"/>
      <c r="P19" s="8"/>
      <c r="Q19" s="8"/>
      <c r="R19" s="13"/>
      <c r="S19" s="13"/>
      <c r="T19" s="9"/>
      <c r="U19" s="9"/>
      <c r="V19" s="8"/>
      <c r="W19" s="8"/>
      <c r="X19" s="8"/>
      <c r="Y19" s="8"/>
      <c r="Z19" s="8"/>
      <c r="AA19" s="9"/>
      <c r="AB19" s="9"/>
      <c r="AC19" s="8"/>
      <c r="AD19" s="8"/>
      <c r="AE19" s="8"/>
      <c r="AF19" s="8"/>
      <c r="AG19" s="10"/>
      <c r="AH19" s="32"/>
      <c r="AI19" s="31"/>
      <c r="AJ19" s="31"/>
      <c r="AK19" s="31"/>
    </row>
    <row r="20" spans="2:37" s="11" customFormat="1" ht="30" customHeight="1" x14ac:dyDescent="0.25">
      <c r="B20" s="19" t="s">
        <v>9</v>
      </c>
      <c r="C20" s="7">
        <v>1</v>
      </c>
      <c r="D20" s="7">
        <v>2</v>
      </c>
      <c r="E20" s="7">
        <v>3</v>
      </c>
      <c r="F20" s="7">
        <v>4</v>
      </c>
      <c r="G20" s="7">
        <v>5</v>
      </c>
      <c r="H20" s="7">
        <v>6</v>
      </c>
      <c r="I20" s="7">
        <v>7</v>
      </c>
      <c r="J20" s="7">
        <v>8</v>
      </c>
      <c r="K20" s="7">
        <v>9</v>
      </c>
      <c r="L20" s="7">
        <v>10</v>
      </c>
      <c r="M20" s="7">
        <v>11</v>
      </c>
      <c r="N20" s="7">
        <v>12</v>
      </c>
      <c r="O20" s="7">
        <v>13</v>
      </c>
      <c r="P20" s="7">
        <v>14</v>
      </c>
      <c r="Q20" s="7">
        <v>15</v>
      </c>
      <c r="R20" s="7">
        <v>16</v>
      </c>
      <c r="S20" s="7">
        <v>17</v>
      </c>
      <c r="T20" s="7">
        <v>18</v>
      </c>
      <c r="U20" s="7">
        <v>19</v>
      </c>
      <c r="V20" s="7">
        <v>20</v>
      </c>
      <c r="W20" s="7">
        <v>21</v>
      </c>
      <c r="X20" s="7">
        <v>22</v>
      </c>
      <c r="Y20" s="7">
        <v>23</v>
      </c>
      <c r="Z20" s="7">
        <v>24</v>
      </c>
      <c r="AA20" s="7">
        <v>25</v>
      </c>
      <c r="AB20" s="7">
        <v>26</v>
      </c>
      <c r="AC20" s="7">
        <v>27</v>
      </c>
      <c r="AD20" s="7">
        <v>28</v>
      </c>
      <c r="AE20" s="7">
        <v>29</v>
      </c>
      <c r="AF20" s="7">
        <v>30</v>
      </c>
      <c r="AG20" s="7">
        <v>31</v>
      </c>
      <c r="AH20" s="32">
        <f>COUNTIF($C21:$AG21,"T")</f>
        <v>0</v>
      </c>
      <c r="AI20" s="31">
        <f>COUNTIF($C21:$AG21,"U")</f>
        <v>0</v>
      </c>
      <c r="AJ20" s="31">
        <f>COUNTIF($C21:$AG21,"E")</f>
        <v>0</v>
      </c>
      <c r="AK20" s="31">
        <f>COUNTIF($C21:$AG21,"P")</f>
        <v>0</v>
      </c>
    </row>
    <row r="21" spans="2:37" s="11" customFormat="1" ht="30" customHeight="1" x14ac:dyDescent="0.25">
      <c r="B21" s="19"/>
      <c r="C21" s="8"/>
      <c r="D21" s="9"/>
      <c r="E21" s="9"/>
      <c r="F21" s="8"/>
      <c r="G21" s="8"/>
      <c r="H21" s="8"/>
      <c r="I21" s="8"/>
      <c r="J21" s="8"/>
      <c r="K21" s="9"/>
      <c r="L21" s="9"/>
      <c r="M21" s="8"/>
      <c r="N21" s="8"/>
      <c r="O21" s="13"/>
      <c r="P21" s="13"/>
      <c r="Q21" s="13"/>
      <c r="R21" s="14"/>
      <c r="S21" s="14"/>
      <c r="T21" s="13"/>
      <c r="U21" s="8"/>
      <c r="V21" s="13"/>
      <c r="W21" s="13"/>
      <c r="X21" s="8"/>
      <c r="Y21" s="9"/>
      <c r="Z21" s="14"/>
      <c r="AA21" s="13"/>
      <c r="AB21" s="8"/>
      <c r="AC21" s="8"/>
      <c r="AD21" s="8"/>
      <c r="AE21" s="8"/>
      <c r="AF21" s="9"/>
      <c r="AG21" s="9"/>
      <c r="AH21" s="32"/>
      <c r="AI21" s="31"/>
      <c r="AJ21" s="31"/>
      <c r="AK21" s="31"/>
    </row>
    <row r="22" spans="2:37" s="11" customFormat="1" ht="30" customHeight="1" x14ac:dyDescent="0.25">
      <c r="B22" s="19" t="s">
        <v>10</v>
      </c>
      <c r="C22" s="7">
        <v>1</v>
      </c>
      <c r="D22" s="7">
        <v>2</v>
      </c>
      <c r="E22" s="7">
        <v>3</v>
      </c>
      <c r="F22" s="7">
        <v>4</v>
      </c>
      <c r="G22" s="7">
        <v>5</v>
      </c>
      <c r="H22" s="7">
        <v>6</v>
      </c>
      <c r="I22" s="7">
        <v>7</v>
      </c>
      <c r="J22" s="7">
        <v>8</v>
      </c>
      <c r="K22" s="7">
        <v>9</v>
      </c>
      <c r="L22" s="7">
        <v>10</v>
      </c>
      <c r="M22" s="7">
        <v>11</v>
      </c>
      <c r="N22" s="7">
        <v>12</v>
      </c>
      <c r="O22" s="7">
        <v>13</v>
      </c>
      <c r="P22" s="7">
        <v>14</v>
      </c>
      <c r="Q22" s="7">
        <v>15</v>
      </c>
      <c r="R22" s="7">
        <v>16</v>
      </c>
      <c r="S22" s="7">
        <v>17</v>
      </c>
      <c r="T22" s="7">
        <v>18</v>
      </c>
      <c r="U22" s="7">
        <v>19</v>
      </c>
      <c r="V22" s="7">
        <v>20</v>
      </c>
      <c r="W22" s="7">
        <v>21</v>
      </c>
      <c r="X22" s="7">
        <v>22</v>
      </c>
      <c r="Y22" s="7">
        <v>23</v>
      </c>
      <c r="Z22" s="7">
        <v>24</v>
      </c>
      <c r="AA22" s="7">
        <v>25</v>
      </c>
      <c r="AB22" s="7">
        <v>26</v>
      </c>
      <c r="AC22" s="7">
        <v>27</v>
      </c>
      <c r="AD22" s="7">
        <v>28</v>
      </c>
      <c r="AE22" s="7">
        <v>29</v>
      </c>
      <c r="AF22" s="7">
        <v>30</v>
      </c>
      <c r="AG22" s="7">
        <v>31</v>
      </c>
      <c r="AH22" s="32">
        <f>COUNTIF($C23:$AG23,"T")</f>
        <v>0</v>
      </c>
      <c r="AI22" s="31">
        <f>COUNTIF($C23:$AG23,"U")</f>
        <v>0</v>
      </c>
      <c r="AJ22" s="31">
        <f>COUNTIF($C23:$AG23,"E")</f>
        <v>0</v>
      </c>
      <c r="AK22" s="31">
        <f>COUNTIF($C23:$AG23,"P")</f>
        <v>0</v>
      </c>
    </row>
    <row r="23" spans="2:37" s="11" customFormat="1" ht="30" customHeight="1" x14ac:dyDescent="0.25">
      <c r="B23" s="19"/>
      <c r="C23" s="8"/>
      <c r="D23" s="8"/>
      <c r="E23" s="8"/>
      <c r="F23" s="8"/>
      <c r="G23" s="8"/>
      <c r="H23" s="9"/>
      <c r="I23" s="9"/>
      <c r="J23" s="8"/>
      <c r="K23" s="8"/>
      <c r="L23" s="8"/>
      <c r="M23" s="8"/>
      <c r="N23" s="13"/>
      <c r="O23" s="9"/>
      <c r="P23" s="9"/>
      <c r="Q23" s="8"/>
      <c r="R23" s="8"/>
      <c r="S23" s="8"/>
      <c r="T23" s="8"/>
      <c r="U23" s="8"/>
      <c r="V23" s="14"/>
      <c r="W23" s="9"/>
      <c r="X23" s="13"/>
      <c r="Y23" s="13"/>
      <c r="Z23" s="8"/>
      <c r="AA23" s="13"/>
      <c r="AB23" s="8"/>
      <c r="AC23" s="9"/>
      <c r="AD23" s="9"/>
      <c r="AE23" s="8"/>
      <c r="AF23" s="8"/>
      <c r="AG23" s="8"/>
      <c r="AH23" s="32"/>
      <c r="AI23" s="31"/>
      <c r="AJ23" s="31"/>
      <c r="AK23" s="31"/>
    </row>
    <row r="24" spans="2:37" s="11" customFormat="1" ht="30" customHeight="1" x14ac:dyDescent="0.25">
      <c r="B24" s="19" t="s">
        <v>11</v>
      </c>
      <c r="C24" s="7">
        <v>1</v>
      </c>
      <c r="D24" s="7">
        <v>2</v>
      </c>
      <c r="E24" s="7">
        <v>3</v>
      </c>
      <c r="F24" s="7">
        <v>4</v>
      </c>
      <c r="G24" s="7">
        <v>5</v>
      </c>
      <c r="H24" s="7">
        <v>6</v>
      </c>
      <c r="I24" s="7">
        <v>7</v>
      </c>
      <c r="J24" s="7">
        <v>8</v>
      </c>
      <c r="K24" s="7">
        <v>9</v>
      </c>
      <c r="L24" s="7">
        <v>10</v>
      </c>
      <c r="M24" s="7">
        <v>11</v>
      </c>
      <c r="N24" s="7">
        <v>12</v>
      </c>
      <c r="O24" s="7">
        <v>13</v>
      </c>
      <c r="P24" s="7">
        <v>14</v>
      </c>
      <c r="Q24" s="7">
        <v>15</v>
      </c>
      <c r="R24" s="7">
        <v>16</v>
      </c>
      <c r="S24" s="7">
        <v>17</v>
      </c>
      <c r="T24" s="7">
        <v>18</v>
      </c>
      <c r="U24" s="7">
        <v>19</v>
      </c>
      <c r="V24" s="7">
        <v>20</v>
      </c>
      <c r="W24" s="7">
        <v>21</v>
      </c>
      <c r="X24" s="7">
        <v>22</v>
      </c>
      <c r="Y24" s="7">
        <v>23</v>
      </c>
      <c r="Z24" s="7">
        <v>24</v>
      </c>
      <c r="AA24" s="7">
        <v>25</v>
      </c>
      <c r="AB24" s="7">
        <v>26</v>
      </c>
      <c r="AC24" s="7">
        <v>27</v>
      </c>
      <c r="AD24" s="7">
        <v>28</v>
      </c>
      <c r="AE24" s="7"/>
      <c r="AF24" s="7"/>
      <c r="AG24" s="7"/>
      <c r="AH24" s="32">
        <f>COUNTIF($C25:$AD25,"T")</f>
        <v>0</v>
      </c>
      <c r="AI24" s="31">
        <f>COUNTIF($C25:$AD25,"U")</f>
        <v>0</v>
      </c>
      <c r="AJ24" s="31">
        <f>COUNTIF($C25:$AD25,"E")</f>
        <v>0</v>
      </c>
      <c r="AK24" s="31">
        <f>COUNTIF($C25:$AD25,"P")</f>
        <v>0</v>
      </c>
    </row>
    <row r="25" spans="2:37" s="11" customFormat="1" ht="30" customHeight="1" x14ac:dyDescent="0.25">
      <c r="B25" s="19"/>
      <c r="C25" s="13"/>
      <c r="D25" s="8"/>
      <c r="E25" s="14"/>
      <c r="F25" s="9"/>
      <c r="G25" s="8"/>
      <c r="H25" s="8"/>
      <c r="I25" s="13"/>
      <c r="J25" s="13"/>
      <c r="K25" s="8"/>
      <c r="L25" s="9"/>
      <c r="M25" s="9"/>
      <c r="N25" s="13"/>
      <c r="O25" s="8"/>
      <c r="P25" s="8"/>
      <c r="Q25" s="8"/>
      <c r="R25" s="8"/>
      <c r="S25" s="9"/>
      <c r="T25" s="9"/>
      <c r="U25" s="8"/>
      <c r="V25" s="8"/>
      <c r="W25" s="8"/>
      <c r="X25" s="13"/>
      <c r="Y25" s="8"/>
      <c r="Z25" s="9"/>
      <c r="AA25" s="9"/>
      <c r="AB25" s="8"/>
      <c r="AC25" s="13"/>
      <c r="AD25" s="13"/>
      <c r="AE25" s="15"/>
      <c r="AF25" s="15"/>
      <c r="AG25" s="10"/>
      <c r="AH25" s="32"/>
      <c r="AI25" s="31"/>
      <c r="AJ25" s="31"/>
      <c r="AK25" s="31"/>
    </row>
    <row r="26" spans="2:37" s="11" customFormat="1" ht="30" customHeight="1" x14ac:dyDescent="0.25">
      <c r="B26" s="19" t="s">
        <v>12</v>
      </c>
      <c r="C26" s="7">
        <v>1</v>
      </c>
      <c r="D26" s="7">
        <v>2</v>
      </c>
      <c r="E26" s="7">
        <v>3</v>
      </c>
      <c r="F26" s="7">
        <v>4</v>
      </c>
      <c r="G26" s="7">
        <v>5</v>
      </c>
      <c r="H26" s="7">
        <v>6</v>
      </c>
      <c r="I26" s="7">
        <v>7</v>
      </c>
      <c r="J26" s="7">
        <v>8</v>
      </c>
      <c r="K26" s="7">
        <v>9</v>
      </c>
      <c r="L26" s="7">
        <v>10</v>
      </c>
      <c r="M26" s="7">
        <v>11</v>
      </c>
      <c r="N26" s="7">
        <v>12</v>
      </c>
      <c r="O26" s="7">
        <v>13</v>
      </c>
      <c r="P26" s="7">
        <v>14</v>
      </c>
      <c r="Q26" s="7">
        <v>15</v>
      </c>
      <c r="R26" s="7">
        <v>16</v>
      </c>
      <c r="S26" s="7">
        <v>17</v>
      </c>
      <c r="T26" s="7">
        <v>18</v>
      </c>
      <c r="U26" s="7">
        <v>19</v>
      </c>
      <c r="V26" s="7">
        <v>20</v>
      </c>
      <c r="W26" s="7">
        <v>21</v>
      </c>
      <c r="X26" s="7">
        <v>22</v>
      </c>
      <c r="Y26" s="7">
        <v>23</v>
      </c>
      <c r="Z26" s="7">
        <v>24</v>
      </c>
      <c r="AA26" s="7">
        <v>25</v>
      </c>
      <c r="AB26" s="7">
        <v>26</v>
      </c>
      <c r="AC26" s="7">
        <v>27</v>
      </c>
      <c r="AD26" s="7">
        <v>28</v>
      </c>
      <c r="AE26" s="7">
        <v>29</v>
      </c>
      <c r="AF26" s="7">
        <v>30</v>
      </c>
      <c r="AG26" s="7">
        <v>31</v>
      </c>
      <c r="AH26" s="32">
        <f>COUNTIF($C27:$AG27,"T")</f>
        <v>0</v>
      </c>
      <c r="AI26" s="31">
        <f>COUNTIF($C27:$AG27,"U")</f>
        <v>0</v>
      </c>
      <c r="AJ26" s="31">
        <f>COUNTIF($C27:$AG27,"E")</f>
        <v>0</v>
      </c>
      <c r="AK26" s="31">
        <f>COUNTIF($C27:$AG27,"P")</f>
        <v>0</v>
      </c>
    </row>
    <row r="27" spans="2:37" s="11" customFormat="1" ht="30" customHeight="1" x14ac:dyDescent="0.25">
      <c r="B27" s="19"/>
      <c r="C27" s="8"/>
      <c r="D27" s="13"/>
      <c r="E27" s="9"/>
      <c r="F27" s="9"/>
      <c r="G27" s="8"/>
      <c r="H27" s="13"/>
      <c r="I27" s="8"/>
      <c r="J27" s="8"/>
      <c r="K27" s="13"/>
      <c r="L27" s="9"/>
      <c r="M27" s="9"/>
      <c r="N27" s="8"/>
      <c r="O27" s="13"/>
      <c r="P27" s="8"/>
      <c r="Q27" s="8"/>
      <c r="R27" s="8"/>
      <c r="S27" s="9"/>
      <c r="T27" s="14"/>
      <c r="U27" s="8"/>
      <c r="V27" s="8"/>
      <c r="W27" s="13"/>
      <c r="X27" s="8"/>
      <c r="Y27" s="13"/>
      <c r="Z27" s="14"/>
      <c r="AA27" s="14"/>
      <c r="AB27" s="13"/>
      <c r="AC27" s="8"/>
      <c r="AD27" s="8"/>
      <c r="AE27" s="8"/>
      <c r="AF27" s="13"/>
      <c r="AG27" s="9"/>
      <c r="AH27" s="32"/>
      <c r="AI27" s="31"/>
      <c r="AJ27" s="31"/>
      <c r="AK27" s="31"/>
    </row>
    <row r="28" spans="2:37" s="11" customFormat="1" ht="30" customHeight="1" x14ac:dyDescent="0.25">
      <c r="B28" s="19" t="s">
        <v>13</v>
      </c>
      <c r="C28" s="7">
        <v>1</v>
      </c>
      <c r="D28" s="7">
        <v>2</v>
      </c>
      <c r="E28" s="7">
        <v>3</v>
      </c>
      <c r="F28" s="7">
        <v>4</v>
      </c>
      <c r="G28" s="7">
        <v>5</v>
      </c>
      <c r="H28" s="7">
        <v>6</v>
      </c>
      <c r="I28" s="7">
        <v>7</v>
      </c>
      <c r="J28" s="7">
        <v>8</v>
      </c>
      <c r="K28" s="7">
        <v>9</v>
      </c>
      <c r="L28" s="7">
        <v>10</v>
      </c>
      <c r="M28" s="7">
        <v>11</v>
      </c>
      <c r="N28" s="7">
        <v>12</v>
      </c>
      <c r="O28" s="7">
        <v>13</v>
      </c>
      <c r="P28" s="7">
        <v>14</v>
      </c>
      <c r="Q28" s="7">
        <v>15</v>
      </c>
      <c r="R28" s="7">
        <v>16</v>
      </c>
      <c r="S28" s="7">
        <v>17</v>
      </c>
      <c r="T28" s="7">
        <v>18</v>
      </c>
      <c r="U28" s="7">
        <v>19</v>
      </c>
      <c r="V28" s="7">
        <v>20</v>
      </c>
      <c r="W28" s="7">
        <v>21</v>
      </c>
      <c r="X28" s="7">
        <v>22</v>
      </c>
      <c r="Y28" s="7">
        <v>23</v>
      </c>
      <c r="Z28" s="7">
        <v>24</v>
      </c>
      <c r="AA28" s="7">
        <v>25</v>
      </c>
      <c r="AB28" s="7">
        <v>26</v>
      </c>
      <c r="AC28" s="7">
        <v>27</v>
      </c>
      <c r="AD28" s="7">
        <v>28</v>
      </c>
      <c r="AE28" s="7">
        <v>29</v>
      </c>
      <c r="AF28" s="7">
        <v>30</v>
      </c>
      <c r="AG28" s="7"/>
      <c r="AH28" s="32">
        <f>COUNTIF($C29:$AF29,"T")</f>
        <v>0</v>
      </c>
      <c r="AI28" s="31">
        <f>COUNTIF($C29:$AF29,"U")</f>
        <v>0</v>
      </c>
      <c r="AJ28" s="31">
        <f>COUNTIF($C29:$AF29,"E")</f>
        <v>0</v>
      </c>
      <c r="AK28" s="31">
        <f>COUNTIF($C29:$AF29,"P")</f>
        <v>0</v>
      </c>
    </row>
    <row r="29" spans="2:37" s="11" customFormat="1" ht="30" customHeight="1" x14ac:dyDescent="0.25">
      <c r="B29" s="19"/>
      <c r="C29" s="9"/>
      <c r="D29" s="8"/>
      <c r="E29" s="8"/>
      <c r="F29" s="8"/>
      <c r="G29" s="8"/>
      <c r="H29" s="8"/>
      <c r="I29" s="9"/>
      <c r="J29" s="9"/>
      <c r="K29" s="8"/>
      <c r="L29" s="8"/>
      <c r="M29" s="8"/>
      <c r="N29" s="8"/>
      <c r="O29" s="8"/>
      <c r="P29" s="9"/>
      <c r="Q29" s="9"/>
      <c r="R29" s="8"/>
      <c r="S29" s="8"/>
      <c r="T29" s="8"/>
      <c r="U29" s="8"/>
      <c r="V29" s="8"/>
      <c r="W29" s="9"/>
      <c r="X29" s="9"/>
      <c r="Y29" s="8"/>
      <c r="Z29" s="8"/>
      <c r="AA29" s="8"/>
      <c r="AB29" s="8"/>
      <c r="AC29" s="8"/>
      <c r="AD29" s="9"/>
      <c r="AE29" s="9"/>
      <c r="AF29" s="8"/>
      <c r="AG29" s="10"/>
      <c r="AH29" s="32"/>
      <c r="AI29" s="31"/>
      <c r="AJ29" s="31"/>
      <c r="AK29" s="31"/>
    </row>
    <row r="30" spans="2:37" s="11" customFormat="1" ht="30" customHeight="1" x14ac:dyDescent="0.25">
      <c r="B30" s="19" t="s">
        <v>14</v>
      </c>
      <c r="C30" s="7">
        <v>1</v>
      </c>
      <c r="D30" s="7">
        <v>2</v>
      </c>
      <c r="E30" s="7">
        <v>3</v>
      </c>
      <c r="F30" s="7">
        <v>4</v>
      </c>
      <c r="G30" s="7">
        <v>5</v>
      </c>
      <c r="H30" s="7">
        <v>6</v>
      </c>
      <c r="I30" s="7">
        <v>7</v>
      </c>
      <c r="J30" s="7">
        <v>8</v>
      </c>
      <c r="K30" s="7">
        <v>9</v>
      </c>
      <c r="L30" s="7">
        <v>10</v>
      </c>
      <c r="M30" s="7">
        <v>11</v>
      </c>
      <c r="N30" s="7">
        <v>12</v>
      </c>
      <c r="O30" s="7">
        <v>13</v>
      </c>
      <c r="P30" s="7">
        <v>14</v>
      </c>
      <c r="Q30" s="7">
        <v>15</v>
      </c>
      <c r="R30" s="7">
        <v>16</v>
      </c>
      <c r="S30" s="7">
        <v>17</v>
      </c>
      <c r="T30" s="7">
        <v>18</v>
      </c>
      <c r="U30" s="7">
        <v>19</v>
      </c>
      <c r="V30" s="7">
        <v>20</v>
      </c>
      <c r="W30" s="7">
        <v>21</v>
      </c>
      <c r="X30" s="7">
        <v>22</v>
      </c>
      <c r="Y30" s="7">
        <v>23</v>
      </c>
      <c r="Z30" s="7">
        <v>24</v>
      </c>
      <c r="AA30" s="7">
        <v>25</v>
      </c>
      <c r="AB30" s="7">
        <v>26</v>
      </c>
      <c r="AC30" s="7">
        <v>27</v>
      </c>
      <c r="AD30" s="7">
        <v>28</v>
      </c>
      <c r="AE30" s="7">
        <v>29</v>
      </c>
      <c r="AF30" s="7">
        <v>30</v>
      </c>
      <c r="AG30" s="7">
        <v>31</v>
      </c>
      <c r="AH30" s="32">
        <f>COUNTIF($C31:$AG31,"T")</f>
        <v>0</v>
      </c>
      <c r="AI30" s="31">
        <f>COUNTIF($C31:$AG31,"U")</f>
        <v>0</v>
      </c>
      <c r="AJ30" s="31">
        <f>COUNTIF($C31:$AG31,"E")</f>
        <v>0</v>
      </c>
      <c r="AK30" s="31">
        <f>COUNTIF($C31:$AG31,"P")</f>
        <v>0</v>
      </c>
    </row>
    <row r="31" spans="2:37" s="11" customFormat="1" ht="30" customHeight="1" x14ac:dyDescent="0.25">
      <c r="B31" s="19"/>
      <c r="C31" s="8"/>
      <c r="D31" s="8"/>
      <c r="E31" s="8"/>
      <c r="F31" s="8"/>
      <c r="G31" s="9"/>
      <c r="H31" s="9"/>
      <c r="I31" s="8"/>
      <c r="J31" s="8"/>
      <c r="K31" s="8"/>
      <c r="L31" s="8"/>
      <c r="M31" s="8"/>
      <c r="N31" s="9"/>
      <c r="O31" s="9"/>
      <c r="P31" s="8"/>
      <c r="Q31" s="8"/>
      <c r="R31" s="8"/>
      <c r="S31" s="8"/>
      <c r="T31" s="8"/>
      <c r="U31" s="9"/>
      <c r="V31" s="9"/>
      <c r="W31" s="8"/>
      <c r="X31" s="8"/>
      <c r="Y31" s="8"/>
      <c r="Z31" s="8"/>
      <c r="AA31" s="8"/>
      <c r="AB31" s="9"/>
      <c r="AC31" s="9"/>
      <c r="AD31" s="8"/>
      <c r="AE31" s="8"/>
      <c r="AF31" s="8"/>
      <c r="AG31" s="8"/>
      <c r="AH31" s="32"/>
      <c r="AI31" s="31"/>
      <c r="AJ31" s="31"/>
      <c r="AK31" s="31"/>
    </row>
    <row r="32" spans="2:37" s="11" customFormat="1" ht="30" customHeight="1" x14ac:dyDescent="0.25">
      <c r="B32" s="19" t="s">
        <v>15</v>
      </c>
      <c r="C32" s="7">
        <v>1</v>
      </c>
      <c r="D32" s="7">
        <v>2</v>
      </c>
      <c r="E32" s="7">
        <v>3</v>
      </c>
      <c r="F32" s="7">
        <v>4</v>
      </c>
      <c r="G32" s="7">
        <v>5</v>
      </c>
      <c r="H32" s="7">
        <v>6</v>
      </c>
      <c r="I32" s="7">
        <v>7</v>
      </c>
      <c r="J32" s="7">
        <v>8</v>
      </c>
      <c r="K32" s="7">
        <v>9</v>
      </c>
      <c r="L32" s="7">
        <v>10</v>
      </c>
      <c r="M32" s="7">
        <v>11</v>
      </c>
      <c r="N32" s="7">
        <v>12</v>
      </c>
      <c r="O32" s="7">
        <v>13</v>
      </c>
      <c r="P32" s="7">
        <v>14</v>
      </c>
      <c r="Q32" s="7">
        <v>15</v>
      </c>
      <c r="R32" s="7">
        <v>16</v>
      </c>
      <c r="S32" s="7">
        <v>17</v>
      </c>
      <c r="T32" s="7">
        <v>18</v>
      </c>
      <c r="U32" s="7">
        <v>19</v>
      </c>
      <c r="V32" s="7">
        <v>20</v>
      </c>
      <c r="W32" s="7">
        <v>21</v>
      </c>
      <c r="X32" s="7">
        <v>22</v>
      </c>
      <c r="Y32" s="7">
        <v>23</v>
      </c>
      <c r="Z32" s="7">
        <v>24</v>
      </c>
      <c r="AA32" s="7">
        <v>25</v>
      </c>
      <c r="AB32" s="7">
        <v>26</v>
      </c>
      <c r="AC32" s="7">
        <v>27</v>
      </c>
      <c r="AD32" s="7">
        <v>28</v>
      </c>
      <c r="AE32" s="7">
        <v>29</v>
      </c>
      <c r="AF32" s="7">
        <v>30</v>
      </c>
      <c r="AG32" s="7"/>
      <c r="AH32" s="32">
        <f>COUNTIF($C33:$AF33,"T")</f>
        <v>0</v>
      </c>
      <c r="AI32" s="31">
        <f>COUNTIF($C33:$AF33,"U")</f>
        <v>0</v>
      </c>
      <c r="AJ32" s="31">
        <f>COUNTIF($C33:$AF33,"E")</f>
        <v>0</v>
      </c>
      <c r="AK32" s="31">
        <f>COUNTIF($C33:$AF33,"P")</f>
        <v>0</v>
      </c>
    </row>
    <row r="33" spans="2:37" s="11" customFormat="1" ht="30" customHeight="1" x14ac:dyDescent="0.25">
      <c r="B33" s="19"/>
      <c r="C33" s="8"/>
      <c r="D33" s="9"/>
      <c r="E33" s="9"/>
      <c r="F33" s="8"/>
      <c r="G33" s="8"/>
      <c r="H33" s="8"/>
      <c r="I33" s="8"/>
      <c r="J33" s="13"/>
      <c r="K33" s="9"/>
      <c r="L33" s="14"/>
      <c r="M33" s="8"/>
      <c r="N33" s="13"/>
      <c r="O33" s="13"/>
      <c r="P33" s="13"/>
      <c r="Q33" s="8"/>
      <c r="R33" s="14"/>
      <c r="S33" s="9"/>
      <c r="T33" s="8"/>
      <c r="U33" s="13"/>
      <c r="V33" s="8"/>
      <c r="W33" s="13"/>
      <c r="X33" s="8"/>
      <c r="Y33" s="9"/>
      <c r="Z33" s="14"/>
      <c r="AA33" s="8"/>
      <c r="AB33" s="8"/>
      <c r="AC33" s="8"/>
      <c r="AD33" s="13"/>
      <c r="AE33" s="8"/>
      <c r="AF33" s="9"/>
      <c r="AG33" s="15"/>
      <c r="AH33" s="32"/>
      <c r="AI33" s="31"/>
      <c r="AJ33" s="31"/>
      <c r="AK33" s="31"/>
    </row>
    <row r="34" spans="2:37" s="11" customFormat="1" ht="30" customHeight="1" x14ac:dyDescent="0.25">
      <c r="B34" s="19" t="s">
        <v>16</v>
      </c>
      <c r="C34" s="7">
        <v>1</v>
      </c>
      <c r="D34" s="7">
        <v>2</v>
      </c>
      <c r="E34" s="7">
        <v>3</v>
      </c>
      <c r="F34" s="7">
        <v>4</v>
      </c>
      <c r="G34" s="7">
        <v>5</v>
      </c>
      <c r="H34" s="7">
        <v>6</v>
      </c>
      <c r="I34" s="7">
        <v>7</v>
      </c>
      <c r="J34" s="7">
        <v>8</v>
      </c>
      <c r="K34" s="7">
        <v>9</v>
      </c>
      <c r="L34" s="7">
        <v>10</v>
      </c>
      <c r="M34" s="7">
        <v>11</v>
      </c>
      <c r="N34" s="7">
        <v>12</v>
      </c>
      <c r="O34" s="7">
        <v>13</v>
      </c>
      <c r="P34" s="7">
        <v>14</v>
      </c>
      <c r="Q34" s="7">
        <v>15</v>
      </c>
      <c r="R34" s="7">
        <v>16</v>
      </c>
      <c r="S34" s="7">
        <v>17</v>
      </c>
      <c r="T34" s="7">
        <v>18</v>
      </c>
      <c r="U34" s="7">
        <v>19</v>
      </c>
      <c r="V34" s="7">
        <v>20</v>
      </c>
      <c r="W34" s="7">
        <v>21</v>
      </c>
      <c r="X34" s="7">
        <v>22</v>
      </c>
      <c r="Y34" s="7">
        <v>23</v>
      </c>
      <c r="Z34" s="7">
        <v>24</v>
      </c>
      <c r="AA34" s="7">
        <v>25</v>
      </c>
      <c r="AB34" s="7">
        <v>26</v>
      </c>
      <c r="AC34" s="7">
        <v>27</v>
      </c>
      <c r="AD34" s="7">
        <v>28</v>
      </c>
      <c r="AE34" s="7">
        <v>29</v>
      </c>
      <c r="AF34" s="7">
        <v>30</v>
      </c>
      <c r="AG34" s="7">
        <v>31</v>
      </c>
      <c r="AH34" s="32">
        <f>COUNTIF($C35:$AG35,"T")</f>
        <v>0</v>
      </c>
      <c r="AI34" s="31">
        <f>COUNTIF($C35:$AG35,"U")</f>
        <v>0</v>
      </c>
      <c r="AJ34" s="31">
        <f>COUNTIF($C35:$AG35,"E")</f>
        <v>0</v>
      </c>
      <c r="AK34" s="31">
        <f>COUNTIF($C35:$AG35,"P")</f>
        <v>0</v>
      </c>
    </row>
    <row r="35" spans="2:37" s="11" customFormat="1" ht="30" customHeight="1" x14ac:dyDescent="0.25">
      <c r="B35" s="19"/>
      <c r="C35" s="9"/>
      <c r="D35" s="8"/>
      <c r="E35" s="8"/>
      <c r="F35" s="8"/>
      <c r="G35" s="8"/>
      <c r="H35" s="8"/>
      <c r="I35" s="9"/>
      <c r="J35" s="9"/>
      <c r="K35" s="13"/>
      <c r="L35" s="8"/>
      <c r="M35" s="13"/>
      <c r="N35" s="8"/>
      <c r="O35" s="13"/>
      <c r="P35" s="9"/>
      <c r="Q35" s="14"/>
      <c r="R35" s="8"/>
      <c r="S35" s="13"/>
      <c r="T35" s="8"/>
      <c r="U35" s="8"/>
      <c r="V35" s="8"/>
      <c r="W35" s="9"/>
      <c r="X35" s="14"/>
      <c r="Y35" s="13"/>
      <c r="Z35" s="8"/>
      <c r="AA35" s="13"/>
      <c r="AB35" s="8"/>
      <c r="AC35" s="13"/>
      <c r="AD35" s="9"/>
      <c r="AE35" s="14"/>
      <c r="AF35" s="13"/>
      <c r="AG35" s="13"/>
      <c r="AH35" s="32"/>
      <c r="AI35" s="31"/>
      <c r="AJ35" s="31"/>
      <c r="AK35" s="31"/>
    </row>
    <row r="36" spans="2:37" s="11" customFormat="1" ht="30" customHeight="1" x14ac:dyDescent="0.25">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35" t="s">
        <v>26</v>
      </c>
      <c r="AF36" s="35"/>
      <c r="AG36" s="35"/>
      <c r="AH36" s="6">
        <f>SUM(AH12:AH35)</f>
        <v>0</v>
      </c>
      <c r="AI36" s="6">
        <f>SUM(AI12:AI35)</f>
        <v>0</v>
      </c>
      <c r="AJ36" s="6">
        <f>SUM(AJ12:AJ35)</f>
        <v>0</v>
      </c>
      <c r="AK36" s="6">
        <f>SUM(AK12:AK35)</f>
        <v>0</v>
      </c>
    </row>
  </sheetData>
  <sheetProtection formatCells="0" formatColumns="0" formatRows="0" insertColumns="0" insertRows="0" insertHyperlinks="0" deleteColumns="0" deleteRows="0" selectLockedCells="1" sort="0" autoFilter="0" pivotTables="0"/>
  <mergeCells count="103">
    <mergeCell ref="B1:M1"/>
    <mergeCell ref="AE36:AG36"/>
    <mergeCell ref="B10:AG11"/>
    <mergeCell ref="AE9:AK9"/>
    <mergeCell ref="AI32:AI33"/>
    <mergeCell ref="AJ32:AJ33"/>
    <mergeCell ref="AK28:AK29"/>
    <mergeCell ref="AK30:AK31"/>
    <mergeCell ref="AJ30:AJ31"/>
    <mergeCell ref="AH32:AH33"/>
    <mergeCell ref="AH30:AH31"/>
    <mergeCell ref="AK26:AK27"/>
    <mergeCell ref="AJ26:AJ27"/>
    <mergeCell ref="AI26:AI27"/>
    <mergeCell ref="B20:B21"/>
    <mergeCell ref="B22:B23"/>
    <mergeCell ref="B24:B25"/>
    <mergeCell ref="B26:B27"/>
    <mergeCell ref="B28:B29"/>
    <mergeCell ref="B30:B31"/>
    <mergeCell ref="B14:B15"/>
    <mergeCell ref="AE8:AK8"/>
    <mergeCell ref="K9:V9"/>
    <mergeCell ref="AK32:AK33"/>
    <mergeCell ref="AK34:AK35"/>
    <mergeCell ref="AJ34:AJ35"/>
    <mergeCell ref="AI34:AI35"/>
    <mergeCell ref="AI30:AI31"/>
    <mergeCell ref="AH26:AH27"/>
    <mergeCell ref="AH28:AH29"/>
    <mergeCell ref="AI28:AI29"/>
    <mergeCell ref="AH34:AH35"/>
    <mergeCell ref="AI12:AI13"/>
    <mergeCell ref="AJ12:AJ13"/>
    <mergeCell ref="AI16:AI17"/>
    <mergeCell ref="AJ16:AJ17"/>
    <mergeCell ref="AI20:AI21"/>
    <mergeCell ref="AJ20:AJ21"/>
    <mergeCell ref="AJ28:AJ29"/>
    <mergeCell ref="AH20:AH21"/>
    <mergeCell ref="AH22:AH23"/>
    <mergeCell ref="AH24:AH25"/>
    <mergeCell ref="P3:R3"/>
    <mergeCell ref="AH3:AJ3"/>
    <mergeCell ref="AE2:AG2"/>
    <mergeCell ref="AK12:AK13"/>
    <mergeCell ref="AK14:AK15"/>
    <mergeCell ref="AJ14:AJ15"/>
    <mergeCell ref="AI14:AI15"/>
    <mergeCell ref="B32:B33"/>
    <mergeCell ref="B34:B35"/>
    <mergeCell ref="AH12:AH13"/>
    <mergeCell ref="AH14:AH15"/>
    <mergeCell ref="AH16:AH17"/>
    <mergeCell ref="AH18:AH19"/>
    <mergeCell ref="AK20:AK21"/>
    <mergeCell ref="AK22:AK23"/>
    <mergeCell ref="AJ22:AJ23"/>
    <mergeCell ref="AI22:AI23"/>
    <mergeCell ref="AK16:AK17"/>
    <mergeCell ref="AK18:AK19"/>
    <mergeCell ref="AJ18:AJ19"/>
    <mergeCell ref="AI18:AI19"/>
    <mergeCell ref="AI24:AI25"/>
    <mergeCell ref="AJ24:AJ25"/>
    <mergeCell ref="AK24:AK25"/>
    <mergeCell ref="W9:AD9"/>
    <mergeCell ref="W7:AD7"/>
    <mergeCell ref="B8:J8"/>
    <mergeCell ref="W8:AD8"/>
    <mergeCell ref="B7:J7"/>
    <mergeCell ref="K7:V7"/>
    <mergeCell ref="K8:V8"/>
    <mergeCell ref="K4:V4"/>
    <mergeCell ref="K5:V5"/>
    <mergeCell ref="K6:V6"/>
    <mergeCell ref="W6:AD6"/>
    <mergeCell ref="W5:AD5"/>
    <mergeCell ref="W4:AD4"/>
    <mergeCell ref="N1:AK1"/>
    <mergeCell ref="AE3:AG3"/>
    <mergeCell ref="B16:B17"/>
    <mergeCell ref="B18:B19"/>
    <mergeCell ref="K2:O2"/>
    <mergeCell ref="K3:O3"/>
    <mergeCell ref="B2:J2"/>
    <mergeCell ref="AH2:AJ2"/>
    <mergeCell ref="B3:J3"/>
    <mergeCell ref="W2:AD2"/>
    <mergeCell ref="W3:AD3"/>
    <mergeCell ref="P2:R2"/>
    <mergeCell ref="B12:B13"/>
    <mergeCell ref="B9:J9"/>
    <mergeCell ref="AH10:AK10"/>
    <mergeCell ref="AE7:AK7"/>
    <mergeCell ref="AE5:AK5"/>
    <mergeCell ref="AE6:AK6"/>
    <mergeCell ref="AE4:AK4"/>
    <mergeCell ref="S2:V2"/>
    <mergeCell ref="B4:J4"/>
    <mergeCell ref="B6:J6"/>
    <mergeCell ref="S3:V3"/>
    <mergeCell ref="B5:J5"/>
  </mergeCells>
  <phoneticPr fontId="2" type="noConversion"/>
  <dataValidations count="54">
    <dataValidation type="textLength" operator="greaterThanOrEqual" showInputMessage="1" showErrorMessage="1" sqref="D13:E13 AF23 V25:W25 J13 Q13 X13 AE13 G15 N15 U15 AB15 E17 L17 S17 Z17 P19 AG17 I19 W19 AD19 G21 N21 U21 AB21 D23 K23 R23 Y23 H25:I25 O25:P25 AC25:AD25" xr:uid="{00000000-0002-0000-0000-000000000000}">
      <formula1>1</formula1>
    </dataValidation>
    <dataValidation allowBlank="1" showInputMessage="1" showErrorMessage="1" prompt="Cree un registro de asistencia del estudiante en esta hoja de cálculo. Escriba el año en la celda N1, información del estudiante de la celda B2 a la AE9 y la asistencia de la celda C12 a la AG35." sqref="A1" xr:uid="{00000000-0002-0000-0000-000001000000}"/>
    <dataValidation allowBlank="1" showInputMessage="1" showErrorMessage="1" prompt="El título de esta hoja de cálculo se encuentra en esta celda. Escriba los detalles de los alumnos en las celdas siguientes. Los totales de asistencia se calculan automáticamente en las celdas AH12 a AK36." sqref="B1:M1" xr:uid="{00000000-0002-0000-0000-000002000000}"/>
    <dataValidation allowBlank="1" showInputMessage="1" showErrorMessage="1" prompt="Escriba el año en esta celda." sqref="N1" xr:uid="{00000000-0002-0000-0000-000003000000}"/>
    <dataValidation allowBlank="1" showInputMessage="1" showErrorMessage="1" prompt="Escriba el nombre del alumno en la celda siguiente." sqref="B2:J2" xr:uid="{00000000-0002-0000-0000-000004000000}"/>
    <dataValidation allowBlank="1" showInputMessage="1" showErrorMessage="1" prompt="Escriba el número de Id. del estudiante en la celda siguiente." sqref="K2:O2" xr:uid="{00000000-0002-0000-0000-000005000000}"/>
    <dataValidation allowBlank="1" showInputMessage="1" showErrorMessage="1" prompt="Escriba el sexo en la celda siguiente." sqref="P2:R2" xr:uid="{00000000-0002-0000-0000-000006000000}"/>
    <dataValidation allowBlank="1" showInputMessage="1" showErrorMessage="1" prompt="Escriba la fecha de nacimiento en la celda siguiente." sqref="S2:V2" xr:uid="{00000000-0002-0000-0000-000007000000}"/>
    <dataValidation allowBlank="1" showInputMessage="1" showErrorMessage="1" prompt="Escriba el nombre de la escuela en la celda siguiente." sqref="W2:AD2" xr:uid="{00000000-0002-0000-0000-000008000000}"/>
    <dataValidation allowBlank="1" showInputMessage="1" showErrorMessage="1" prompt="Escriba la calificación en la celda siguiente." sqref="AE2:AG2" xr:uid="{00000000-0002-0000-0000-000009000000}"/>
    <dataValidation allowBlank="1" showInputMessage="1" showErrorMessage="1" prompt="Escriba el nombre del profesor en la celda siguiente." sqref="AH2:AJ2" xr:uid="{00000000-0002-0000-0000-00000A000000}"/>
    <dataValidation allowBlank="1" showInputMessage="1" showErrorMessage="1" prompt="Escriba el nombre o el número del aula en la celda siguiente." sqref="AK2" xr:uid="{00000000-0002-0000-0000-00000B000000}"/>
    <dataValidation allowBlank="1" showInputMessage="1" showErrorMessage="1" prompt="Escriba el nombre de padre, madre o tutor 2 en la celda siguiente." sqref="B6:J6" xr:uid="{00000000-0002-0000-0000-00000C000000}"/>
    <dataValidation allowBlank="1" showInputMessage="1" showErrorMessage="1" prompt="Escriba la relación en la celda siguiente" sqref="K4:V4 K6:V6 K8:V8" xr:uid="{00000000-0002-0000-0000-00000D000000}"/>
    <dataValidation allowBlank="1" showInputMessage="1" showErrorMessage="1" prompt="Escriba el número de teléfono del trabajo en la celda siguiente." sqref="W8:AD8 W4:AD4 W6:AD6" xr:uid="{00000000-0002-0000-0000-00000E000000}"/>
    <dataValidation allowBlank="1" showInputMessage="1" showErrorMessage="1" prompt="Escriba el número de teléfono particular en la celda siguiente." sqref="AE8:AK8 AE4:AK4 AE6:AK6" xr:uid="{00000000-0002-0000-0000-00000F000000}"/>
    <dataValidation allowBlank="1" showInputMessage="1" showErrorMessage="1" prompt="Escriba el nombre de la persona de contacto de emergencia en la celda siguiente." sqref="B8:J8" xr:uid="{00000000-0002-0000-0000-000010000000}"/>
    <dataValidation allowBlank="1" showInputMessage="1" showErrorMessage="1" prompt="Escriba el nombre del estudiante en esta celda y el número de Id. del estudiante, el sexo, la fecha de nacimiento, la escuela, la calificación, el profesor y el aula en las celdas de la derecha." sqref="B3:J3" xr:uid="{00000000-0002-0000-0000-000011000000}"/>
    <dataValidation allowBlank="1" showInputMessage="1" showErrorMessage="1" prompt="Escriba el número de Id. del estudiante en esta celda." sqref="K3:O3" xr:uid="{00000000-0002-0000-0000-000012000000}"/>
    <dataValidation allowBlank="1" showInputMessage="1" showErrorMessage="1" prompt="Escriba el sexo en esta celda." sqref="P3:R3" xr:uid="{00000000-0002-0000-0000-000013000000}"/>
    <dataValidation allowBlank="1" showInputMessage="1" showErrorMessage="1" prompt="Escriba la fecha de nacimiento en esta celda." sqref="S3:V3" xr:uid="{00000000-0002-0000-0000-000014000000}"/>
    <dataValidation allowBlank="1" showInputMessage="1" showErrorMessage="1" prompt="Escriba el nombre de la escuela en esta celda." sqref="W3:AD3" xr:uid="{00000000-0002-0000-0000-000015000000}"/>
    <dataValidation allowBlank="1" showInputMessage="1" showErrorMessage="1" prompt="Escriba la calificación en esta celda." sqref="AE3:AG3" xr:uid="{00000000-0002-0000-0000-000016000000}"/>
    <dataValidation allowBlank="1" showInputMessage="1" showErrorMessage="1" prompt="Escriba el nombre del profesor en esta celda." sqref="AH3:AJ3" xr:uid="{00000000-0002-0000-0000-000017000000}"/>
    <dataValidation allowBlank="1" showInputMessage="1" showErrorMessage="1" prompt="Escriba el nombre o el número del aula en esta celda." sqref="AK3" xr:uid="{00000000-0002-0000-0000-000018000000}"/>
    <dataValidation allowBlank="1" showInputMessage="1" showErrorMessage="1" prompt="Escriba el nombre de padre, madre o tutor 2 en esta celda y la relación y los números del trabajo y particular en las celdas de la derecha." sqref="B7:J7" xr:uid="{00000000-0002-0000-0000-000019000000}"/>
    <dataValidation allowBlank="1" showInputMessage="1" showErrorMessage="1" prompt="Escriba la relación en esta celda." sqref="K7:V7 K9:V9 K5:V5" xr:uid="{00000000-0002-0000-0000-00001A000000}"/>
    <dataValidation allowBlank="1" showInputMessage="1" showErrorMessage="1" prompt="Escriba el número de teléfono del trabajo en esta celda." sqref="W7:AD7 W9:AD9 W5:AD5" xr:uid="{00000000-0002-0000-0000-00001B000000}"/>
    <dataValidation allowBlank="1" showInputMessage="1" showErrorMessage="1" prompt="Escriba el número de teléfono particular en esta celda." sqref="AE7:AK7 AE5:AK5" xr:uid="{00000000-0002-0000-0000-00001C000000}"/>
    <dataValidation allowBlank="1" showInputMessage="1" showErrorMessage="1" prompt="Escriba el nombre de la persona de contacto de emergencia en esta celda y la relación y los números del trabajo y particular en las celdas de la derecha." sqref="B9:J9" xr:uid="{00000000-0002-0000-0000-00001D000000}"/>
    <dataValidation allowBlank="1" showInputMessage="1" showErrorMessage="1" prompt="Escriba el número de teléfono particular en esta celda. La leyenda de asistencia está en la celda B10." sqref="AE9:AK9" xr:uid="{00000000-0002-0000-0000-00001E000000}"/>
    <dataValidation allowBlank="1" showInputMessage="1" showErrorMessage="1" prompt="La leyenda de asistencia está en esta celda. T para tarde, U para no justificada, E para justificada y P para presente. Escriba las leyendas para cada mes y día en las celdas siguientes para marcar la asistencia de los estudiantes." sqref="B10:AG11" xr:uid="{00000000-0002-0000-0000-00001F000000}"/>
    <dataValidation allowBlank="1" showInputMessage="1" showErrorMessage="1" prompt="El mes está en esta celda. Los días del calendario están en las celdas de la derecha, de la C12 a la AG12. Escriba la leyenda de asistencia para marcar la asistencia mensual del estudiante de las celdas C13 a la AG13." sqref="B12:B13" xr:uid="{00000000-0002-0000-0000-000020000000}"/>
    <dataValidation allowBlank="1" showInputMessage="1" showErrorMessage="1" prompt="Los días del calendario están en esta fila, de las celdas C13 a la AG13. Escriba la leyenda de asistencia en las siguientes celdas." sqref="C12" xr:uid="{00000000-0002-0000-0000-000021000000}"/>
    <dataValidation allowBlank="1" showInputMessage="1" showErrorMessage="1" prompt="Escriba la leyenda de asistencia para cada día para marcar la asistencia mensual del estudiante en esta fila, de la celda C13 hasta AG13." sqref="C13" xr:uid="{00000000-0002-0000-0000-000022000000}"/>
    <dataValidation allowBlank="1" showInputMessage="1" showErrorMessage="1" prompt="Los totales de asistencia para cada leyenda se calculan automáticamente en las celdas siguientes." sqref="AH10:AK10" xr:uid="{00000000-0002-0000-0000-000023000000}"/>
    <dataValidation allowBlank="1" showInputMessage="1" showErrorMessage="1" prompt="Los totales mensuales de Tarde se calculan automáticamente en la columna con este encabezado, desde la celda AH12 a la AH34 y el total anual al final." sqref="AH11" xr:uid="{00000000-0002-0000-0000-000024000000}"/>
    <dataValidation allowBlank="1" showInputMessage="1" showErrorMessage="1" prompt="Los totales mensuales de No justificada se calculan automáticamente en la columna con este encabezado, desde la celda AI12 a la AI34 y el total anual al final." sqref="AI11" xr:uid="{00000000-0002-0000-0000-000025000000}"/>
    <dataValidation allowBlank="1" showInputMessage="1" showErrorMessage="1" prompt="Los totales mensuales de Justificada se calculan automáticamente en la columna con este encabezado, desde la celda AJ12 a la AJ34 y el total anual al final." sqref="AJ11" xr:uid="{00000000-0002-0000-0000-000026000000}"/>
    <dataValidation allowBlank="1" showInputMessage="1" showErrorMessage="1" prompt="Los totales mensuales de Presente se calculan automáticamente en la columna con este encabezado, desde la celda AK12 a la AK34 y el total anual al final." sqref="AK11" xr:uid="{00000000-0002-0000-0000-000027000000}"/>
    <dataValidation allowBlank="1" showInputMessage="1" showErrorMessage="1" prompt="El mes está en esta celda. Los días del calendario están en las celdas de la derecha, de la C14 a la AG14. Escriba la leyenda de asistencia para marcar la asistencia mensual del estudiante de las celdas C15 a la AG15." sqref="B14:B15" xr:uid="{00000000-0002-0000-0000-00002A000000}"/>
    <dataValidation allowBlank="1" showInputMessage="1" showErrorMessage="1" prompt="El mes está en esta celda. Los días del calendario están en las celdas de la derecha, de la C16 a la AG16. Escriba la leyenda de asistencia para marcar la asistencia mensual del estudiante de las celdas C17 a la AG17." sqref="B16:B17" xr:uid="{00000000-0002-0000-0000-00002B000000}"/>
    <dataValidation allowBlank="1" showInputMessage="1" showErrorMessage="1" prompt="El mes está en esta celda. Los días del calendario están en las celdas de la derecha, de la C18 a la AG18. Escriba la leyenda de asistencia para marcar la asistencia mensual del estudiante de las celdas C19 a la AG19." sqref="B18:B19" xr:uid="{00000000-0002-0000-0000-00002C000000}"/>
    <dataValidation allowBlank="1" showInputMessage="1" showErrorMessage="1" prompt="El mes está en esta celda. Los días del calendario están en las celdas de la derecha, de la C20 a la AG20. Escriba la leyenda de asistencia para marcar la asistencia mensual del estudiante de las celdas C21 a la AG21." sqref="B20:B21" xr:uid="{00000000-0002-0000-0000-00002D000000}"/>
    <dataValidation allowBlank="1" showInputMessage="1" showErrorMessage="1" prompt="El mes está en esta celda. Los días del calendario están en las celdas de la derecha, de la C22 a la AG22. Escriba la leyenda de asistencia para marcar la asistencia mensual del estudiante de las celdas C23 a la AG23." sqref="B22:B23" xr:uid="{00000000-0002-0000-0000-00002E000000}"/>
    <dataValidation allowBlank="1" showInputMessage="1" showErrorMessage="1" prompt="El mes está en esta celda. Los días del calendario están en las celdas de la derecha, de la C24 a la AG24. Escriba la leyenda de asistencia para marcar la asistencia mensual del estudiante de las celdas C25 a la AG25." sqref="B24:B25" xr:uid="{00000000-0002-0000-0000-00002F000000}"/>
    <dataValidation allowBlank="1" showInputMessage="1" showErrorMessage="1" prompt="El mes está en esta celda. Los días del calendario están en las celdas de la derecha, de la C26 a la AG26. Escriba la leyenda de asistencia para marcar la asistencia mensual del estudiante de las celdas C27 a la AG27." sqref="B26:B27" xr:uid="{00000000-0002-0000-0000-000030000000}"/>
    <dataValidation allowBlank="1" showInputMessage="1" showErrorMessage="1" prompt="El mes está en esta celda. Los días del calendario están en las celdas de la derecha, de la C28 a la AG28. Escriba la leyenda de asistencia para marcar la asistencia mensual del estudiante de las celdas C29 a la AG29." sqref="B28:B29" xr:uid="{00000000-0002-0000-0000-000031000000}"/>
    <dataValidation allowBlank="1" showInputMessage="1" showErrorMessage="1" prompt="El mes está en esta celda. Los días del calendario están en las celdas de la derecha, de la C30 a la AG30. Escriba la leyenda de asistencia para marcar la asistencia mensual del estudiante de las celdas C31 a la AG31." sqref="B30:B31" xr:uid="{00000000-0002-0000-0000-000032000000}"/>
    <dataValidation allowBlank="1" showInputMessage="1" showErrorMessage="1" prompt="El mes está en esta celda. Los días del calendario están en las celdas de la derecha, de la C32 a la AG32. Escriba la leyenda de asistencia para marcar la asistencia mensual del estudiante de las celdas C33 a la AG33." sqref="B32:B33" xr:uid="{00000000-0002-0000-0000-000033000000}"/>
    <dataValidation allowBlank="1" showInputMessage="1" showErrorMessage="1" prompt="El mes está en esta celda. Los días del calendario están en las celdas de la derecha, de la C34 a la AG34. Escriba la leyenda de asistencia para marcar la asistencia mensual del estudiante de las celdas C35 a la AG35." sqref="B34:B35" xr:uid="{00000000-0002-0000-0000-000034000000}"/>
    <dataValidation allowBlank="1" showInputMessage="1" showErrorMessage="1" prompt="El total anual se calcula automáticamente en la celda de la derecha." sqref="AE36:AG36" xr:uid="{00000000-0002-0000-0000-000035000000}"/>
    <dataValidation allowBlank="1" showInputMessage="1" showErrorMessage="1" prompt="Escriba el nombre de padre, madre o tutor 1 en la celda siguiente." sqref="B4:J4" xr:uid="{00000000-0002-0000-0000-000036000000}"/>
    <dataValidation allowBlank="1" showInputMessage="1" showErrorMessage="1" prompt="Escriba el nombre de padre, madre o tutor 1 en esta celda y la relación y los números del trabajo y particular en las celdas de la derecha." sqref="B5:J5" xr:uid="{00000000-0002-0000-0000-000037000000}"/>
  </dataValidations>
  <printOptions horizontalCentered="1"/>
  <pageMargins left="0.4" right="0.4" top="0.4" bottom="0.5" header="0.5" footer="0.5"/>
  <pageSetup paperSize="9" scale="48" orientation="landscape" r:id="rId1"/>
  <headerFooter differentFirst="1" alignWithMargins="0">
    <oddFooter>Page &amp;P of &amp;N</oddFooter>
  </headerFooter>
  <ignoredErrors>
    <ignoredError sqref="AI26:AI27 AJ26:AJ27 AH26:AH27 AK26:AK27 AH12:AH13 AJ22 AH22 AH20:AH21 AI22 AI20:AI21 AI12:AI13 AJ20:AJ21 AK20:AK21 AH23 AI23 AJ23 AK23 AK22 AK12:AK13 AJ12:AJ13 AH36 AI36:AK36 AI35:AK35 AH35" unlockedFormula="1" emptyCellReference="1"/>
    <ignoredError sqref="AH30:AK31 AH28:AK29 AH14:AK15 AK18 AJ18 AI18 AH18 AK19 AJ19 AI19 AH19 AI24 AH24 AJ24 AI25 AH25 AJ25 AK24 AK25 AH16:AK17 AI32:AK33 AH32:AH33" formula="1" unlockedFormula="1" emptyCellReference="1"/>
    <ignoredError sqref="AH34:AK34" emptyCellReference="1"/>
  </ignoredError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Hojas de cálculo</vt:lpstr>
      </vt:variant>
      <vt:variant>
        <vt:i4>1</vt:i4>
      </vt:variant>
      <vt:variant>
        <vt:lpstr>Rangos con nombre</vt:lpstr>
      </vt:variant>
      <vt:variant>
        <vt:i4>30</vt:i4>
      </vt:variant>
    </vt:vector>
  </HeadingPairs>
  <TitlesOfParts>
    <vt:vector size="31" baseType="lpstr">
      <vt:lpstr>Asistencia del estudiante</vt:lpstr>
      <vt:lpstr>ColumnTitleRegion1..AK3.1</vt:lpstr>
      <vt:lpstr>ColumnTitleRegion10..AG23.1</vt:lpstr>
      <vt:lpstr>ColumnTitleRegion11..AG25.1</vt:lpstr>
      <vt:lpstr>ColumnTitleRegion12..AG27.1</vt:lpstr>
      <vt:lpstr>ColumnTitleRegion13..AG29.1</vt:lpstr>
      <vt:lpstr>ColumnTitleRegion14..AG31.1</vt:lpstr>
      <vt:lpstr>ColumnTitleRegion15..AG33.1</vt:lpstr>
      <vt:lpstr>ColumnTitleRegion16..AG35.1</vt:lpstr>
      <vt:lpstr>ColumnTitleRegion2..AK5.1</vt:lpstr>
      <vt:lpstr>ColumnTitleRegion3..AK7.1</vt:lpstr>
      <vt:lpstr>ColumnTitleRegion4..AK9.1</vt:lpstr>
      <vt:lpstr>ColumnTitleRegion5..AG13.1</vt:lpstr>
      <vt:lpstr>ColumnTitleRegion6..AG15.1</vt:lpstr>
      <vt:lpstr>ColumnTitleRegion7..AG17.1</vt:lpstr>
      <vt:lpstr>ColumnTitleRegion8..AG19.1</vt:lpstr>
      <vt:lpstr>ColumnTitleRegion9..AG21.1</vt:lpstr>
      <vt:lpstr>RowTitleRegion1..AK36</vt:lpstr>
      <vt:lpstr>TitleRegion1..AG13.1</vt:lpstr>
      <vt:lpstr>TitleRegion10..AG31.1</vt:lpstr>
      <vt:lpstr>TitleRegion11..AG33.1</vt:lpstr>
      <vt:lpstr>TitleRegion12..AG35.1</vt:lpstr>
      <vt:lpstr>TitleRegion13..AK34.1</vt:lpstr>
      <vt:lpstr>TitleRegion2..AG15.1</vt:lpstr>
      <vt:lpstr>TitleRegion3..AG17.1</vt:lpstr>
      <vt:lpstr>TitleRegion4..AG19.1</vt:lpstr>
      <vt:lpstr>TitleRegion5..AG21.1</vt:lpstr>
      <vt:lpstr>TitleRegion6..AG23.1</vt:lpstr>
      <vt:lpstr>TitleRegion7..AG25.1</vt:lpstr>
      <vt:lpstr>TitleRegion8..AG27.1</vt:lpstr>
      <vt:lpstr>TitleRegion9..AG29.1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Printed>2018-02-27T09:43:12Z</cp:lastPrinted>
  <dcterms:created xsi:type="dcterms:W3CDTF">2018-02-27T05:39:29Z</dcterms:created>
  <dcterms:modified xsi:type="dcterms:W3CDTF">2018-10-10T08:59:59Z</dcterms:modified>
</cp:coreProperties>
</file>

<file path=docProps/custom.xml><?xml version="1.0" encoding="utf-8"?>
<Properties xmlns="http://schemas.openxmlformats.org/officeDocument/2006/custom-properties" xmlns:vt="http://schemas.openxmlformats.org/officeDocument/2006/docPropsVTypes"/>
</file>