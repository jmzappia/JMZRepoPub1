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/>
  <workbookPr filterPrivacy="1"/>
  <xr:revisionPtr revIDLastSave="0" documentId="13_ncr:1_{AC1954C4-A377-4B5B-AFFC-2C283254DBF2}" xr6:coauthVersionLast="47" xr6:coauthVersionMax="47" xr10:uidLastSave="{00000000-0000-0000-0000-000000000000}"/>
  <bookViews>
    <workbookView xWindow="-120" yWindow="-120" windowWidth="38490" windowHeight="19545" xr2:uid="{00000000-000D-0000-FFFF-FFFF00000000}"/>
  </bookViews>
  <sheets>
    <sheet name="Mes 1" sheetId="1" r:id="rId1"/>
  </sheets>
  <definedNames>
    <definedName name="Calendar_Year">'Mes 1'!$F$3</definedName>
    <definedName name="ColumnTitleRange1..D45.1">'Mes 1'!$B$14</definedName>
    <definedName name="ColumnTitleRange2..H45.1">'Mes 1'!$F$14</definedName>
    <definedName name="Días">ROW(INDIRECT("1:31"))</definedName>
    <definedName name="FechaTítuloIntervalo2..H13.1">'Mes 1'!$F$8</definedName>
    <definedName name="HerStarting">'Mes 1'!$F$6</definedName>
    <definedName name="HisStarting">'Mes 1'!$B$6</definedName>
    <definedName name="RowTitleRange1..D13.1">'Mes 1'!$B$8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0" i="1" s="1"/>
  <c r="D12" i="1"/>
  <c r="D3" i="1" l="1"/>
  <c r="F3" i="1"/>
  <c r="H15" i="1" l="1"/>
  <c r="D15" i="1"/>
  <c r="D9" i="1" l="1"/>
  <c r="D8" i="1"/>
  <c r="H8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19" i="1"/>
  <c r="G18" i="1"/>
  <c r="G17" i="1"/>
  <c r="G1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H12" i="1"/>
  <c r="H13" i="1"/>
  <c r="H10" i="1" s="1"/>
  <c r="G15" i="1"/>
  <c r="C15" i="1"/>
  <c r="H11" i="1"/>
  <c r="H9" i="1"/>
  <c r="D11" i="1"/>
  <c r="B15" i="1" a="1"/>
  <c r="F15" i="1" a="1"/>
  <c r="F15" i="1" l="1"/>
  <c r="F17" i="1"/>
  <c r="F19" i="1"/>
  <c r="F21" i="1"/>
  <c r="F23" i="1"/>
  <c r="F25" i="1"/>
  <c r="F27" i="1"/>
  <c r="F29" i="1"/>
  <c r="F31" i="1"/>
  <c r="F33" i="1"/>
  <c r="F35" i="1"/>
  <c r="F37" i="1"/>
  <c r="F39" i="1"/>
  <c r="F41" i="1"/>
  <c r="F43" i="1"/>
  <c r="F45" i="1"/>
  <c r="F16" i="1"/>
  <c r="F18" i="1"/>
  <c r="F20" i="1"/>
  <c r="F22" i="1"/>
  <c r="F24" i="1"/>
  <c r="F26" i="1"/>
  <c r="F28" i="1"/>
  <c r="F30" i="1"/>
  <c r="F32" i="1"/>
  <c r="F34" i="1"/>
  <c r="F36" i="1"/>
  <c r="F38" i="1"/>
  <c r="F40" i="1"/>
  <c r="F42" i="1"/>
  <c r="F44" i="1"/>
  <c r="B16" i="1"/>
  <c r="B18" i="1"/>
  <c r="B20" i="1"/>
  <c r="B22" i="1"/>
  <c r="B24" i="1"/>
  <c r="B26" i="1"/>
  <c r="B28" i="1"/>
  <c r="B30" i="1"/>
  <c r="B32" i="1"/>
  <c r="B34" i="1"/>
  <c r="B36" i="1"/>
  <c r="B38" i="1"/>
  <c r="B40" i="1"/>
  <c r="B42" i="1"/>
  <c r="B44" i="1"/>
  <c r="B15" i="1"/>
  <c r="B17" i="1"/>
  <c r="B19" i="1"/>
  <c r="B21" i="1"/>
  <c r="B23" i="1"/>
  <c r="B25" i="1"/>
  <c r="B27" i="1"/>
  <c r="B29" i="1"/>
  <c r="B31" i="1"/>
  <c r="B33" i="1"/>
  <c r="B35" i="1"/>
  <c r="B37" i="1"/>
  <c r="B39" i="1"/>
  <c r="B41" i="1"/>
  <c r="B43" i="1"/>
  <c r="B45" i="1"/>
</calcChain>
</file>

<file path=xl/sharedStrings.xml><?xml version="1.0" encoding="utf-8"?>
<sst xmlns="http://schemas.openxmlformats.org/spreadsheetml/2006/main" count="30" uniqueCount="16">
  <si>
    <t>EL DE ÉL Y EL DE ELLA</t>
  </si>
  <si>
    <t>INICIAL</t>
  </si>
  <si>
    <t>MÁXIMO</t>
  </si>
  <si>
    <t>MÍNIMO</t>
  </si>
  <si>
    <t>% PERDIDO</t>
  </si>
  <si>
    <t>PROMEDIO</t>
  </si>
  <si>
    <t>A LOGRAR</t>
  </si>
  <si>
    <t>PÉRDIDA DE PESO TOTAL</t>
  </si>
  <si>
    <t>DÍA</t>
  </si>
  <si>
    <t>Peso</t>
  </si>
  <si>
    <t>Mes de</t>
  </si>
  <si>
    <t>Sergio Tijerina</t>
  </si>
  <si>
    <t>Barra de progreso</t>
  </si>
  <si>
    <t>Seguimiento</t>
  </si>
  <si>
    <t>PESO</t>
  </si>
  <si>
    <t>Marina Rodríguez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</si>
</sst>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0.0%"/>
    <numFmt numFmtId="167" formatCode="#,##0.0"/>
    <numFmt numFmtId="168" formatCode=";;;"/>
  </numFmts>
  <fonts count="28" x14ac:knownFonts="1">
    <font>
      <sz val="11"/>
      <color theme="3" tint="-0.249946592608417"/>
      <name val="Verdana"/>
      <family val="2"/>
      <scheme val="minor"/>
    </font>
    <font>
      <sz val="11"/>
      <color theme="1"/>
      <name val="Verdana"/>
      <family val="2"/>
      <scheme val="minor"/>
    </font>
    <font>
      <sz val="14"/>
      <color theme="3"/>
      <name val="Verdana"/>
      <family val="2"/>
      <scheme val="minor"/>
    </font>
    <font>
      <b/>
      <sz val="22"/>
      <color theme="0"/>
      <name val="Arial"/>
      <family val="2"/>
    </font>
    <font>
      <b/>
      <sz val="14"/>
      <color theme="0"/>
      <name val="Verdana"/>
      <family val="2"/>
      <scheme val="minor"/>
    </font>
    <font>
      <b/>
      <sz val="11"/>
      <color theme="3"/>
      <name val="Verdana"/>
      <family val="2"/>
      <scheme val="minor"/>
    </font>
    <font>
      <sz val="11"/>
      <color theme="3"/>
      <name val="Verdana"/>
      <family val="2"/>
      <scheme val="minor"/>
    </font>
    <font>
      <b/>
      <sz val="11"/>
      <color theme="0"/>
      <name val="Verdana"/>
      <family val="2"/>
      <scheme val="minor"/>
    </font>
    <font>
      <b/>
      <sz val="29"/>
      <color theme="5" tint="-0.499984740745262"/>
      <name val="Verdana"/>
      <family val="2"/>
      <scheme val="minor"/>
    </font>
    <font>
      <sz val="11"/>
      <color theme="3" tint="-0.249946592608417"/>
      <name val="Verdana"/>
      <family val="2"/>
      <scheme val="minor"/>
    </font>
    <font>
      <b/>
      <sz val="11"/>
      <color theme="4" tint="-0.499984740745262"/>
      <name val="Verdana"/>
      <family val="2"/>
      <scheme val="minor"/>
    </font>
    <font>
      <b/>
      <sz val="11"/>
      <color theme="5" tint="-0.499984740745262"/>
      <name val="Verdana"/>
      <family val="2"/>
      <scheme val="minor"/>
    </font>
    <font>
      <b/>
      <sz val="11"/>
      <color theme="2" tint="-4.99893185216834E-2"/>
      <name val="Verdana"/>
      <family val="2"/>
      <scheme val="minor"/>
    </font>
    <font>
      <b/>
      <sz val="13"/>
      <color theme="4" tint="-0.499984740745262"/>
      <name val="Verdana"/>
      <family val="2"/>
      <scheme val="minor"/>
    </font>
    <font>
      <b/>
      <sz val="13"/>
      <color theme="5" tint="-0.499984740745262"/>
      <name val="Verdana"/>
      <family val="2"/>
      <scheme val="minor"/>
    </font>
    <font>
      <b/>
      <sz val="29"/>
      <color theme="4" tint="-0.499984740745262"/>
      <name val="Verdana"/>
      <family val="2"/>
      <scheme val="major"/>
    </font>
    <font>
      <sz val="11"/>
      <name val="Verdana"/>
      <family val="2"/>
      <scheme val="minor"/>
    </font>
    <font>
      <b/>
      <sz val="11"/>
      <color theme="1"/>
      <name val="Verdana"/>
      <family val="2"/>
      <scheme val="minor"/>
    </font>
    <font>
      <sz val="11"/>
      <color rgb="FF006100"/>
      <name val="Verdana"/>
      <family val="2"/>
      <scheme val="minor"/>
    </font>
    <font>
      <sz val="11"/>
      <color rgb="FF9C0006"/>
      <name val="Verdana"/>
      <family val="2"/>
      <scheme val="minor"/>
    </font>
    <font>
      <sz val="11"/>
      <color rgb="FF9C5700"/>
      <name val="Verdana"/>
      <family val="2"/>
      <scheme val="minor"/>
    </font>
    <font>
      <sz val="11"/>
      <color rgb="FF3F3F76"/>
      <name val="Verdana"/>
      <family val="2"/>
      <scheme val="minor"/>
    </font>
    <font>
      <b/>
      <sz val="11"/>
      <color rgb="FF3F3F3F"/>
      <name val="Verdana"/>
      <family val="2"/>
      <scheme val="minor"/>
    </font>
    <font>
      <b/>
      <sz val="11"/>
      <color rgb="FFFA7D00"/>
      <name val="Verdana"/>
      <family val="2"/>
      <scheme val="minor"/>
    </font>
    <font>
      <sz val="11"/>
      <color rgb="FFFA7D00"/>
      <name val="Verdana"/>
      <family val="2"/>
      <scheme val="minor"/>
    </font>
    <font>
      <sz val="11"/>
      <color rgb="FFFF0000"/>
      <name val="Verdana"/>
      <family val="2"/>
      <scheme val="minor"/>
    </font>
    <font>
      <i/>
      <sz val="11"/>
      <color rgb="FF7F7F7F"/>
      <name val="Verdana"/>
      <family val="2"/>
      <scheme val="minor"/>
    </font>
    <font>
      <sz val="11"/>
      <color theme="0"/>
      <name val="Verdana"/>
      <family val="2"/>
      <scheme val="minor"/>
    </font>
  </fonts>
  <fills count="37">
    <fill>
      <patternFill patternType="none"/>
    </fill>
    <fill>
      <patternFill patternType="gray125"/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3" tint="0.7999816888943144"/>
        <bgColor indexed="64"/>
      </patternFill>
    </fill>
    <fill>
      <patternFill patternType="solid">
        <f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n">
        <color theme="3" tint="0.599963377788628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theme="5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/>
      <top/>
      <bottom style="thin">
        <color theme="3" tint="-0.249946592608417"/>
      </bottom>
      <diagonal/>
    </border>
    <border>
      <left/>
      <right/>
      <top/>
      <bottom style="medium">
        <color theme="3"/>
      </bottom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 tint="0.5999633777886288"/>
      </top>
      <bottom style="thin">
        <color theme="3" tint="0.5999633777886288"/>
      </bottom>
      <diagonal/>
    </border>
    <border>
      <left/>
      <right/>
      <top style="thin">
        <color theme="3" tint="0.5999633777886288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theme="5" tint="-0.499984740745262"/>
      </top>
      <bottom style="thin">
        <color theme="3" tint="0.5999633777886288"/>
      </bottom>
      <diagonal/>
    </border>
    <border>
      <left/>
      <right/>
      <top style="medium">
        <color theme="4" tint="-0.499984740745262"/>
      </top>
      <bottom style="thin">
        <color theme="3" tint="0.599963377788628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5">
    <xf numFmtId="0" fontId="0" fillId="0" borderId="0" applyNumberFormat="0" applyFill="0" applyBorder="0" applyAlignment="0" applyProtection="0"/>
    <xf numFmtId="0" fontId="2" fillId="0" borderId="0" applyBorder="0" applyProtection="0">
      <alignment horizontal="left" indent="3"/>
    </xf>
    <xf numFmtId="0" fontId="5" fillId="0" borderId="6" applyFill="0" applyProtection="0">
      <alignment horizontal="center"/>
    </xf>
    <xf numFmtId="3" fontId="6" fillId="0" borderId="9" applyFill="0" applyProtection="0">
      <alignment horizontal="center"/>
    </xf>
    <xf numFmtId="0" fontId="9" fillId="0" borderId="5" applyNumberFormat="0" applyFont="0" applyFill="0" applyAlignment="0" applyProtection="0"/>
    <xf numFmtId="166" fontId="6" fillId="0" borderId="0" applyFont="0" applyFill="0" applyBorder="0" applyAlignment="0" applyProtection="0"/>
    <xf numFmtId="3" fontId="3" fillId="2" borderId="12" applyProtection="0">
      <alignment horizontal="center" vertical="center"/>
    </xf>
    <xf numFmtId="0" fontId="16" fillId="0" borderId="14" applyNumberFormat="0" applyFont="0" applyFill="0" applyAlignment="0" applyProtection="0">
      <alignment horizontal="centerContinuous" vertical="top"/>
    </xf>
    <xf numFmtId="0" fontId="16" fillId="0" borderId="13" applyNumberFormat="0" applyFont="0" applyFill="0" applyAlignment="0" applyProtection="0">
      <alignment horizontal="centerContinuous" vertical="top"/>
    </xf>
    <xf numFmtId="0" fontId="11" fillId="0" borderId="7" applyFill="0" applyProtection="0">
      <alignment horizontal="left" indent="1"/>
    </xf>
    <xf numFmtId="0" fontId="10" fillId="0" borderId="8" applyFill="0" applyProtection="0">
      <alignment horizontal="right" indent="1"/>
    </xf>
    <xf numFmtId="0" fontId="6" fillId="0" borderId="0" applyNumberFormat="0" applyFill="0" applyBorder="0" applyProtection="0">
      <alignment horizontal="left" indent="1"/>
    </xf>
    <xf numFmtId="0" fontId="6" fillId="3" borderId="1" applyNumberFormat="0" applyFont="0" applyAlignment="0" applyProtection="0"/>
    <xf numFmtId="0" fontId="7" fillId="6" borderId="0" applyNumberFormat="0" applyBorder="0" applyAlignment="0" applyProtection="0"/>
    <xf numFmtId="0" fontId="7" fillId="5" borderId="0" applyNumberFormat="0" applyBorder="0" applyAlignment="0" applyProtection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0" fontId="6" fillId="4" borderId="2" applyNumberFormat="0" applyFont="0" applyAlignment="0" applyProtection="0"/>
    <xf numFmtId="0" fontId="8" fillId="0" borderId="0">
      <alignment horizontal="left" vertical="top"/>
    </xf>
    <xf numFmtId="3" fontId="4" fillId="6" borderId="0">
      <alignment horizontal="right" indent="1"/>
    </xf>
    <xf numFmtId="3" fontId="4" fillId="5" borderId="0">
      <alignment horizontal="right" indent="1"/>
    </xf>
    <xf numFmtId="3" fontId="13" fillId="0" borderId="9">
      <alignment horizontal="center"/>
    </xf>
    <xf numFmtId="3" fontId="14" fillId="0" borderId="9">
      <alignment horizontal="center"/>
    </xf>
    <xf numFmtId="0" fontId="15" fillId="0" borderId="0" applyProtection="0">
      <alignment horizontal="right" vertical="top"/>
    </xf>
    <xf numFmtId="0" fontId="10" fillId="0" borderId="0" applyNumberFormat="0" applyFill="0" applyProtection="0">
      <alignment horizontal="center" vertical="top"/>
    </xf>
    <xf numFmtId="0" fontId="11" fillId="0" borderId="0" applyFill="0" applyProtection="0">
      <alignment horizontal="center" vertical="top"/>
    </xf>
    <xf numFmtId="167" fontId="13" fillId="3" borderId="1" applyFont="0" applyFill="0" applyBorder="0" applyAlignment="0">
      <alignment horizontal="right" indent="1"/>
    </xf>
    <xf numFmtId="0" fontId="7" fillId="0" borderId="0" applyFill="0" applyBorder="0">
      <alignment horizontal="center"/>
    </xf>
    <xf numFmtId="0" fontId="18" fillId="7" borderId="0" applyNumberFormat="0" applyBorder="0" applyAlignment="0" applyProtection="0"/>
    <xf numFmtId="0" fontId="19" fillId="8" borderId="0" applyNumberFormat="0" applyBorder="0" applyAlignment="0" applyProtection="0"/>
    <xf numFmtId="0" fontId="20" fillId="9" borderId="0" applyNumberFormat="0" applyBorder="0" applyAlignment="0" applyProtection="0"/>
    <xf numFmtId="0" fontId="21" fillId="10" borderId="15" applyNumberFormat="0" applyAlignment="0" applyProtection="0"/>
    <xf numFmtId="0" fontId="22" fillId="11" borderId="16" applyNumberFormat="0" applyAlignment="0" applyProtection="0"/>
    <xf numFmtId="0" fontId="23" fillId="11" borderId="15" applyNumberFormat="0" applyAlignment="0" applyProtection="0"/>
    <xf numFmtId="0" fontId="24" fillId="0" borderId="17" applyNumberFormat="0" applyFill="0" applyAlignment="0" applyProtection="0"/>
    <xf numFmtId="0" fontId="7" fillId="12" borderId="18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7" fillId="0" borderId="19" applyNumberFormat="0" applyFill="0" applyAlignment="0" applyProtection="0"/>
    <xf numFmtId="0" fontId="2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7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</cellStyleXfs>
  <cellXfs count="34">
    <xf numFmtId="0" fontId="0" fillId="0" borderId="0" xfId="0"/>
    <xf numFmtId="3" fontId="3" fillId="2" borderId="12" xfId="6">
      <alignment horizontal="center" vertical="center"/>
    </xf>
    <xf numFmtId="3" fontId="4" fillId="6" borderId="0" xfId="21">
      <alignment horizontal="right" indent="1"/>
    </xf>
    <xf numFmtId="3" fontId="4" fillId="5" borderId="0" xfId="22">
      <alignment horizontal="right" indent="1"/>
    </xf>
    <xf numFmtId="3" fontId="13" fillId="0" borderId="9" xfId="23">
      <alignment horizontal="center"/>
    </xf>
    <xf numFmtId="3" fontId="14" fillId="0" borderId="9" xfId="24">
      <alignment horizontal="center"/>
    </xf>
    <xf numFmtId="0" fontId="8" fillId="0" borderId="0" xfId="20">
      <alignment horizontal="left" vertical="top"/>
    </xf>
    <xf numFmtId="0" fontId="0" fillId="0" borderId="5" xfId="4" applyFont="1" applyAlignment="1">
      <alignment horizontal="center"/>
    </xf>
    <xf numFmtId="0" fontId="2" fillId="0" borderId="0" xfId="1" applyBorder="1">
      <alignment horizontal="left" indent="3"/>
    </xf>
    <xf numFmtId="3" fontId="6" fillId="0" borderId="9" xfId="3">
      <alignment horizontal="center"/>
    </xf>
    <xf numFmtId="0" fontId="10" fillId="0" borderId="8" xfId="10">
      <alignment horizontal="right" indent="1"/>
    </xf>
    <xf numFmtId="0" fontId="5" fillId="0" borderId="6" xfId="2">
      <alignment horizontal="center"/>
    </xf>
    <xf numFmtId="0" fontId="11" fillId="0" borderId="7" xfId="9">
      <alignment horizontal="left" indent="1"/>
    </xf>
    <xf numFmtId="0" fontId="15" fillId="0" borderId="0" xfId="25">
      <alignment horizontal="right" vertical="top"/>
    </xf>
    <xf numFmtId="3" fontId="6" fillId="0" borderId="5" xfId="3" applyBorder="1">
      <alignment horizontal="center"/>
    </xf>
    <xf numFmtId="3" fontId="13" fillId="3" borderId="1" xfId="12" applyNumberFormat="1" applyFont="1" applyAlignment="1">
      <alignment horizontal="right" indent="1"/>
    </xf>
    <xf numFmtId="3" fontId="14" fillId="3" borderId="1" xfId="12" applyNumberFormat="1" applyFont="1" applyAlignment="1">
      <alignment horizontal="right" indent="1"/>
    </xf>
    <xf numFmtId="166" fontId="13" fillId="3" borderId="1" xfId="5" applyFont="1" applyFill="1" applyBorder="1" applyAlignment="1">
      <alignment horizontal="right" indent="1"/>
    </xf>
    <xf numFmtId="166" fontId="14" fillId="3" borderId="1" xfId="5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167" fontId="13" fillId="3" borderId="1" xfId="28" applyFont="1" applyAlignment="1">
      <alignment horizontal="right" indent="1"/>
    </xf>
    <xf numFmtId="167" fontId="14" fillId="3" borderId="1" xfId="28" applyFont="1" applyAlignment="1">
      <alignment horizontal="right" indent="1"/>
    </xf>
    <xf numFmtId="3" fontId="13" fillId="3" borderId="14" xfId="7" applyNumberFormat="1" applyFont="1" applyFill="1" applyAlignment="1">
      <alignment horizontal="right" indent="1"/>
    </xf>
    <xf numFmtId="0" fontId="10" fillId="0" borderId="0" xfId="26">
      <alignment horizontal="center" vertical="top"/>
    </xf>
    <xf numFmtId="0" fontId="11" fillId="0" borderId="0" xfId="27">
      <alignment horizontal="center" vertical="top"/>
    </xf>
    <xf numFmtId="3" fontId="14" fillId="3" borderId="13" xfId="8" applyNumberFormat="1" applyFont="1" applyFill="1" applyAlignment="1">
      <alignment horizontal="right" indent="1"/>
    </xf>
    <xf numFmtId="0" fontId="0" fillId="0" borderId="4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168" fontId="17" fillId="0" borderId="6" xfId="29" applyNumberFormat="1" applyFont="1" applyBorder="1">
      <alignment horizontal="center"/>
    </xf>
    <xf numFmtId="0" fontId="7" fillId="6" borderId="11" xfId="13" applyBorder="1" applyAlignment="1">
      <alignment horizontal="left" indent="1"/>
    </xf>
    <xf numFmtId="0" fontId="12" fillId="5" borderId="11" xfId="14" applyFont="1" applyBorder="1" applyAlignment="1">
      <alignment horizontal="left" indent="1"/>
    </xf>
    <xf numFmtId="0" fontId="6" fillId="3" borderId="14" xfId="7" applyFont="1" applyFill="1" applyAlignment="1">
      <alignment horizontal="left" indent="1"/>
    </xf>
    <xf numFmtId="0" fontId="6" fillId="3" borderId="10" xfId="12" applyBorder="1" applyAlignment="1">
      <alignment horizontal="left" indent="1"/>
    </xf>
    <xf numFmtId="0" fontId="6" fillId="3" borderId="13" xfId="8" applyFont="1" applyFill="1" applyAlignment="1">
      <alignment horizontal="left" indent="1"/>
    </xf>
  </cellXfs>
  <cellStyles count="65">
    <cellStyle name="20% - Énfasis1" xfId="42" builtinId="30" customBuiltin="1"/>
    <cellStyle name="20% - Énfasis2" xfId="46" builtinId="34" customBuiltin="1"/>
    <cellStyle name="20% - Énfasis3" xfId="50" builtinId="38" customBuiltin="1"/>
    <cellStyle name="20% - Énfasis4" xfId="54" builtinId="42" customBuiltin="1"/>
    <cellStyle name="20% - Énfasis5" xfId="58" builtinId="46" customBuiltin="1"/>
    <cellStyle name="20% - Énfasis6" xfId="62" builtinId="50" customBuiltin="1"/>
    <cellStyle name="40% - Énfasis1" xfId="43" builtinId="31" customBuiltin="1"/>
    <cellStyle name="40% - Énfasis2" xfId="47" builtinId="35" customBuiltin="1"/>
    <cellStyle name="40% - Énfasis3" xfId="51" builtinId="39" customBuiltin="1"/>
    <cellStyle name="40% - Énfasis4" xfId="55" builtinId="43" customBuiltin="1"/>
    <cellStyle name="40% - Énfasis5" xfId="59" builtinId="47" customBuiltin="1"/>
    <cellStyle name="40% - Énfasis6" xfId="63" builtinId="51" customBuiltin="1"/>
    <cellStyle name="60% - Énfasis1" xfId="44" builtinId="32" customBuiltin="1"/>
    <cellStyle name="60% - Énfasis2" xfId="48" builtinId="36" customBuiltin="1"/>
    <cellStyle name="60% - Énfasis3" xfId="52" builtinId="40" customBuiltin="1"/>
    <cellStyle name="60% - Énfasis4" xfId="56" builtinId="44" customBuiltin="1"/>
    <cellStyle name="60% - Énfasis5" xfId="60" builtinId="48" customBuiltin="1"/>
    <cellStyle name="60% - Énfasis6" xfId="64" builtinId="52" customBuiltin="1"/>
    <cellStyle name="Borde superior de él" xfId="7" xr:uid="{00000000-0005-0000-0000-00001A000000}"/>
    <cellStyle name="Borde superior de ella" xfId="8" xr:uid="{00000000-0005-0000-0000-000019000000}"/>
    <cellStyle name="Bueno" xfId="30" builtinId="26" customBuiltin="1"/>
    <cellStyle name="Cálculo" xfId="35" builtinId="22" customBuiltin="1"/>
    <cellStyle name="Celda de comprobación" xfId="37" builtinId="23" customBuiltin="1"/>
    <cellStyle name="Celda vinculada" xfId="36" builtinId="24" customBuiltin="1"/>
    <cellStyle name="Decimal" xfId="28" xr:uid="{00000000-0005-0000-0000-000005000000}"/>
    <cellStyle name="Día" xfId="3" xr:uid="{00000000-0005-0000-0000-000004000000}"/>
    <cellStyle name="El nombre de él" xfId="10" xr:uid="{00000000-0005-0000-0000-00000E000000}"/>
    <cellStyle name="El nombre de ella" xfId="9" xr:uid="{00000000-0005-0000-0000-00000A000000}"/>
    <cellStyle name="Encabezado 1" xfId="1" builtinId="16" customBuiltin="1"/>
    <cellStyle name="Encabezado 4" xfId="27" builtinId="19" customBuiltin="1"/>
    <cellStyle name="Énfasis1" xfId="41" builtinId="29" customBuiltin="1"/>
    <cellStyle name="Énfasis2" xfId="45" builtinId="33" customBuiltin="1"/>
    <cellStyle name="Énfasis3" xfId="49" builtinId="37" customBuiltin="1"/>
    <cellStyle name="Énfasis4" xfId="53" builtinId="41" customBuiltin="1"/>
    <cellStyle name="Énfasis5" xfId="57" builtinId="45" customBuiltin="1"/>
    <cellStyle name="Énfasis6" xfId="61" builtinId="49" customBuiltin="1"/>
    <cellStyle name="Entrada" xfId="33" builtinId="20" customBuiltin="1"/>
    <cellStyle name="Entrada superior" xfId="6" xr:uid="{00000000-0005-0000-0000-00001B000000}"/>
    <cellStyle name="Estadísticas sombreadas" xfId="12" xr:uid="{00000000-0005-0000-0000-000017000000}"/>
    <cellStyle name="Etiqueta de estadísticas" xfId="11" xr:uid="{00000000-0005-0000-0000-000016000000}"/>
    <cellStyle name="Incorrecto" xfId="31" builtinId="27" customBuiltin="1"/>
    <cellStyle name="La pérdida de peso total de él" xfId="21" xr:uid="{00000000-0005-0000-0000-000010000000}"/>
    <cellStyle name="La pérdida de peso total de ella" xfId="22" xr:uid="{00000000-0005-0000-0000-00000C000000}"/>
    <cellStyle name="La pérdida de peso total sombreada de él" xfId="13" xr:uid="{00000000-0005-0000-0000-000011000000}"/>
    <cellStyle name="La pérdida de peso total sombreada de ella" xfId="14" xr:uid="{00000000-0005-0000-0000-00000D000000}"/>
    <cellStyle name="Las estadísticas de él" xfId="23" xr:uid="{00000000-0005-0000-0000-00000F000000}"/>
    <cellStyle name="Las estadísticas de ella" xfId="24" xr:uid="{00000000-0005-0000-0000-00000B000000}"/>
    <cellStyle name="Millares" xfId="15" builtinId="3" customBuiltin="1"/>
    <cellStyle name="Millares [0]" xfId="16" builtinId="6" customBuiltin="1"/>
    <cellStyle name="Moneda" xfId="17" builtinId="4" customBuiltin="1"/>
    <cellStyle name="Moneda [0]" xfId="18" builtinId="7" customBuiltin="1"/>
    <cellStyle name="Neutral" xfId="32" builtinId="28" customBuiltin="1"/>
    <cellStyle name="Normal" xfId="0" builtinId="0" customBuiltin="1"/>
    <cellStyle name="Notas" xfId="19" builtinId="10" customBuiltin="1"/>
    <cellStyle name="Porcentaje" xfId="5" builtinId="5" customBuiltin="1"/>
    <cellStyle name="Progress_Bar" xfId="29" xr:uid="{00000000-0005-0000-0000-000015000000}"/>
    <cellStyle name="Salida" xfId="34" builtinId="21" customBuiltin="1"/>
    <cellStyle name="Seguimiento" xfId="20" xr:uid="{00000000-0005-0000-0000-00001C000000}"/>
    <cellStyle name="Subrayado" xfId="4" xr:uid="{00000000-0005-0000-0000-00001D000000}"/>
    <cellStyle name="Texto de advertencia" xfId="38" builtinId="11" customBuiltin="1"/>
    <cellStyle name="Texto explicativo" xfId="39" builtinId="53" customBuiltin="1"/>
    <cellStyle name="Título" xfId="25" builtinId="15" customBuiltin="1"/>
    <cellStyle name="Título 2" xfId="2" builtinId="17" customBuiltin="1"/>
    <cellStyle name="Título 3" xfId="26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22859</xdr:colOff>
      <xdr:row>0</xdr:row>
      <xdr:rowOff>45719</xdr:rowOff>
    </xdr:from>
    <xdr:to>
      <xdr:col>1</xdr:col>
      <xdr:colOff>391286</xdr:colOff>
      <xdr:row>1</xdr:row>
      <xdr:rowOff>419100</xdr:rowOff>
    </xdr:to>
    <xdr:grpSp>
      <xdr:nvGrpSpPr>
        <xdr:cNvPr id="6" name="Icono del gráfico" descr="Gráfico de columnas pequeñ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80034" y="45719"/>
          <a:ext cx="368427" cy="621031"/>
          <a:chOff x="6419850" y="1150619"/>
          <a:chExt cx="263652" cy="411480"/>
        </a:xfrm>
      </xdr:grpSpPr>
      <xdr:sp macro="" textlink="">
        <xdr:nvSpPr>
          <xdr:cNvPr id="3" name="Rectángulo 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515100" y="1287779"/>
            <a:ext cx="73152" cy="27432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6419850" y="1150619"/>
            <a:ext cx="73152" cy="41148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5" name="Rectángul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6610350" y="1379219"/>
            <a:ext cx="73152" cy="18288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 editAs="oneCell">
    <xdr:from>
      <xdr:col>2</xdr:col>
      <xdr:colOff>238125</xdr:colOff>
      <xdr:row>5</xdr:row>
      <xdr:rowOff>19050</xdr:rowOff>
    </xdr:from>
    <xdr:to>
      <xdr:col>2</xdr:col>
      <xdr:colOff>878205</xdr:colOff>
      <xdr:row>5</xdr:row>
      <xdr:rowOff>313663</xdr:rowOff>
    </xdr:to>
    <xdr:sp macro="" textlink="">
      <xdr:nvSpPr>
        <xdr:cNvPr id="7" name="Flecha derecha 6" descr="Flecha apuntando a la der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1609725" y="1647825"/>
          <a:ext cx="640080" cy="294613"/>
        </a:xfrm>
        <a:prstGeom prst="rightArrow">
          <a:avLst>
            <a:gd name="adj1" fmla="val 50000"/>
            <a:gd name="adj2" fmla="val 51806"/>
          </a:avLst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oneCell">
    <xdr:from>
      <xdr:col>6</xdr:col>
      <xdr:colOff>228600</xdr:colOff>
      <xdr:row>5</xdr:row>
      <xdr:rowOff>9525</xdr:rowOff>
    </xdr:from>
    <xdr:to>
      <xdr:col>6</xdr:col>
      <xdr:colOff>868680</xdr:colOff>
      <xdr:row>5</xdr:row>
      <xdr:rowOff>304138</xdr:rowOff>
    </xdr:to>
    <xdr:sp macro="" textlink="">
      <xdr:nvSpPr>
        <xdr:cNvPr id="10" name="Flecha derecha 6" descr="Flecha apuntando a la derecha">
          <a:extLst>
            <a:ext uri="{FF2B5EF4-FFF2-40B4-BE49-F238E27FC236}">
              <a16:creationId xmlns:a16="http://schemas.microsoft.com/office/drawing/2014/main" id="{7867545C-04D9-4859-92BB-DA5E5CAC4F8A}"/>
            </a:ext>
          </a:extLst>
        </xdr:cNvPr>
        <xdr:cNvSpPr>
          <a:spLocks noChangeAspect="1"/>
        </xdr:cNvSpPr>
      </xdr:nvSpPr>
      <xdr:spPr>
        <a:xfrm>
          <a:off x="5200650" y="1638300"/>
          <a:ext cx="640080" cy="294613"/>
        </a:xfrm>
        <a:prstGeom prst="rightArrow">
          <a:avLst>
            <a:gd name="adj1" fmla="val 50000"/>
            <a:gd name="adj2" fmla="val 51806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</xdr:wsDr>
</file>

<file path=xl/theme/theme11.xml><?xml version="1.0" encoding="utf-8"?>
<a:theme xmlns:a="http://schemas.openxmlformats.org/drawingml/2006/main" name="Office Theme">
  <a:themeElements>
    <a:clrScheme name="Weight Loss Tracker">
      <a:dk1>
        <a:sysClr val="windowText" lastClr="000000"/>
      </a:dk1>
      <a:lt1>
        <a:sysClr val="window" lastClr="FFFFFF"/>
      </a:lt1>
      <a:dk2>
        <a:srgbClr val="66635A"/>
      </a:dk2>
      <a:lt2>
        <a:srgbClr val="FFFFFF"/>
      </a:lt2>
      <a:accent1>
        <a:srgbClr val="78BAC7"/>
      </a:accent1>
      <a:accent2>
        <a:srgbClr val="F66A59"/>
      </a:accent2>
      <a:accent3>
        <a:srgbClr val="A2CF29"/>
      </a:accent3>
      <a:accent4>
        <a:srgbClr val="FC9A42"/>
      </a:accent4>
      <a:accent5>
        <a:srgbClr val="CCB37D"/>
      </a:accent5>
      <a:accent6>
        <a:srgbClr val="B7709D"/>
      </a:accent6>
      <a:hlink>
        <a:srgbClr val="78BAC7"/>
      </a:hlink>
      <a:folHlink>
        <a:srgbClr val="B7709D"/>
      </a:folHlink>
    </a:clrScheme>
    <a:fontScheme name="150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/>
    <pageSetUpPr fitToPage="1"/>
  </sheetPr>
  <dimension ref="B1:H45"/>
  <sheetViews>
    <sheetView showGridLines="0" tabSelected="1" zoomScaleNormal="100" workbookViewId="0"/>
  </sheetViews>
  <sheetFormatPr baseColWidth="10" defaultColWidth="8.796875" defaultRowHeight="18.75" customHeight="1" x14ac:dyDescent="0.2"/>
  <cols>
    <col min="1" max="1" width="2.69921875" customWidth="1"/>
    <col min="2" max="4" width="11.69921875" customWidth="1"/>
    <col min="5" max="5" width="2.69921875" customWidth="1"/>
    <col min="6" max="8" width="11.69921875" customWidth="1"/>
    <col min="9" max="9" width="2.69921875" customWidth="1"/>
  </cols>
  <sheetData>
    <row r="1" spans="2:8" ht="20.1" customHeight="1" x14ac:dyDescent="0.25">
      <c r="B1" s="8" t="s">
        <v>0</v>
      </c>
    </row>
    <row r="2" spans="2:8" ht="39.95" customHeight="1" x14ac:dyDescent="0.2">
      <c r="C2" s="13" t="s">
        <v>9</v>
      </c>
      <c r="D2" s="6" t="s">
        <v>13</v>
      </c>
      <c r="E2" s="6"/>
    </row>
    <row r="3" spans="2:8" ht="24.95" customHeight="1" thickBot="1" x14ac:dyDescent="0.25">
      <c r="C3" s="19" t="s">
        <v>10</v>
      </c>
      <c r="D3" s="11" t="str">
        <f ca="1">TEXT(MONTH(TODAY()),"mmmm")</f>
        <v>enero</v>
      </c>
      <c r="E3" s="11"/>
      <c r="F3" s="11">
        <f ca="1">YEAR(TODAY())</f>
        <v>2022</v>
      </c>
    </row>
    <row r="4" spans="2:8" ht="24.95" customHeight="1" x14ac:dyDescent="0.2">
      <c r="C4" s="10" t="s">
        <v>11</v>
      </c>
      <c r="G4" s="12" t="s">
        <v>15</v>
      </c>
    </row>
    <row r="5" spans="2:8" ht="20.1" customHeight="1" thickBot="1" x14ac:dyDescent="0.25">
      <c r="B5" s="11" t="s">
        <v>1</v>
      </c>
      <c r="D5" s="11" t="s">
        <v>6</v>
      </c>
      <c r="F5" s="11" t="s">
        <v>1</v>
      </c>
      <c r="H5" s="11" t="s">
        <v>6</v>
      </c>
    </row>
    <row r="6" spans="2:8" ht="32.1" customHeight="1" thickTop="1" thickBot="1" x14ac:dyDescent="0.25">
      <c r="B6" s="1">
        <v>205</v>
      </c>
      <c r="D6" s="1">
        <v>190</v>
      </c>
      <c r="F6" s="1">
        <v>157</v>
      </c>
      <c r="H6" s="1">
        <v>130</v>
      </c>
    </row>
    <row r="7" spans="2:8" ht="30" customHeight="1" thickTop="1" thickBot="1" x14ac:dyDescent="0.25">
      <c r="B7" s="26"/>
      <c r="C7" s="23" t="s">
        <v>9</v>
      </c>
      <c r="D7" s="26"/>
      <c r="F7" s="27"/>
      <c r="G7" s="24" t="s">
        <v>9</v>
      </c>
      <c r="H7" s="27"/>
    </row>
    <row r="8" spans="2:8" ht="21" customHeight="1" x14ac:dyDescent="0.2">
      <c r="B8" s="31" t="s">
        <v>2</v>
      </c>
      <c r="C8" s="31"/>
      <c r="D8" s="22">
        <f>MAX(D15:D45)</f>
        <v>205</v>
      </c>
      <c r="F8" s="33" t="s">
        <v>2</v>
      </c>
      <c r="G8" s="33"/>
      <c r="H8" s="25">
        <f>MAX(H15:H45)</f>
        <v>157</v>
      </c>
    </row>
    <row r="9" spans="2:8" ht="21" customHeight="1" x14ac:dyDescent="0.2">
      <c r="B9" s="32" t="s">
        <v>3</v>
      </c>
      <c r="C9" s="32"/>
      <c r="D9" s="15">
        <f>MIN(D15:D45)</f>
        <v>195</v>
      </c>
      <c r="F9" s="32" t="s">
        <v>3</v>
      </c>
      <c r="G9" s="32"/>
      <c r="H9" s="16">
        <f>MIN(H15:H45)</f>
        <v>150</v>
      </c>
    </row>
    <row r="10" spans="2:8" ht="21" customHeight="1" x14ac:dyDescent="0.2">
      <c r="B10" s="32" t="s">
        <v>4</v>
      </c>
      <c r="C10" s="32"/>
      <c r="D10" s="17">
        <f>D13/B6</f>
        <v>4.878048780487805E-2</v>
      </c>
      <c r="F10" s="32" t="s">
        <v>4</v>
      </c>
      <c r="G10" s="32"/>
      <c r="H10" s="18">
        <f>H13/F6</f>
        <v>4.4585987261146494E-2</v>
      </c>
    </row>
    <row r="11" spans="2:8" ht="21" customHeight="1" x14ac:dyDescent="0.2">
      <c r="B11" s="32" t="s">
        <v>5</v>
      </c>
      <c r="C11" s="32"/>
      <c r="D11" s="20">
        <f>AVERAGE(D15:D45)</f>
        <v>1.9884615384615384E2</v>
      </c>
      <c r="F11" s="32" t="s">
        <v>5</v>
      </c>
      <c r="G11" s="32"/>
      <c r="H11" s="21">
        <f>AVERAGE(H15:H45)</f>
        <v>153.6</v>
      </c>
    </row>
    <row r="12" spans="2:8" ht="21" customHeight="1" x14ac:dyDescent="0.2">
      <c r="B12" s="32" t="s">
        <v>6</v>
      </c>
      <c r="C12" s="32"/>
      <c r="D12" s="15">
        <f>INDEX(D15:D45,MATCH(9^9,D15:D45))-D6</f>
        <v>5</v>
      </c>
      <c r="F12" s="32" t="s">
        <v>6</v>
      </c>
      <c r="G12" s="32"/>
      <c r="H12" s="16">
        <f>INDEX(H15:H45,MATCH(9^9,H15:H45))-H6</f>
        <v>20</v>
      </c>
    </row>
    <row r="13" spans="2:8" ht="21" customHeight="1" x14ac:dyDescent="0.25">
      <c r="B13" s="29" t="s">
        <v>7</v>
      </c>
      <c r="C13" s="29"/>
      <c r="D13" s="2">
        <f>B6-INDEX(D15:D45,MATCH(9^9,D15:D45))</f>
        <v>10</v>
      </c>
      <c r="F13" s="30" t="s">
        <v>7</v>
      </c>
      <c r="G13" s="30"/>
      <c r="H13" s="3">
        <f>F6-INDEX(H15:H45,MATCH(9^9,H15:H45))</f>
        <v>7</v>
      </c>
    </row>
    <row r="14" spans="2:8" ht="39.95" customHeight="1" thickBot="1" x14ac:dyDescent="0.25">
      <c r="B14" s="11" t="s">
        <v>8</v>
      </c>
      <c r="C14" s="28" t="s">
        <v>12</v>
      </c>
      <c r="D14" s="11" t="s">
        <v>14</v>
      </c>
      <c r="F14" s="11" t="s">
        <v>8</v>
      </c>
      <c r="G14" s="28" t="s">
        <v>12</v>
      </c>
      <c r="H14" s="11" t="s">
        <v>14</v>
      </c>
    </row>
    <row r="15" spans="2:8" ht="18.75" customHeight="1" x14ac:dyDescent="0.2">
      <c r="B15" s="14">
        <f t="array" aca="1" ref="B15:B45" ca="1">Días</f>
        <v>1</v>
      </c>
      <c r="C15" s="7">
        <f t="shared" ref="C15" si="0">D15</f>
        <v>205</v>
      </c>
      <c r="D15" s="4">
        <f>HisStarting</f>
        <v>205</v>
      </c>
      <c r="F15" s="9">
        <f t="array" aca="1" ref="F15:F45" ca="1">Días</f>
        <v>1</v>
      </c>
      <c r="G15" s="7">
        <f>H15</f>
        <v>157</v>
      </c>
      <c r="H15" s="5">
        <f>HerStarting</f>
        <v>157</v>
      </c>
    </row>
    <row r="16" spans="2:8" ht="18.75" customHeight="1" x14ac:dyDescent="0.2">
      <c r="B16" s="14">
        <f ca="1"/>
        <v>2</v>
      </c>
      <c r="C16" s="7">
        <f t="shared" ref="C16:C45" si="1">D16</f>
        <v>205</v>
      </c>
      <c r="D16" s="4">
        <v>205</v>
      </c>
      <c r="F16" s="9">
        <f ca="1"/>
        <v>2</v>
      </c>
      <c r="G16" s="7">
        <f t="shared" ref="G16:G45" si="2">H16</f>
        <v>155</v>
      </c>
      <c r="H16" s="5">
        <v>155</v>
      </c>
    </row>
    <row r="17" spans="2:8" ht="18.75" customHeight="1" x14ac:dyDescent="0.2">
      <c r="B17" s="14">
        <f ca="1"/>
        <v>3</v>
      </c>
      <c r="C17" s="7">
        <f t="shared" si="1"/>
        <v>200</v>
      </c>
      <c r="D17" s="4">
        <v>200</v>
      </c>
      <c r="F17" s="9">
        <f ca="1"/>
        <v>3</v>
      </c>
      <c r="G17" s="7">
        <f t="shared" si="2"/>
        <v>155</v>
      </c>
      <c r="H17" s="5">
        <v>155</v>
      </c>
    </row>
    <row r="18" spans="2:8" ht="18.75" customHeight="1" x14ac:dyDescent="0.2">
      <c r="B18" s="14">
        <f ca="1"/>
        <v>4</v>
      </c>
      <c r="C18" s="7">
        <f t="shared" si="1"/>
        <v>203</v>
      </c>
      <c r="D18" s="4">
        <v>203</v>
      </c>
      <c r="F18" s="9">
        <f ca="1"/>
        <v>4</v>
      </c>
      <c r="G18" s="7">
        <f t="shared" si="2"/>
        <v>154</v>
      </c>
      <c r="H18" s="5">
        <v>154</v>
      </c>
    </row>
    <row r="19" spans="2:8" ht="18.75" customHeight="1" x14ac:dyDescent="0.2">
      <c r="B19" s="14">
        <f ca="1"/>
        <v>5</v>
      </c>
      <c r="C19" s="7">
        <f t="shared" si="1"/>
        <v>198</v>
      </c>
      <c r="D19" s="4">
        <v>198</v>
      </c>
      <c r="F19" s="9">
        <f ca="1"/>
        <v>5</v>
      </c>
      <c r="G19" s="7">
        <f t="shared" si="2"/>
        <v>153</v>
      </c>
      <c r="H19" s="5">
        <v>153</v>
      </c>
    </row>
    <row r="20" spans="2:8" ht="18.75" customHeight="1" x14ac:dyDescent="0.2">
      <c r="B20" s="14">
        <f ca="1"/>
        <v>6</v>
      </c>
      <c r="C20" s="7">
        <f t="shared" si="1"/>
        <v>198</v>
      </c>
      <c r="D20" s="4">
        <v>198</v>
      </c>
      <c r="F20" s="9">
        <f ca="1"/>
        <v>6</v>
      </c>
      <c r="G20" s="7"/>
      <c r="H20" s="5"/>
    </row>
    <row r="21" spans="2:8" ht="18.75" customHeight="1" x14ac:dyDescent="0.2">
      <c r="B21" s="14">
        <f ca="1"/>
        <v>7</v>
      </c>
      <c r="C21" s="7">
        <f t="shared" si="1"/>
        <v>198</v>
      </c>
      <c r="D21" s="4">
        <v>198</v>
      </c>
      <c r="F21" s="9">
        <f ca="1"/>
        <v>7</v>
      </c>
      <c r="G21" s="7"/>
      <c r="H21" s="5"/>
    </row>
    <row r="22" spans="2:8" ht="18.75" customHeight="1" x14ac:dyDescent="0.2">
      <c r="B22" s="14">
        <f ca="1"/>
        <v>8</v>
      </c>
      <c r="C22" s="7">
        <f t="shared" si="1"/>
        <v>199</v>
      </c>
      <c r="D22" s="4">
        <v>199</v>
      </c>
      <c r="F22" s="9">
        <f ca="1"/>
        <v>8</v>
      </c>
      <c r="G22" s="7">
        <f t="shared" si="2"/>
        <v>154</v>
      </c>
      <c r="H22" s="5">
        <v>154</v>
      </c>
    </row>
    <row r="23" spans="2:8" ht="18.75" customHeight="1" x14ac:dyDescent="0.2">
      <c r="B23" s="14">
        <f ca="1"/>
        <v>9</v>
      </c>
      <c r="C23" s="7">
        <f t="shared" si="1"/>
        <v>197</v>
      </c>
      <c r="D23" s="4">
        <v>197</v>
      </c>
      <c r="F23" s="9">
        <f ca="1"/>
        <v>9</v>
      </c>
      <c r="G23" s="7">
        <f t="shared" si="2"/>
        <v>155</v>
      </c>
      <c r="H23" s="5">
        <v>155</v>
      </c>
    </row>
    <row r="24" spans="2:8" ht="18.75" customHeight="1" x14ac:dyDescent="0.2">
      <c r="B24" s="14">
        <f ca="1"/>
        <v>10</v>
      </c>
      <c r="C24" s="7">
        <f t="shared" si="1"/>
        <v>196</v>
      </c>
      <c r="D24" s="4">
        <v>196</v>
      </c>
      <c r="F24" s="9">
        <f ca="1"/>
        <v>10</v>
      </c>
      <c r="G24" s="7">
        <f t="shared" si="2"/>
        <v>152</v>
      </c>
      <c r="H24" s="5">
        <v>152</v>
      </c>
    </row>
    <row r="25" spans="2:8" ht="18.75" customHeight="1" x14ac:dyDescent="0.2">
      <c r="B25" s="14">
        <f ca="1"/>
        <v>11</v>
      </c>
      <c r="C25" s="7">
        <f t="shared" si="1"/>
        <v>196</v>
      </c>
      <c r="D25" s="4">
        <v>196</v>
      </c>
      <c r="F25" s="9">
        <f ca="1"/>
        <v>11</v>
      </c>
      <c r="G25" s="7">
        <f t="shared" si="2"/>
        <v>151</v>
      </c>
      <c r="H25" s="5">
        <v>151</v>
      </c>
    </row>
    <row r="26" spans="2:8" ht="18.75" customHeight="1" x14ac:dyDescent="0.2">
      <c r="B26" s="14">
        <f ca="1"/>
        <v>12</v>
      </c>
      <c r="C26" s="7">
        <f t="shared" si="1"/>
        <v>195</v>
      </c>
      <c r="D26" s="4">
        <v>195</v>
      </c>
      <c r="F26" s="9">
        <f ca="1"/>
        <v>12</v>
      </c>
      <c r="G26" s="7">
        <f t="shared" si="2"/>
        <v>0</v>
      </c>
      <c r="H26" s="5"/>
    </row>
    <row r="27" spans="2:8" ht="18.75" customHeight="1" x14ac:dyDescent="0.2">
      <c r="B27" s="14">
        <f ca="1"/>
        <v>13</v>
      </c>
      <c r="C27" s="7">
        <f t="shared" si="1"/>
        <v>195</v>
      </c>
      <c r="D27" s="4">
        <v>195</v>
      </c>
      <c r="F27" s="9">
        <f ca="1"/>
        <v>13</v>
      </c>
      <c r="G27" s="7">
        <f t="shared" si="2"/>
        <v>150</v>
      </c>
      <c r="H27" s="5">
        <v>150</v>
      </c>
    </row>
    <row r="28" spans="2:8" ht="18.75" customHeight="1" x14ac:dyDescent="0.2">
      <c r="B28" s="14">
        <f ca="1"/>
        <v>14</v>
      </c>
      <c r="C28" s="7">
        <f t="shared" si="1"/>
        <v>0</v>
      </c>
      <c r="D28" s="4"/>
      <c r="F28" s="9">
        <f ca="1"/>
        <v>14</v>
      </c>
      <c r="G28" s="7">
        <f t="shared" si="2"/>
        <v>0</v>
      </c>
      <c r="H28" s="5"/>
    </row>
    <row r="29" spans="2:8" ht="18.75" customHeight="1" x14ac:dyDescent="0.2">
      <c r="B29" s="14">
        <f ca="1"/>
        <v>15</v>
      </c>
      <c r="C29" s="7">
        <f t="shared" si="1"/>
        <v>0</v>
      </c>
      <c r="D29" s="4"/>
      <c r="F29" s="9">
        <f ca="1"/>
        <v>15</v>
      </c>
      <c r="G29" s="7">
        <f t="shared" si="2"/>
        <v>0</v>
      </c>
      <c r="H29" s="5"/>
    </row>
    <row r="30" spans="2:8" ht="18.75" customHeight="1" x14ac:dyDescent="0.2">
      <c r="B30" s="14">
        <f ca="1"/>
        <v>16</v>
      </c>
      <c r="C30" s="7">
        <f t="shared" si="1"/>
        <v>0</v>
      </c>
      <c r="D30" s="4"/>
      <c r="F30" s="9">
        <f ca="1"/>
        <v>16</v>
      </c>
      <c r="G30" s="7">
        <f t="shared" si="2"/>
        <v>0</v>
      </c>
      <c r="H30" s="5"/>
    </row>
    <row r="31" spans="2:8" ht="18.75" customHeight="1" x14ac:dyDescent="0.2">
      <c r="B31" s="14">
        <f ca="1"/>
        <v>17</v>
      </c>
      <c r="C31" s="7">
        <f t="shared" si="1"/>
        <v>0</v>
      </c>
      <c r="D31" s="4"/>
      <c r="F31" s="9">
        <f ca="1"/>
        <v>17</v>
      </c>
      <c r="G31" s="7">
        <f t="shared" si="2"/>
        <v>0</v>
      </c>
      <c r="H31" s="5"/>
    </row>
    <row r="32" spans="2:8" ht="18.75" customHeight="1" x14ac:dyDescent="0.2">
      <c r="B32" s="14">
        <f ca="1"/>
        <v>18</v>
      </c>
      <c r="C32" s="7">
        <f t="shared" si="1"/>
        <v>0</v>
      </c>
      <c r="D32" s="4"/>
      <c r="F32" s="9">
        <f ca="1"/>
        <v>18</v>
      </c>
      <c r="G32" s="7">
        <f t="shared" si="2"/>
        <v>0</v>
      </c>
      <c r="H32" s="5"/>
    </row>
    <row r="33" spans="2:8" ht="18.75" customHeight="1" x14ac:dyDescent="0.2">
      <c r="B33" s="14">
        <f ca="1"/>
        <v>19</v>
      </c>
      <c r="C33" s="7">
        <f t="shared" si="1"/>
        <v>0</v>
      </c>
      <c r="D33" s="4"/>
      <c r="F33" s="9">
        <f ca="1"/>
        <v>19</v>
      </c>
      <c r="G33" s="7">
        <f t="shared" si="2"/>
        <v>0</v>
      </c>
      <c r="H33" s="5"/>
    </row>
    <row r="34" spans="2:8" ht="18.75" customHeight="1" x14ac:dyDescent="0.2">
      <c r="B34" s="14">
        <f ca="1"/>
        <v>20</v>
      </c>
      <c r="C34" s="7">
        <f t="shared" si="1"/>
        <v>0</v>
      </c>
      <c r="D34" s="4"/>
      <c r="F34" s="9">
        <f ca="1"/>
        <v>20</v>
      </c>
      <c r="G34" s="7">
        <f t="shared" si="2"/>
        <v>0</v>
      </c>
      <c r="H34" s="5"/>
    </row>
    <row r="35" spans="2:8" ht="18.75" customHeight="1" x14ac:dyDescent="0.2">
      <c r="B35" s="14">
        <f ca="1"/>
        <v>21</v>
      </c>
      <c r="C35" s="7">
        <f t="shared" si="1"/>
        <v>0</v>
      </c>
      <c r="D35" s="4"/>
      <c r="F35" s="9">
        <f ca="1"/>
        <v>21</v>
      </c>
      <c r="G35" s="7">
        <f t="shared" si="2"/>
        <v>0</v>
      </c>
      <c r="H35" s="5"/>
    </row>
    <row r="36" spans="2:8" ht="18.75" customHeight="1" x14ac:dyDescent="0.2">
      <c r="B36" s="14">
        <f ca="1"/>
        <v>22</v>
      </c>
      <c r="C36" s="7">
        <f t="shared" si="1"/>
        <v>0</v>
      </c>
      <c r="D36" s="4"/>
      <c r="F36" s="9">
        <f ca="1"/>
        <v>22</v>
      </c>
      <c r="G36" s="7">
        <f t="shared" si="2"/>
        <v>0</v>
      </c>
      <c r="H36" s="5"/>
    </row>
    <row r="37" spans="2:8" ht="18.75" customHeight="1" x14ac:dyDescent="0.2">
      <c r="B37" s="14">
        <f ca="1"/>
        <v>23</v>
      </c>
      <c r="C37" s="7">
        <f t="shared" si="1"/>
        <v>0</v>
      </c>
      <c r="D37" s="4"/>
      <c r="F37" s="9">
        <f ca="1"/>
        <v>23</v>
      </c>
      <c r="G37" s="7">
        <f t="shared" si="2"/>
        <v>0</v>
      </c>
      <c r="H37" s="5"/>
    </row>
    <row r="38" spans="2:8" ht="18.75" customHeight="1" x14ac:dyDescent="0.2">
      <c r="B38" s="14">
        <f ca="1"/>
        <v>24</v>
      </c>
      <c r="C38" s="7">
        <f t="shared" si="1"/>
        <v>0</v>
      </c>
      <c r="D38" s="4"/>
      <c r="F38" s="9">
        <f ca="1"/>
        <v>24</v>
      </c>
      <c r="G38" s="7">
        <f t="shared" si="2"/>
        <v>0</v>
      </c>
      <c r="H38" s="5"/>
    </row>
    <row r="39" spans="2:8" ht="18.75" customHeight="1" x14ac:dyDescent="0.2">
      <c r="B39" s="14">
        <f ca="1"/>
        <v>25</v>
      </c>
      <c r="C39" s="7">
        <f t="shared" si="1"/>
        <v>0</v>
      </c>
      <c r="D39" s="4"/>
      <c r="F39" s="9">
        <f ca="1"/>
        <v>25</v>
      </c>
      <c r="G39" s="7">
        <f t="shared" si="2"/>
        <v>0</v>
      </c>
      <c r="H39" s="5"/>
    </row>
    <row r="40" spans="2:8" ht="18.75" customHeight="1" x14ac:dyDescent="0.2">
      <c r="B40" s="14">
        <f ca="1"/>
        <v>26</v>
      </c>
      <c r="C40" s="7">
        <f t="shared" si="1"/>
        <v>0</v>
      </c>
      <c r="D40" s="4"/>
      <c r="F40" s="9">
        <f ca="1"/>
        <v>26</v>
      </c>
      <c r="G40" s="7">
        <f t="shared" si="2"/>
        <v>0</v>
      </c>
      <c r="H40" s="5"/>
    </row>
    <row r="41" spans="2:8" ht="18.75" customHeight="1" x14ac:dyDescent="0.2">
      <c r="B41" s="14">
        <f ca="1"/>
        <v>27</v>
      </c>
      <c r="C41" s="7">
        <f t="shared" si="1"/>
        <v>0</v>
      </c>
      <c r="D41" s="4"/>
      <c r="F41" s="9">
        <f ca="1"/>
        <v>27</v>
      </c>
      <c r="G41" s="7">
        <f t="shared" si="2"/>
        <v>0</v>
      </c>
      <c r="H41" s="5"/>
    </row>
    <row r="42" spans="2:8" ht="18.75" customHeight="1" x14ac:dyDescent="0.2">
      <c r="B42" s="14">
        <f ca="1"/>
        <v>28</v>
      </c>
      <c r="C42" s="7">
        <f t="shared" si="1"/>
        <v>0</v>
      </c>
      <c r="D42" s="4"/>
      <c r="F42" s="9">
        <f ca="1"/>
        <v>28</v>
      </c>
      <c r="G42" s="7">
        <f t="shared" si="2"/>
        <v>0</v>
      </c>
      <c r="H42" s="5"/>
    </row>
    <row r="43" spans="2:8" ht="18.75" customHeight="1" x14ac:dyDescent="0.2">
      <c r="B43" s="14">
        <f ca="1"/>
        <v>29</v>
      </c>
      <c r="C43" s="7">
        <f t="shared" si="1"/>
        <v>0</v>
      </c>
      <c r="D43" s="4"/>
      <c r="F43" s="9">
        <f ca="1"/>
        <v>29</v>
      </c>
      <c r="G43" s="7">
        <f t="shared" si="2"/>
        <v>0</v>
      </c>
      <c r="H43" s="5"/>
    </row>
    <row r="44" spans="2:8" ht="18.75" customHeight="1" x14ac:dyDescent="0.2">
      <c r="B44" s="14">
        <f ca="1"/>
        <v>30</v>
      </c>
      <c r="C44" s="7">
        <f t="shared" si="1"/>
        <v>0</v>
      </c>
      <c r="D44" s="4"/>
      <c r="F44" s="9">
        <f ca="1"/>
        <v>30</v>
      </c>
      <c r="G44" s="7">
        <f t="shared" si="2"/>
        <v>0</v>
      </c>
      <c r="H44" s="5"/>
    </row>
    <row r="45" spans="2:8" ht="18.75" customHeight="1" x14ac:dyDescent="0.2">
      <c r="B45" s="14">
        <f ca="1"/>
        <v>31</v>
      </c>
      <c r="C45" s="7">
        <f t="shared" si="1"/>
        <v>0</v>
      </c>
      <c r="D45" s="4"/>
      <c r="F45" s="9">
        <f ca="1"/>
        <v>31</v>
      </c>
      <c r="G45" s="7">
        <f t="shared" si="2"/>
        <v>0</v>
      </c>
      <c r="H45" s="5"/>
    </row>
  </sheetData>
  <conditionalFormatting sqref="C15:C45">
    <cfRule type="dataBar" priority="3">
      <dataBar showValue="0">
        <cfvo type="formula" val="$D$9-2"/>
        <cfvo type="formula" val="$D$8+2"/>
        <color theme="4" tint="-0.499984740745262"/>
      </dataBar>
      <extLst>
        <ext xmlns:x14="http://schemas.microsoft.com/office/spreadsheetml/2009/9/main" uri="{B025F937-C7B1-47D3-B67F-A62EFF666E3E}">
          <x14:id>{80C6DCB3-9F96-469C-A2B2-FABBE5DF4C98}</x14:id>
        </ext>
      </extLst>
    </cfRule>
  </conditionalFormatting>
  <conditionalFormatting sqref="G15:G45">
    <cfRule type="dataBar" priority="4">
      <dataBar showValue="0">
        <cfvo type="formula" val="$H$9-2"/>
        <cfvo type="formula" val="$H$8+2"/>
        <color theme="5" tint="-0.499984740745262"/>
      </dataBar>
      <extLst>
        <ext xmlns:x14="http://schemas.microsoft.com/office/spreadsheetml/2009/9/main" uri="{B025F937-C7B1-47D3-B67F-A62EFF666E3E}">
          <x14:id>{CCC67FE6-751F-442A-BA67-8FFA132820FB}</x14:id>
        </ext>
      </extLst>
    </cfRule>
  </conditionalFormatting>
  <dataValidations count="34">
    <dataValidation allowBlank="1" showInputMessage="1" showErrorMessage="1" prompt="En esta hoja de cálculo se realiza el seguimiento de la pérdida de peso de dos personas a lo largo de un mes. Defina un objetivo y escriba el peso de cada día del mes para calcular el porcentaje de peso perdido y la pérdida de peso total." sqref="A1" xr:uid="{00000000-0002-0000-0000-000000000000}"/>
    <dataValidation allowBlank="1" showInputMessage="1" showErrorMessage="1" prompt="El subtítulo de la hoja de cálculo ocupa esta celda." sqref="B1" xr:uid="{00000000-0002-0000-0000-000001000000}"/>
    <dataValidation allowBlank="1" showInputMessage="1" showErrorMessage="1" prompt="Escriba el nombre en esta celda" sqref="C4 G4" xr:uid="{00000000-0002-0000-0000-000002000000}"/>
    <dataValidation allowBlank="1" showInputMessage="1" showErrorMessage="1" prompt="Escriba el peso inicial de la persona 1 a continuación" sqref="B5" xr:uid="{00000000-0002-0000-0000-000003000000}"/>
    <dataValidation allowBlank="1" showInputMessage="1" showErrorMessage="1" prompt="Escriba el peso a lograr de la persona 1 a continuación" sqref="D5" xr:uid="{00000000-0002-0000-0000-000004000000}"/>
    <dataValidation allowBlank="1" showInputMessage="1" showErrorMessage="1" prompt="Escriba el peso inicial de la persona 1 en esta celda" sqref="B6" xr:uid="{00000000-0002-0000-0000-000005000000}"/>
    <dataValidation allowBlank="1" showInputMessage="1" showErrorMessage="1" prompt="Escriba el peso a lograr de la persona 1 en esta celda" sqref="D6" xr:uid="{00000000-0002-0000-0000-000006000000}"/>
    <dataValidation allowBlank="1" showInputMessage="1" showErrorMessage="1" prompt="Escriba el peso inicial de la persona 2 a continuación" sqref="F5" xr:uid="{00000000-0002-0000-0000-000007000000}"/>
    <dataValidation allowBlank="1" showInputMessage="1" showErrorMessage="1" prompt="Escriba el peso a lograr de la persona 2 a continuación" sqref="H5" xr:uid="{00000000-0002-0000-0000-000008000000}"/>
    <dataValidation allowBlank="1" showInputMessage="1" showErrorMessage="1" prompt="Escriba el peso inicial de la persona 2 en esta celda" sqref="F6" xr:uid="{00000000-0002-0000-0000-000009000000}"/>
    <dataValidation allowBlank="1" showInputMessage="1" showErrorMessage="1" prompt="Escriba el peso a lograr de la persona 2 en esta celda" sqref="H6" xr:uid="{00000000-0002-0000-0000-00000A000000}"/>
    <dataValidation allowBlank="1" showInputMessage="1" showErrorMessage="1" prompt="El peso máximo se calcula automáticamente a la derecha" sqref="B8 F8" xr:uid="{00000000-0002-0000-0000-00000B000000}"/>
    <dataValidation allowBlank="1" showInputMessage="1" showErrorMessage="1" prompt="Calcula automáticamente el peso máximo" sqref="H8 D8" xr:uid="{00000000-0002-0000-0000-00000C000000}"/>
    <dataValidation allowBlank="1" showInputMessage="1" showErrorMessage="1" prompt="El peso mínimo se calcula automáticamente a la derecha" sqref="B9 F9" xr:uid="{00000000-0002-0000-0000-00000D000000}"/>
    <dataValidation allowBlank="1" showInputMessage="1" showErrorMessage="1" prompt="Calcula automáticamente el peso mínimo" sqref="H9 D9" xr:uid="{00000000-0002-0000-0000-00000E000000}"/>
    <dataValidation allowBlank="1" showInputMessage="1" showErrorMessage="1" prompt="El porcentaje perdido se calcula automáticamente a la derecha" sqref="B10 F10" xr:uid="{00000000-0002-0000-0000-00000F000000}"/>
    <dataValidation allowBlank="1" showInputMessage="1" showErrorMessage="1" prompt="Calcula automáticamente el porcentaje de peso perdido" sqref="H10 D10" xr:uid="{00000000-0002-0000-0000-000010000000}"/>
    <dataValidation allowBlank="1" showInputMessage="1" showErrorMessage="1" prompt="El promedio de peso se calcula automáticamente a la derecha" sqref="B11 F11" xr:uid="{00000000-0002-0000-0000-000011000000}"/>
    <dataValidation allowBlank="1" showInputMessage="1" showErrorMessage="1" prompt="Calcula automáticamente el promedio de peso" sqref="H11 D11" xr:uid="{00000000-0002-0000-0000-000012000000}"/>
    <dataValidation allowBlank="1" showInputMessage="1" showErrorMessage="1" prompt="A lograr es la cantidad de peso por perder para lograr el objetivo; se calcula automáticamente a la derecha" sqref="B12 F12" xr:uid="{00000000-0002-0000-0000-000013000000}"/>
    <dataValidation allowBlank="1" showInputMessage="1" showErrorMessage="1" prompt="Calcula automáticamente el número A lograr" sqref="H12 D12" xr:uid="{00000000-0002-0000-0000-000014000000}"/>
    <dataValidation allowBlank="1" showInputMessage="1" showErrorMessage="1" prompt="El peso total perdido se calcula automáticamente a la derecha" sqref="B13 F13" xr:uid="{00000000-0002-0000-0000-000015000000}"/>
    <dataValidation allowBlank="1" showInputMessage="1" showErrorMessage="1" prompt="Calcula automáticamente el peso total perdido" sqref="H13 D13" xr:uid="{00000000-0002-0000-0000-000016000000}"/>
    <dataValidation allowBlank="1" showInputMessage="1" showErrorMessage="1" prompt="Esta celda contiene el título de la hoja de cálculo." sqref="C2" xr:uid="{00000000-0002-0000-0000-000017000000}"/>
    <dataValidation allowBlank="1" showInputMessage="1" showErrorMessage="1" prompt="Escriba el mes y el año en las celdas D3 y F3, los nombres en las celdas C4 y G4, el peso inicial en las celdas B6 y F6, y el peso objetivo en las celdas D6 y H6. Realice un seguimiento de la pérdida diaria de peso empezando en las celdas B14 y F14." sqref="B2" xr:uid="{00000000-0002-0000-0000-000018000000}"/>
    <dataValidation allowBlank="1" showInputMessage="1" showErrorMessage="1" prompt="Escriba el mes en esta celda" sqref="D3" xr:uid="{00000000-0002-0000-0000-000019000000}"/>
    <dataValidation allowBlank="1" showInputMessage="1" showErrorMessage="1" prompt="Escriba el año en esta celda" sqref="F3" xr:uid="{00000000-0002-0000-0000-00001A000000}"/>
    <dataValidation allowBlank="1" showInputMessage="1" showErrorMessage="1" prompt="Flecha que apunta del Peso inicial al Peso a lograr" sqref="C6 G6" xr:uid="{00000000-0002-0000-0000-00001B000000}"/>
    <dataValidation allowBlank="1" showInputMessage="1" showErrorMessage="1" prompt="El peso máximo, mínimo, el porcentaje perdido, el promedio, el objetivo a lograr y la pérdida total se calculan automáticamente en la columna D, a continuación" sqref="B7 F7" xr:uid="{00000000-0002-0000-0000-00001C000000}"/>
    <dataValidation allowBlank="1" showInputMessage="1" showErrorMessage="1" prompt="El día del mes está en la columna con este encabezado" sqref="B14 F14" xr:uid="{00000000-0002-0000-0000-00001D000000}"/>
    <dataValidation allowBlank="1" showInputMessage="1" showErrorMessage="1" prompt="Escriba el peso en la columna con este encabezado" sqref="D14 H14" xr:uid="{00000000-0002-0000-0000-00001E000000}"/>
    <dataValidation allowBlank="1" showInputMessage="1" showErrorMessage="1" prompt="La barra de progreso en la que se muestra el progreso desde el peso inicial hasta el peso a lograr está en la columna con este encabezado" sqref="C14 G14" xr:uid="{00000000-0002-0000-0000-00001F000000}"/>
    <dataValidation allowBlank="1" showInputMessage="1" showErrorMessage="1" prompt="Escriba el mes y el año en las celdas de la derecha" sqref="C3" xr:uid="{00000000-0002-0000-0000-000020000000}"/>
    <dataValidation allowBlank="1" showInputMessage="1" showErrorMessage="1" prompt="Escriba los nombres en C4 y G4" sqref="B4" xr:uid="{00000000-0002-0000-0000-000021000000}"/>
  </dataValidations>
  <printOptions horizontalCentered="1"/>
  <pageMargins left="0.5" right="0.5" top="0.5" bottom="0.5" header="0.3" footer="0.3"/>
  <pageSetup paperSize="9" scale="77" orientation="portrait" r:id="rId1"/>
  <headerFooter differentFirst="1">
    <oddFooter>Page &amp;P of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C6DCB3-9F96-469C-A2B2-FABBE5DF4C98}">
            <x14:dataBar minLength="0" maxLength="100" gradient="0">
              <x14:cfvo type="formula">
                <xm:f>$D$9-2</xm:f>
              </x14:cfvo>
              <x14:cfvo type="formula">
                <xm:f>$D$8+2</xm:f>
              </x14:cfvo>
              <x14:negativeFillColor rgb="FFFF0000"/>
              <x14:axisColor rgb="FF000000"/>
            </x14:dataBar>
          </x14:cfRule>
          <xm:sqref>C15:C45</xm:sqref>
        </x14:conditionalFormatting>
        <x14:conditionalFormatting xmlns:xm="http://schemas.microsoft.com/office/excel/2006/main">
          <x14:cfRule type="dataBar" id="{CCC67FE6-751F-442A-BA67-8FFA132820FB}">
            <x14:dataBar minLength="0" maxLength="100" gradient="0" direction="leftToRight">
              <x14:cfvo type="formula">
                <xm:f>$H$9-2</xm:f>
              </x14:cfvo>
              <x14:cfvo type="formula">
                <xm:f>$H$8+2</xm:f>
              </x14:cfvo>
              <x14:negativeFillColor rgb="FFFF0000"/>
              <x14:axisColor rgb="FF000000"/>
            </x14:dataBar>
          </x14:cfRule>
          <xm:sqref>G15:G45</xm:sqref>
        </x14:conditionalFormatting>
      </x14:conditionalFormattings>
    </ext>
  </extLst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3.xml><?xml version="1.0" encoding="utf-8"?>
<ds:datastoreItem xmlns:ds="http://schemas.openxmlformats.org/officeDocument/2006/customXml" ds:itemID="{1FE52739-19BE-47C9-B7DF-4FCEB44E53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2.xml><?xml version="1.0" encoding="utf-8"?>
<ds:datastoreItem xmlns:ds="http://schemas.openxmlformats.org/officeDocument/2006/customXml" ds:itemID="{746414C8-6D88-48B7-BCA5-69C01B7F66A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1.xml><?xml version="1.0" encoding="utf-8"?>
<ds:datastoreItem xmlns:ds="http://schemas.openxmlformats.org/officeDocument/2006/customXml" ds:itemID="{2EFE2BD8-CAD2-4222-AE53-DFA5D106271D}">
  <ds:schemaRefs>
    <ds:schemaRef ds:uri="http://schemas.microsoft.com/sharepoint/v3/contenttype/forms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emplate>TM04022391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ap:HeadingPairs>
  <ap:TitlesOfParts>
    <vt:vector baseType="lpstr" size="8">
      <vt:lpstr>Mes 1</vt:lpstr>
      <vt:lpstr>Calendar_Year</vt:lpstr>
      <vt:lpstr>ColumnTitleRange1..D45.1</vt:lpstr>
      <vt:lpstr>ColumnTitleRange2..H45.1</vt:lpstr>
      <vt:lpstr>FechaTítuloIntervalo2..H13.1</vt:lpstr>
      <vt:lpstr>HerStarting</vt:lpstr>
      <vt:lpstr>HisStarting</vt:lpstr>
      <vt:lpstr>RowTitleRange1..D13.1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2022-02-14T04:54:13Z</dcterms:created>
  <dcterms:modified xsi:type="dcterms:W3CDTF">2022-03-30T07:40:32Z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