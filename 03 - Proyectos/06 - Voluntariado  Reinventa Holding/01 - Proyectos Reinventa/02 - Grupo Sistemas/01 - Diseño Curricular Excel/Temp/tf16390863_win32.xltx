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png" ContentType="image/png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customXml/item3.xml" ContentType="application/xml"/>
  <Override PartName="/customXml/itemProps31.xml" ContentType="application/vnd.openxmlformats-officedocument.customXmlProperties+xml"/>
  <Override PartName="/xl/styles.xml" ContentType="application/vnd.openxmlformats-officedocument.spreadsheetml.styles+xml"/>
  <Override PartName="/customXml/item22.xml" ContentType="application/xml"/>
  <Override PartName="/customXml/itemProps22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charts/chart12.xml" ContentType="application/vnd.openxmlformats-officedocument.drawingml.chart+xml"/>
  <Override PartName="/customXml/item13.xml" ContentType="application/xml"/>
  <Override PartName="/customXml/itemProps13.xml" ContentType="application/vnd.openxmlformats-officedocument.customXml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/>
  <workbookPr filterPrivacy="1" codeName="ThisWorkbook"/>
  <xr:revisionPtr revIDLastSave="0" documentId="13_ncr:1_{3A266C02-9CC9-4149-AA9B-48040F7F78BA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alculadora de pag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1" l="1"/>
  <c r="G8" i="1"/>
  <c r="G6" i="1"/>
  <c r="G5" i="1"/>
</calcChain>
</file>

<file path=xl/sharedStrings.xml><?xml version="1.0" encoding="utf-8"?>
<sst xmlns="http://schemas.openxmlformats.org/spreadsheetml/2006/main" count="13" uniqueCount="13">
  <si>
    <t>Tarjeta de crédito</t>
  </si>
  <si>
    <t>Calculadora de pagos</t>
  </si>
  <si>
    <t>Saldo debido</t>
  </si>
  <si>
    <t>Tasa de interés</t>
  </si>
  <si>
    <t>Pago mensual mínimo</t>
  </si>
  <si>
    <t>Pago mensual propuesto</t>
  </si>
  <si>
    <t>Meses para la liquidación</t>
  </si>
  <si>
    <t>Meses para la liquidación basados en el pago mínimo</t>
  </si>
  <si>
    <t>Meses para la liquidación basados en el pago propuesto</t>
  </si>
  <si>
    <t>Interés total basado en el pago mínimo</t>
  </si>
  <si>
    <t>Interés total basado en el pago propuesto</t>
  </si>
  <si>
    <t>Importe total de intereses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</si>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</sst>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1" formatCode="_(* #,##0_);_(* \(#,##0\);_(* &quot;-&quot;_);_(@_)"/>
    <numFmt numFmtId="43" formatCode="_(* #,##0.00_);_(* \(#,##0.00\);_(* &quot;-&quot;??_);_(@_)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#,##0\ &quot;€&quot;"/>
    <numFmt numFmtId="167" formatCode="#,##0\ &quot;€&quot;;[Red]#,##0\ &quot;€&quot;"/>
  </numFmts>
  <fonts count="30" x14ac:knownFonts="1">
    <font>
      <sz val="11"/>
      <color theme="1" tint="0.34998626667073579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6"/>
      <color theme="1" tint="0.34998626667073579"/>
      <name val="Consolas"/>
      <family val="2"/>
      <scheme val="major"/>
    </font>
    <font>
      <b/>
      <sz val="11"/>
      <color theme="1"/>
      <name val="Century Gothic"/>
      <family val="2"/>
      <scheme val="minor"/>
    </font>
    <font>
      <b/>
      <sz val="14"/>
      <color theme="4" tint="-0.24994659260841701"/>
      <name val="Consolas"/>
      <family val="2"/>
      <scheme val="major"/>
    </font>
    <font>
      <b/>
      <sz val="25"/>
      <color theme="4" tint="-0.24994659260841701"/>
      <name val="Consolas"/>
      <family val="2"/>
      <scheme val="major"/>
    </font>
    <font>
      <sz val="11"/>
      <color theme="1" tint="0.34998626667073579"/>
      <name val="Century Gothic"/>
      <family val="2"/>
      <scheme val="minor"/>
    </font>
    <font>
      <b/>
      <sz val="11"/>
      <color theme="4" tint="-0.499984740745262"/>
      <name val="Century Gothic"/>
      <family val="2"/>
      <scheme val="minor"/>
    </font>
    <font>
      <sz val="11"/>
      <color theme="1" tint="0.14999847407452621"/>
      <name val="Century Gothic"/>
      <family val="2"/>
      <scheme val="minor"/>
    </font>
    <font>
      <b/>
      <sz val="11"/>
      <color theme="1" tint="0.14999847407452621"/>
      <name val="Century Gothic"/>
      <family val="2"/>
      <scheme val="minor"/>
    </font>
    <font>
      <sz val="24"/>
      <color theme="1" tint="0.14999847407452621"/>
      <name val="Century Gothic"/>
      <family val="2"/>
      <scheme val="minor"/>
    </font>
    <font>
      <sz val="26"/>
      <color theme="1" tint="0.14999847407452621"/>
      <name val="Century Gothic"/>
      <family val="2"/>
      <scheme val="minor"/>
    </font>
    <font>
      <sz val="11"/>
      <color theme="1" tint="0.14999847407452621"/>
      <name val="Consolas"/>
      <family val="3"/>
    </font>
    <font>
      <sz val="11"/>
      <color theme="1" tint="0.14999847407452621"/>
      <name val="Century Gothic"/>
      <family val="2"/>
    </font>
    <font>
      <sz val="10"/>
      <color theme="1" tint="0.14999847407452621"/>
      <name val="Century Gothic"/>
      <family val="2"/>
    </font>
    <font>
      <sz val="11"/>
      <color theme="0"/>
      <name val="Century Gothic"/>
      <family val="2"/>
    </font>
    <font>
      <sz val="28"/>
      <color theme="8" tint="-0.249977111117893"/>
      <name val="Consolas"/>
      <family val="3"/>
    </font>
    <font>
      <sz val="18"/>
      <color theme="8" tint="-0.249977111117893"/>
      <name val="Consolas"/>
      <family val="3"/>
    </font>
    <font>
      <b/>
      <sz val="11"/>
      <color theme="3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i/>
      <sz val="11"/>
      <color rgb="FF7F7F7F"/>
      <name val="Century Gothic"/>
      <family val="2"/>
      <scheme val="minor"/>
    </font>
    <font>
      <sz val="11"/>
      <color theme="0"/>
      <name val="Century Gothic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 style="thin">
        <color theme="4" tint="-0.24994659260841701"/>
      </top>
      <bottom style="double">
        <color theme="4" tint="-0.2499465926084170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0" fontId="5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 applyNumberFormat="0" applyFill="0" applyAlignment="0" applyProtection="0"/>
    <xf numFmtId="0" fontId="3" fillId="0" borderId="1" applyNumberFormat="0" applyFill="0" applyAlignment="0" applyProtection="0"/>
    <xf numFmtId="0" fontId="6" fillId="0" borderId="0" applyNumberFormat="0" applyFont="0" applyFill="0" applyBorder="0">
      <alignment horizontal="left"/>
    </xf>
    <xf numFmtId="0" fontId="6" fillId="0" borderId="2" applyNumberFormat="0" applyFont="0" applyFill="0" applyAlignment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5" borderId="0" applyNumberFormat="0" applyBorder="0" applyAlignment="0" applyProtection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  <xf numFmtId="0" fontId="22" fillId="8" borderId="5" applyNumberFormat="0" applyAlignment="0" applyProtection="0"/>
    <xf numFmtId="0" fontId="23" fillId="9" borderId="6" applyNumberFormat="0" applyAlignment="0" applyProtection="0"/>
    <xf numFmtId="0" fontId="24" fillId="9" borderId="5" applyNumberFormat="0" applyAlignment="0" applyProtection="0"/>
    <xf numFmtId="0" fontId="25" fillId="0" borderId="7" applyNumberFormat="0" applyFill="0" applyAlignment="0" applyProtection="0"/>
    <xf numFmtId="0" fontId="26" fillId="10" borderId="8" applyNumberFormat="0" applyAlignment="0" applyProtection="0"/>
    <xf numFmtId="0" fontId="27" fillId="0" borderId="0" applyNumberFormat="0" applyFill="0" applyBorder="0" applyAlignment="0" applyProtection="0"/>
    <xf numFmtId="0" fontId="6" fillId="11" borderId="9" applyNumberFormat="0" applyFont="0" applyAlignment="0" applyProtection="0"/>
    <xf numFmtId="0" fontId="28" fillId="0" borderId="0" applyNumberFormat="0" applyFill="0" applyBorder="0" applyAlignment="0" applyProtection="0"/>
    <xf numFmtId="0" fontId="29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9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9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9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27">
    <xf numFmtId="0" fontId="0" fillId="0" borderId="0" xfId="0"/>
    <xf numFmtId="0" fontId="8" fillId="0" borderId="0" xfId="0" applyFont="1" applyAlignment="1">
      <alignment horizontal="center" vertical="center"/>
    </xf>
    <xf numFmtId="0" fontId="8" fillId="0" borderId="0" xfId="6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1" applyFont="1" applyBorder="1" applyAlignment="1">
      <alignment horizontal="center" vertical="center"/>
    </xf>
    <xf numFmtId="0" fontId="8" fillId="0" borderId="0" xfId="7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10" fontId="13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right" vertical="center" wrapText="1" indent="1"/>
    </xf>
    <xf numFmtId="10" fontId="13" fillId="3" borderId="4" xfId="0" applyNumberFormat="1" applyFont="1" applyFill="1" applyBorder="1" applyAlignment="1">
      <alignment horizontal="center" vertical="center" wrapText="1"/>
    </xf>
    <xf numFmtId="0" fontId="13" fillId="2" borderId="4" xfId="6" applyFont="1" applyFill="1" applyBorder="1" applyAlignment="1">
      <alignment horizontal="center" vertical="center"/>
    </xf>
    <xf numFmtId="0" fontId="15" fillId="4" borderId="4" xfId="6" applyFont="1" applyFill="1" applyBorder="1" applyAlignment="1">
      <alignment horizontal="center" vertical="center"/>
    </xf>
    <xf numFmtId="0" fontId="14" fillId="0" borderId="0" xfId="0" applyFont="1" applyAlignment="1">
      <alignment horizontal="right" vertical="center" indent="1"/>
    </xf>
    <xf numFmtId="0" fontId="16" fillId="2" borderId="0" xfId="2" applyFont="1" applyFill="1" applyAlignment="1">
      <alignment horizontal="left" indent="1"/>
    </xf>
    <xf numFmtId="0" fontId="16" fillId="2" borderId="0" xfId="1" applyFont="1" applyFill="1" applyBorder="1" applyAlignment="1">
      <alignment horizontal="left" vertical="top" indent="1"/>
    </xf>
    <xf numFmtId="0" fontId="17" fillId="0" borderId="3" xfId="0" applyFont="1" applyBorder="1" applyAlignment="1">
      <alignment horizontal="left" vertical="center"/>
    </xf>
    <xf numFmtId="166" fontId="13" fillId="3" borderId="4" xfId="0" applyNumberFormat="1" applyFont="1" applyFill="1" applyBorder="1" applyAlignment="1">
      <alignment horizontal="center" vertical="center" wrapText="1"/>
    </xf>
    <xf numFmtId="166" fontId="13" fillId="0" borderId="0" xfId="0" applyNumberFormat="1" applyFont="1" applyAlignment="1">
      <alignment horizontal="center" vertical="center" wrapText="1"/>
    </xf>
    <xf numFmtId="166" fontId="13" fillId="2" borderId="4" xfId="6" applyNumberFormat="1" applyFont="1" applyFill="1" applyBorder="1" applyAlignment="1">
      <alignment horizontal="center" vertical="center"/>
    </xf>
    <xf numFmtId="166" fontId="15" fillId="4" borderId="4" xfId="6" applyNumberFormat="1" applyFont="1" applyFill="1" applyBorder="1" applyAlignment="1">
      <alignment horizontal="center" vertical="center"/>
    </xf>
    <xf numFmtId="166" fontId="8" fillId="0" borderId="0" xfId="0" applyNumberFormat="1" applyFont="1" applyAlignment="1">
      <alignment horizontal="center" vertical="center" wrapText="1"/>
    </xf>
    <xf numFmtId="166" fontId="12" fillId="0" borderId="3" xfId="0" applyNumberFormat="1" applyFont="1" applyBorder="1" applyAlignment="1">
      <alignment horizontal="center" vertical="center" wrapText="1"/>
    </xf>
    <xf numFmtId="166" fontId="12" fillId="0" borderId="0" xfId="0" applyNumberFormat="1" applyFont="1" applyAlignment="1">
      <alignment horizontal="center" vertical="center" wrapText="1"/>
    </xf>
    <xf numFmtId="167" fontId="8" fillId="0" borderId="0" xfId="6" applyNumberFormat="1" applyFont="1" applyAlignment="1">
      <alignment horizontal="center" vertical="center"/>
    </xf>
  </cellXfs>
  <cellStyles count="49">
    <cellStyle name="20% - Accent1" xfId="26" builtinId="30" customBuiltin="1"/>
    <cellStyle name="20% - Accent2" xfId="30" builtinId="34" customBuiltin="1"/>
    <cellStyle name="20% - Accent3" xfId="34" builtinId="38" customBuiltin="1"/>
    <cellStyle name="20% - Accent4" xfId="38" builtinId="42" customBuiltin="1"/>
    <cellStyle name="20% - Accent5" xfId="42" builtinId="46" customBuiltin="1"/>
    <cellStyle name="20% - Accent6" xfId="46" builtinId="50" customBuiltin="1"/>
    <cellStyle name="40% - Accent1" xfId="27" builtinId="31" customBuiltin="1"/>
    <cellStyle name="40% - Accent2" xfId="31" builtinId="35" customBuiltin="1"/>
    <cellStyle name="40% - Accent3" xfId="35" builtinId="39" customBuiltin="1"/>
    <cellStyle name="40% - Accent4" xfId="39" builtinId="43" customBuiltin="1"/>
    <cellStyle name="40% - Accent5" xfId="43" builtinId="47" customBuiltin="1"/>
    <cellStyle name="40% - Accent6" xfId="47" builtinId="51" customBuiltin="1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Comma" xfId="8" builtinId="3" customBuiltin="1"/>
    <cellStyle name="Comma [0]" xfId="9" builtinId="6" customBuiltin="1"/>
    <cellStyle name="Currency" xfId="10" builtinId="4" customBuiltin="1"/>
    <cellStyle name="Currency [0]" xfId="11" builtinId="7" customBuiltin="1"/>
    <cellStyle name="Explanatory Text" xfId="24" builtinId="53" customBuiltin="1"/>
    <cellStyle name="Good" xfId="14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13" builtinId="19" customBuiltin="1"/>
    <cellStyle name="Importe" xfId="6" xr:uid="{00000000-0005-0000-0000-000000000000}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 customBuiltin="1"/>
    <cellStyle name="Note" xfId="23" builtinId="10" customBuiltin="1"/>
    <cellStyle name="Output" xfId="18" builtinId="21" customBuiltin="1"/>
    <cellStyle name="Percent" xfId="12" builtinId="5" customBuiltin="1"/>
    <cellStyle name="Separador de gráfico" xfId="7" xr:uid="{00000000-0005-0000-0000-000001000000}"/>
    <cellStyle name="Title" xfId="1" builtinId="15" customBuiltin="1"/>
    <cellStyle name="Total" xfId="5" builtinId="25" customBuiltin="1"/>
    <cellStyle name="Warning Text" xfId="22" builtinId="11" customBuiltin="1"/>
  </cellStyles>
  <dxfs count="5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theme="4" tint="-0.499984740745262"/>
      </font>
      <border>
        <top style="thin">
          <color auto="1"/>
        </top>
      </border>
    </dxf>
  </dxfs>
  <tableStyles count="1" defaultTableStyle="TableStyleMedium2" defaultPivotStyle="PivotStyleLight16">
    <tableStyle name="Tabla Préstamo" pivot="0" count="1" xr9:uid="{00000000-0011-0000-FFFF-FFFF00000000}"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3.xml" Id="rId8" /><Relationship Type="http://schemas.openxmlformats.org/officeDocument/2006/relationships/styles" Target="/xl/styles.xml" Id="rId3" /><Relationship Type="http://schemas.openxmlformats.org/officeDocument/2006/relationships/customXml" Target="/customXml/item22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13.xml" Id="rId6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charts/_rels/chart21.xml.rels>&#65279;<?xml version="1.0" encoding="utf-8"?><Relationships xmlns="http://schemas.openxmlformats.org/package/2006/relationships"><Relationship Type="http://schemas.microsoft.com/office/2011/relationships/chartColorStyle" Target="/xl/charts/colors1.xml" Id="rId2" /><Relationship Type="http://schemas.microsoft.com/office/2011/relationships/chartStyle" Target="/xl/charts/style1.xml" Id="rId1" /></Relationships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457966876947398E-2"/>
          <c:y val="5.4200542005420058E-2"/>
          <c:w val="0.99368686868686884"/>
          <c:h val="0.8187534558180226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D21B-4FBA-A881-F8F424BB681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3-D21B-4FBA-A881-F8F424BB6810}"/>
              </c:ext>
            </c:extLst>
          </c:dPt>
          <c:cat>
            <c:strLit>
              <c:ptCount val="2"/>
              <c:pt idx="0">
                <c:v>Pago mínimo</c:v>
              </c:pt>
              <c:pt idx="1">
                <c:v> Pago propuesto</c:v>
              </c:pt>
            </c:strLit>
          </c:cat>
          <c:val>
            <c:numRef>
              <c:f>'Calculadora de pagos'!$G$8:$G$9</c:f>
              <c:numCache>
                <c:formatCode>#,##0\ "€"</c:formatCode>
                <c:ptCount val="2"/>
                <c:pt idx="0">
                  <c:v>1763.9522603810219</c:v>
                </c:pt>
                <c:pt idx="1">
                  <c:v>984.81075313113797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B6-4873-B908-C0F73ADF9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79610912"/>
        <c:axId val="579605032"/>
      </c:barChart>
      <c:catAx>
        <c:axId val="57961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05032"/>
        <c:crosses val="autoZero"/>
        <c:auto val="1"/>
        <c:lblAlgn val="ctr"/>
        <c:lblOffset val="100"/>
        <c:noMultiLvlLbl val="0"/>
      </c:catAx>
      <c:valAx>
        <c:axId val="579605032"/>
        <c:scaling>
          <c:orientation val="minMax"/>
        </c:scaling>
        <c:delete val="0"/>
        <c:axPos val="l"/>
        <c:numFmt formatCode="#,##0\ &quot;€&quot;" sourceLinked="1"/>
        <c:majorTickMark val="out"/>
        <c:minorTickMark val="none"/>
        <c:tickLblPos val="nextTo"/>
        <c:spPr>
          <a:ln w="3175">
            <a:solidFill>
              <a:schemeClr val="bg1">
                <a:lumMod val="75000"/>
                <a:alpha val="50000"/>
              </a:schemeClr>
            </a:solidFill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79610912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418863099296907E-3"/>
          <c:y val="4.9992488750196327E-3"/>
          <c:w val="0.9938084662494111"/>
          <c:h val="0.8645942257217847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B8A-4DF1-86CF-05BC25F7649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8A-4DF1-86CF-05BC25F76491}"/>
              </c:ext>
            </c:extLst>
          </c:dPt>
          <c:cat>
            <c:strLit>
              <c:ptCount val="2"/>
              <c:pt idx="0">
                <c:v>Pago mínimo</c:v>
              </c:pt>
              <c:pt idx="1">
                <c:v> Pago propuesto</c:v>
              </c:pt>
            </c:strLit>
          </c:cat>
          <c:val>
            <c:numRef>
              <c:f>'Calculadora de pagos'!$G$5:$G$6</c:f>
              <c:numCache>
                <c:formatCode>General</c:formatCode>
                <c:ptCount val="2"/>
                <c:pt idx="0">
                  <c:v>40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2B-4369-93F7-341C9D94F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579602288"/>
        <c:axId val="579611696"/>
      </c:barChart>
      <c:catAx>
        <c:axId val="57960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11696"/>
        <c:crosses val="autoZero"/>
        <c:auto val="1"/>
        <c:lblAlgn val="ctr"/>
        <c:lblOffset val="100"/>
        <c:noMultiLvlLbl val="0"/>
      </c:catAx>
      <c:valAx>
        <c:axId val="579611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3175">
            <a:solidFill>
              <a:schemeClr val="bg1">
                <a:lumMod val="75000"/>
                <a:alpha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0228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1.xml.rels>&#65279;<?xml version="1.0" encoding="utf-8"?><Relationships xmlns="http://schemas.openxmlformats.org/package/2006/relationships"><Relationship Type="http://schemas.openxmlformats.org/officeDocument/2006/relationships/image" Target="/xl/media/image1.png" Id="rId3" /><Relationship Type="http://schemas.openxmlformats.org/officeDocument/2006/relationships/chart" Target="/xl/charts/chart21.xml" Id="rId2" /><Relationship Type="http://schemas.openxmlformats.org/officeDocument/2006/relationships/chart" Target="/xl/charts/chart12.xml" Id="rId1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12</xdr:row>
      <xdr:rowOff>0</xdr:rowOff>
    </xdr:from>
    <xdr:to>
      <xdr:col>6</xdr:col>
      <xdr:colOff>914400</xdr:colOff>
      <xdr:row>13</xdr:row>
      <xdr:rowOff>0</xdr:rowOff>
    </xdr:to>
    <xdr:graphicFrame macro="">
      <xdr:nvGraphicFramePr>
        <xdr:cNvPr id="2" name="GráficoPagos" descr="Gráfico que muestra la comparación del total de intereses pagados basándose en los pagos mínimos y estimado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12</xdr:row>
      <xdr:rowOff>0</xdr:rowOff>
    </xdr:from>
    <xdr:to>
      <xdr:col>4</xdr:col>
      <xdr:colOff>0</xdr:colOff>
      <xdr:row>13</xdr:row>
      <xdr:rowOff>0</xdr:rowOff>
    </xdr:to>
    <xdr:graphicFrame macro="">
      <xdr:nvGraphicFramePr>
        <xdr:cNvPr id="3" name="GráficoPeríodos" descr="Gráfico que muestra la comparación de los meses para la liquidación del préstamo basándose en los pagos mínimos y estimado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542925</xdr:colOff>
      <xdr:row>1</xdr:row>
      <xdr:rowOff>0</xdr:rowOff>
    </xdr:from>
    <xdr:to>
      <xdr:col>7</xdr:col>
      <xdr:colOff>9525</xdr:colOff>
      <xdr:row>3</xdr:row>
      <xdr:rowOff>0</xdr:rowOff>
    </xdr:to>
    <xdr:pic>
      <xdr:nvPicPr>
        <xdr:cNvPr id="8" name="Imagen 7" descr="Ilustración de dibujos de un hombre y una mujer comprando" title="Imagen de encabezado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76825" y="114300"/>
          <a:ext cx="3714750" cy="1295400"/>
        </a:xfrm>
        <a:prstGeom prst="rect">
          <a:avLst/>
        </a:prstGeom>
      </xdr:spPr>
    </xdr:pic>
    <xdr:clientData/>
  </xdr:twoCellAnchor>
</xdr:wsDr>
</file>

<file path=xl/theme/theme11.xml><?xml version="1.0" encoding="utf-8"?>
<a:theme xmlns:a="http://schemas.openxmlformats.org/drawingml/2006/main" name="Office Theme">
  <a:themeElements>
    <a:clrScheme name="Custom 35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7DCEA"/>
      </a:accent1>
      <a:accent2>
        <a:srgbClr val="CA56A1"/>
      </a:accent2>
      <a:accent3>
        <a:srgbClr val="A5A5A5"/>
      </a:accent3>
      <a:accent4>
        <a:srgbClr val="FFC000"/>
      </a:accent4>
      <a:accent5>
        <a:srgbClr val="B35A5A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59">
      <a:majorFont>
        <a:latin typeface="Consolas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drawing" Target="/xl/drawings/drawing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showGridLines="0" tabSelected="1" zoomScaleNormal="100" workbookViewId="0"/>
  </sheetViews>
  <sheetFormatPr defaultColWidth="9" defaultRowHeight="24" customHeight="1" x14ac:dyDescent="0.3"/>
  <cols>
    <col min="1" max="1" width="1.625" style="1" customWidth="1"/>
    <col min="2" max="2" width="27.875" style="1" customWidth="1"/>
    <col min="3" max="3" width="16.875" style="1" customWidth="1"/>
    <col min="4" max="4" width="6.5" style="1" customWidth="1"/>
    <col min="5" max="5" width="6.625" style="1" customWidth="1"/>
    <col min="6" max="6" width="39.125" style="1" customWidth="1"/>
    <col min="7" max="7" width="16.625" style="1" customWidth="1"/>
    <col min="8" max="8" width="1.625" style="1" customWidth="1"/>
    <col min="9" max="16384" width="9" style="1"/>
  </cols>
  <sheetData>
    <row r="1" spans="1:8" ht="9" customHeight="1" x14ac:dyDescent="0.3">
      <c r="A1" s="5"/>
      <c r="H1" s="1" t="s">
        <v>12</v>
      </c>
    </row>
    <row r="2" spans="1:8" s="4" customFormat="1" ht="51" customHeight="1" x14ac:dyDescent="0.5">
      <c r="B2" s="16" t="s">
        <v>0</v>
      </c>
      <c r="C2" s="8"/>
      <c r="D2" s="8"/>
      <c r="E2" s="8"/>
      <c r="F2" s="8"/>
      <c r="G2" s="8"/>
    </row>
    <row r="3" spans="1:8" s="4" customFormat="1" ht="51" customHeight="1" x14ac:dyDescent="0.3">
      <c r="B3" s="17" t="s">
        <v>1</v>
      </c>
      <c r="C3" s="8"/>
      <c r="D3" s="8"/>
      <c r="E3" s="8"/>
      <c r="F3" s="8"/>
      <c r="G3" s="8"/>
    </row>
    <row r="4" spans="1:8" ht="30" customHeight="1" x14ac:dyDescent="0.3">
      <c r="B4" s="6"/>
    </row>
    <row r="5" spans="1:8" ht="30" customHeight="1" x14ac:dyDescent="0.3">
      <c r="B5" s="11" t="s">
        <v>2</v>
      </c>
      <c r="C5" s="19">
        <v>10000</v>
      </c>
      <c r="D5" s="20"/>
      <c r="E5" s="20"/>
      <c r="F5" s="15" t="s">
        <v>7</v>
      </c>
      <c r="G5" s="13">
        <f>IFERROR((ROUNDUP(NPER('Calculadora de pagos'!C6/12,-'Calculadora de pagos'!C8,'Calculadora de pagos'!C5,0),0)),"N/A")</f>
        <v>40</v>
      </c>
    </row>
    <row r="6" spans="1:8" ht="30" customHeight="1" x14ac:dyDescent="0.3">
      <c r="B6" s="11" t="s">
        <v>3</v>
      </c>
      <c r="C6" s="12">
        <v>0.1</v>
      </c>
      <c r="D6" s="10"/>
      <c r="E6" s="10"/>
      <c r="F6" s="15" t="s">
        <v>8</v>
      </c>
      <c r="G6" s="14">
        <f>IFERROR(ROUNDUP(NPER('Calculadora de pagos'!C6/12,-'Calculadora de pagos'!C9,'Calculadora de pagos'!C5,0),0),"N/A")</f>
        <v>22</v>
      </c>
    </row>
    <row r="7" spans="1:8" ht="9" customHeight="1" x14ac:dyDescent="0.3">
      <c r="B7" s="6"/>
    </row>
    <row r="8" spans="1:8" ht="30" customHeight="1" x14ac:dyDescent="0.3">
      <c r="B8" s="11" t="s">
        <v>4</v>
      </c>
      <c r="C8" s="19">
        <v>300</v>
      </c>
      <c r="D8" s="20"/>
      <c r="E8" s="20"/>
      <c r="F8" s="15" t="s">
        <v>9</v>
      </c>
      <c r="G8" s="21">
        <f>IFERROR(((NPER('Calculadora de pagos'!C6/12,-'Calculadora de pagos'!C8,'Calculadora de pagos'!C5,0)*'Calculadora de pagos'!C8)-'Calculadora de pagos'!C5),"N/A")</f>
        <v>1763.9522603810219</v>
      </c>
    </row>
    <row r="9" spans="1:8" ht="30" customHeight="1" x14ac:dyDescent="0.3">
      <c r="B9" s="11" t="s">
        <v>5</v>
      </c>
      <c r="C9" s="19">
        <v>500</v>
      </c>
      <c r="D9" s="20"/>
      <c r="E9" s="20"/>
      <c r="F9" s="15" t="s">
        <v>10</v>
      </c>
      <c r="G9" s="22">
        <f>IFERROR(((NPER('Calculadora de pagos'!C6/12,-'Calculadora de pagos'!C9,'Calculadora de pagos'!C5,0)*'Calculadora de pagos'!C9)-'Calculadora de pagos'!C5),"N/A")</f>
        <v>984.81075313113797</v>
      </c>
    </row>
    <row r="10" spans="1:8" ht="30" customHeight="1" x14ac:dyDescent="0.3">
      <c r="B10" s="3"/>
      <c r="C10" s="23"/>
      <c r="D10" s="23"/>
      <c r="E10" s="23"/>
      <c r="F10" s="23"/>
      <c r="G10" s="23"/>
    </row>
    <row r="11" spans="1:8" s="9" customFormat="1" ht="39" customHeight="1" x14ac:dyDescent="0.3">
      <c r="B11" s="18" t="s">
        <v>6</v>
      </c>
      <c r="C11" s="24"/>
      <c r="D11" s="24"/>
      <c r="E11" s="25"/>
      <c r="F11" s="18" t="s">
        <v>11</v>
      </c>
      <c r="G11" s="24"/>
    </row>
    <row r="12" spans="1:8" ht="9" customHeight="1" x14ac:dyDescent="0.3">
      <c r="B12" s="3"/>
      <c r="C12" s="23"/>
      <c r="D12" s="23"/>
      <c r="E12" s="23"/>
      <c r="F12" s="23"/>
      <c r="G12" s="23"/>
    </row>
    <row r="13" spans="1:8" ht="225" customHeight="1" x14ac:dyDescent="0.3">
      <c r="B13" s="7"/>
      <c r="C13" s="7"/>
      <c r="D13" s="23"/>
      <c r="E13" s="23"/>
    </row>
    <row r="14" spans="1:8" ht="9" customHeight="1" x14ac:dyDescent="0.3"/>
    <row r="15" spans="1:8" ht="24" customHeight="1" x14ac:dyDescent="0.3">
      <c r="D15" s="2"/>
      <c r="E15" s="2"/>
      <c r="F15" s="2"/>
      <c r="G15" s="2"/>
    </row>
    <row r="16" spans="1:8" ht="24" customHeight="1" x14ac:dyDescent="0.3">
      <c r="D16" s="2"/>
      <c r="E16" s="2"/>
      <c r="F16" s="2"/>
      <c r="G16" s="2"/>
    </row>
    <row r="17" spans="4:7" ht="24" customHeight="1" x14ac:dyDescent="0.3">
      <c r="D17" s="26"/>
      <c r="E17" s="26"/>
      <c r="F17" s="26"/>
      <c r="G17" s="26"/>
    </row>
    <row r="18" spans="4:7" ht="24" customHeight="1" x14ac:dyDescent="0.3">
      <c r="D18" s="26"/>
      <c r="E18" s="26"/>
      <c r="F18" s="26"/>
      <c r="G18" s="26"/>
    </row>
  </sheetData>
  <conditionalFormatting sqref="C8:E8">
    <cfRule type="expression" dxfId="3" priority="8">
      <formula>#REF!="N/A"</formula>
    </cfRule>
  </conditionalFormatting>
  <conditionalFormatting sqref="C10:G10 C9:E9 G11 C11:E11">
    <cfRule type="expression" dxfId="2" priority="3">
      <formula>#REF!="N/A"</formula>
    </cfRule>
  </conditionalFormatting>
  <conditionalFormatting sqref="D13:E13">
    <cfRule type="expression" dxfId="1" priority="2">
      <formula>#REF!="N/A"</formula>
    </cfRule>
  </conditionalFormatting>
  <conditionalFormatting sqref="C12:G12">
    <cfRule type="expression" dxfId="0" priority="1">
      <formula>#REF!="N/A"</formula>
    </cfRule>
  </conditionalFormatting>
  <dataValidations count="8">
    <dataValidation allowBlank="1" showInputMessage="1" promptTitle="Calculadora beneficios tarjeta" prompt="_x000a_Use esta plantilla para comparar los beneficios de su tarjeta de crédito con el pago mensual mínimo respecto al pago mensual estimado. _x000a__x000a_Escriba los detalles en las celdas C5, C6, C8 y C9._x000a__x000a_" sqref="A1" xr:uid="{00000000-0002-0000-0000-000000000000}"/>
    <dataValidation allowBlank="1" showInputMessage="1" showErrorMessage="1" prompt="Gráfico que muestra la comparación de los meses para la liquidación del préstamo basándose en los pagos mínimos y estimados" sqref="B13" xr:uid="{00000000-0002-0000-0000-000001000000}"/>
    <dataValidation allowBlank="1" showInputMessage="1" showErrorMessage="1" prompt="Gráfico que muestra la comparación del total de intereses pagados basándose en los pagos mínimos y estimados" sqref="F13" xr:uid="{00000000-0002-0000-0000-000002000000}"/>
    <dataValidation allowBlank="1" showInputMessage="1" showErrorMessage="1" prompt="Indique el saldo debido en esta celda" sqref="C5" xr:uid="{00000000-0002-0000-0000-000003000000}"/>
    <dataValidation allowBlank="1" showInputMessage="1" showErrorMessage="1" prompt="Indique la tasa de interés en esta celda" sqref="C6" xr:uid="{00000000-0002-0000-0000-000004000000}"/>
    <dataValidation allowBlank="1" showInputMessage="1" showErrorMessage="1" prompt="Indique el pago mensual mínimo en esta celda" sqref="C8" xr:uid="{00000000-0002-0000-0000-000005000000}"/>
    <dataValidation allowBlank="1" showInputMessage="1" showErrorMessage="1" prompt="Indique el pago mensual estimado en esta celda" sqref="C9" xr:uid="{00000000-0002-0000-0000-000006000000}"/>
    <dataValidation allowBlank="1" showInputMessage="1" showErrorMessage="1" prompt="Esta celda se calcula automáticamente" sqref="G5:G6 G8:G9" xr:uid="{00000000-0002-0000-0000-000007000000}"/>
  </dataValidations>
  <printOptions horizontalCentered="1"/>
  <pageMargins left="0.7" right="0.7" top="0.75" bottom="0.75" header="0.3" footer="0.3"/>
  <pageSetup paperSize="9" fitToHeight="0" orientation="landscape" r:id="rId1"/>
  <headerFooter differentFirst="1">
    <oddFooter>&amp;CPage &amp;P of &amp;N</oddFooter>
  </headerFooter>
  <drawing r:id="rId2"/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2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3.xml><?xml version="1.0" encoding="utf-8"?>
<ds:datastoreItem xmlns:ds="http://schemas.openxmlformats.org/officeDocument/2006/customXml" ds:itemID="{63784E95-A8F5-4515-84A3-D403FAA24EC6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22.xml><?xml version="1.0" encoding="utf-8"?>
<ds:datastoreItem xmlns:ds="http://schemas.openxmlformats.org/officeDocument/2006/customXml" ds:itemID="{0E4D8C12-8F53-4770-9FF8-1521ADFA0A08}">
  <ds:schemaRefs>
    <ds:schemaRef ds:uri="http://schemas.microsoft.com/sharepoint/v3/contenttype/forms"/>
  </ds:schemaRefs>
</ds:datastoreItem>
</file>

<file path=customXml/itemProps31.xml><?xml version="1.0" encoding="utf-8"?>
<ds:datastoreItem xmlns:ds="http://schemas.openxmlformats.org/officeDocument/2006/customXml" ds:itemID="{17737485-4860-4B64-A477-8B3AD65636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TM16390863</ap:Template>
  <ap:ScaleCrop>false</ap:ScaleCrop>
  <ap:HeadingPairs>
    <vt:vector baseType="variant" size="2">
      <vt:variant>
        <vt:lpstr>Worksheets</vt:lpstr>
      </vt:variant>
      <vt:variant>
        <vt:i4>1</vt:i4>
      </vt:variant>
    </vt:vector>
  </ap:HeadingPairs>
  <ap:TitlesOfParts>
    <vt:vector baseType="lpstr" size="1">
      <vt:lpstr>Calculadora de pagos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2019-05-22T01:00:33Z</dcterms:created>
  <dcterms:modified xsi:type="dcterms:W3CDTF">2021-09-14T09:05:16Z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