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bin" ContentType="application/vnd.openxmlformats-officedocument.spreadsheetml.printerSettings"/>
  <Default Extension="png" ContentType="image/png"/>
  <Override PartName="/docProps/core.xml" ContentType="application/vnd.openxmlformats-package.core-properties+xml"/>
  <Override PartName="/xl/workbook.xml" ContentType="application/vnd.openxmlformats-officedocument.spreadsheetml.template.main+xml"/>
  <Override PartName="/customXml/item1.xml" ContentType="application/xml"/>
  <Override PartName="/customXml/itemProps11.xml" ContentType="application/vnd.openxmlformats-officedocument.customXmlProperties+xml"/>
  <Override PartName="/xl/worksheets/sheet31.xml" ContentType="application/vnd.openxmlformats-officedocument.spreadsheetml.worksheet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worksheets/sheet22.xml" ContentType="application/vnd.openxmlformats-officedocument.spreadsheetml.worksheet+xml"/>
  <Override PartName="/xl/tables/table12.xml" ContentType="application/vnd.openxmlformats-officedocument.spreadsheetml.table+xml"/>
  <Override PartName="/xl/worksheets/sheet13.xml" ContentType="application/vnd.openxmlformats-officedocument.spreadsheetml.worksheet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charts/chart12.xml" ContentType="application/vnd.openxmlformats-officedocument.drawingml.chart+xml"/>
  <Override PartName="/xl/charts/colors12.xml" ContentType="application/vnd.ms-office.chartcolorstyle+xml"/>
  <Override PartName="/xl/charts/style12.xml" ContentType="application/vnd.ms-office.chartsty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customXml/item32.xml" ContentType="application/xml"/>
  <Override PartName="/customXml/itemProps32.xml" ContentType="application/vnd.openxmlformats-officedocument.customXmlProperties+xml"/>
  <Override PartName="/xl/theme/theme11.xml" ContentType="application/vnd.openxmlformats-officedocument.theme+xml"/>
  <Override PartName="/customXml/item23.xml" ContentType="application/xml"/>
  <Override PartName="/customXml/itemProps23.xml" ContentType="application/vnd.openxmlformats-officedocument.customXmlPropertie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Relationship Type="http://schemas.openxmlformats.org/officeDocument/2006/relationships/custom-properties" Target="/docProps/custom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06"/>
  <workbookPr filterPrivacy="1"/>
  <xr:revisionPtr revIDLastSave="4" documentId="13_ncr:1_{38BCE379-9BA8-40E3-BF50-3F42A0027BB6}" xr6:coauthVersionLast="47" xr6:coauthVersionMax="47" xr10:uidLastSave="{65398058-589A-479D-807D-2570BCAFB994}"/>
  <bookViews>
    <workbookView xWindow="-120" yWindow="-120" windowWidth="29040" windowHeight="17640" xr2:uid="{00000000-000D-0000-FFFF-FFFF00000000}"/>
  </bookViews>
  <sheets>
    <sheet name="Patrimonio neto personal" sheetId="2" r:id="rId1"/>
    <sheet name="Activos" sheetId="3" r:id="rId2"/>
    <sheet name="Créditos" sheetId="4" r:id="rId3"/>
  </sheets>
  <definedNames>
    <definedName name="_xlnm.Print_Area" localSheetId="0">'Patrimonio neto personal'!$A:$O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2" l="1"/>
  <c r="F6" i="2"/>
  <c r="Y3" i="2"/>
  <c r="Y2" i="2"/>
  <c r="R6" i="2"/>
  <c r="R5" i="2"/>
  <c r="R4" i="2"/>
  <c r="S4" i="2" s="1"/>
  <c r="R3" i="2"/>
  <c r="S6" i="2" s="1"/>
  <c r="R2" i="2"/>
  <c r="C4" i="2" l="1"/>
  <c r="S5" i="2"/>
  <c r="S2" i="2"/>
  <c r="S3" i="2"/>
  <c r="V6" i="2" l="1"/>
  <c r="L13" i="2" s="1"/>
  <c r="V2" i="2"/>
  <c r="L21" i="2" s="1"/>
  <c r="V5" i="2"/>
  <c r="L15" i="2" s="1"/>
  <c r="V4" i="2"/>
  <c r="L17" i="2" s="1"/>
  <c r="V3" i="2"/>
  <c r="L19" i="2" s="1"/>
  <c r="U5" i="2"/>
  <c r="K15" i="2" s="1"/>
  <c r="U4" i="2"/>
  <c r="K17" i="2" s="1"/>
  <c r="U2" i="2"/>
  <c r="K21" i="2" s="1"/>
  <c r="U6" i="2"/>
  <c r="K13" i="2" s="1"/>
  <c r="U3" i="2"/>
  <c r="K19" i="2" s="1"/>
</calcChain>
</file>

<file path=xl/sharedStrings.xml><?xml version="1.0" encoding="utf-8"?>
<sst xmlns="http://schemas.openxmlformats.org/spreadsheetml/2006/main" count="74" uniqueCount="45">
  <si>
    <t xml:space="preserve"> VALOR NETO PERSONAL</t>
  </si>
  <si>
    <t>RESUMEN DE ACTIVOS</t>
  </si>
  <si>
    <t>Total de activos</t>
  </si>
  <si>
    <t>Total de deudas</t>
  </si>
  <si>
    <t>ACTIVOS frente a DEUDAS</t>
  </si>
  <si>
    <t xml:space="preserve"> </t>
  </si>
  <si>
    <t>Efectivo y efectivo equivalente</t>
  </si>
  <si>
    <t>Propiedades</t>
  </si>
  <si>
    <t>Inversiones</t>
  </si>
  <si>
    <t>Ahorros para la jubilación</t>
  </si>
  <si>
    <t>Seguro de vida</t>
  </si>
  <si>
    <t>ACTIVOS</t>
  </si>
  <si>
    <t>Categoría</t>
  </si>
  <si>
    <t>Artículo</t>
  </si>
  <si>
    <t>Casa</t>
  </si>
  <si>
    <t>Otros</t>
  </si>
  <si>
    <t>Cuenta de jubilación</t>
  </si>
  <si>
    <t>Acciones</t>
  </si>
  <si>
    <t>Bonos</t>
  </si>
  <si>
    <t>Fondos mutuos</t>
  </si>
  <si>
    <t>Certificados de depósito</t>
  </si>
  <si>
    <t>Lingotes</t>
  </si>
  <si>
    <t>Fondos fiduciarios</t>
  </si>
  <si>
    <t>Cuentas de ahorros para la salud</t>
  </si>
  <si>
    <t>Valor nominal del seguro de vida</t>
  </si>
  <si>
    <t>Cuentas corrientes</t>
  </si>
  <si>
    <t>Cuentas de ahorro</t>
  </si>
  <si>
    <t>Coches</t>
  </si>
  <si>
    <t>Otros vehículos</t>
  </si>
  <si>
    <t>Mobiliario</t>
  </si>
  <si>
    <t>Coleccionables</t>
  </si>
  <si>
    <t>Joyas</t>
  </si>
  <si>
    <t>Otros artículos de lujo</t>
  </si>
  <si>
    <t>Valor</t>
  </si>
  <si>
    <t>DEUDAS</t>
  </si>
  <si>
    <t>Hipoteca</t>
  </si>
  <si>
    <t>Préstamos hipotecarios</t>
  </si>
  <si>
    <t>Préstamos de coche</t>
  </si>
  <si>
    <t>Préstamos personales</t>
  </si>
  <si>
    <t>Tarjetas de crédito</t>
  </si>
  <si>
    <t>Préstamos para estudiantes</t>
  </si>
  <si>
    <t>Préstamos de inversiones</t>
  </si>
  <si>
    <t>Préstamos de seguro de vida</t>
  </si>
  <si>
    <t>Otros préstamos a plazos</t>
  </si>
  <si>
    <t>Otras deudas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</si>
</sst>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2" formatCode="_-* #,##0\ &quot;€&quot;_-;\-* #,##0\ &quot;€&quot;_-;_-* &quot;-&quot;\ &quot;€&quot;_-;_-@_-"/>
    <numFmt numFmtId="44" formatCode="_-* #,##0.00\ &quot;€&quot;_-;\-* #,##0.00\ &quot;€&quot;_-;_-* &quot;-&quot;??\ &quot;€&quot;_-;_-@_-"/>
    <numFmt numFmtId="164" formatCode="_(* #,##0_);_(* \(#,##0\);_(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;;;"/>
    <numFmt numFmtId="168" formatCode="#,##0\ &quot;€&quot;"/>
  </numFmts>
  <fonts count="42" x14ac:knownFonts="1">
    <font>
      <sz val="11"/>
      <color theme="1"/>
      <name val="Tw Cen MT"/>
      <family val="2"/>
      <scheme val="minor"/>
    </font>
    <font>
      <sz val="11"/>
      <color theme="1" tint="0.1499984740745262"/>
      <name val="Tw Cen MT"/>
      <family val="2"/>
      <scheme val="minor"/>
    </font>
    <font>
      <sz val="12"/>
      <color theme="1" tint="0.1499984740745262"/>
      <name val="Tw Cen MT"/>
      <family val="2"/>
      <scheme val="minor"/>
    </font>
    <font>
      <sz val="14"/>
      <color theme="1" tint="0.1499984740745262"/>
      <name val="Tw Cen MT"/>
      <family val="2"/>
      <scheme val="minor"/>
    </font>
    <font>
      <sz val="16"/>
      <color theme="1" tint="0.1499984740745262"/>
      <name val="Tw Cen MT"/>
      <family val="2"/>
      <scheme val="minor"/>
    </font>
    <font>
      <sz val="20"/>
      <color theme="1" tint="0.1499984740745262"/>
      <name val="Tw Cen MT"/>
      <family val="2"/>
      <scheme val="minor"/>
    </font>
    <font>
      <sz val="11"/>
      <color theme="0"/>
      <name val="Tw Cen MT"/>
      <family val="2"/>
      <scheme val="minor"/>
    </font>
    <font>
      <sz val="48"/>
      <color theme="1" tint="0.1499984740745262"/>
      <name val="Franklin Gothic Medium"/>
      <family val="2"/>
      <scheme val="major"/>
    </font>
    <font>
      <sz val="20"/>
      <color theme="0"/>
      <name val="Tw Cen MT"/>
      <family val="2"/>
      <scheme val="minor"/>
    </font>
    <font>
      <sz val="10"/>
      <color theme="0"/>
      <name val="Tw Cen MT"/>
      <family val="2"/>
      <scheme val="minor"/>
    </font>
    <font>
      <sz val="12"/>
      <color theme="0"/>
      <name val="Tw Cen MT"/>
      <family val="2"/>
      <scheme val="minor"/>
    </font>
    <font>
      <sz val="16"/>
      <color theme="0"/>
      <name val="Tw Cen MT"/>
      <family val="2"/>
      <scheme val="minor"/>
    </font>
    <font>
      <sz val="12"/>
      <color theme="1" tint="0.1499984740745262"/>
      <name val="Franklin Gothic Medium"/>
      <family val="2"/>
      <scheme val="major"/>
    </font>
    <font>
      <sz val="28"/>
      <color theme="1" tint="0.1499984740745262"/>
      <name val="Franklin Gothic Medium"/>
      <family val="2"/>
      <scheme val="major"/>
    </font>
    <font>
      <sz val="8"/>
      <color theme="1" tint="0.1499984740745262"/>
      <name val="Tw Cen MT"/>
      <family val="2"/>
      <scheme val="minor"/>
    </font>
    <font>
      <sz val="11"/>
      <name val="Tw Cen MT"/>
      <family val="2"/>
      <scheme val="minor"/>
    </font>
    <font>
      <sz val="20"/>
      <name val="Tw Cen MT"/>
      <family val="2"/>
      <scheme val="minor"/>
    </font>
    <font>
      <sz val="14"/>
      <name val="Tw Cen MT"/>
      <family val="2"/>
      <scheme val="minor"/>
    </font>
    <font>
      <sz val="12"/>
      <name val="Tw Cen MT"/>
      <family val="2"/>
      <scheme val="minor"/>
    </font>
    <font>
      <sz val="16"/>
      <name val="Tw Cen MT"/>
      <family val="2"/>
      <scheme val="minor"/>
    </font>
    <font>
      <sz val="24"/>
      <color theme="0" tint="-0.499984740745262"/>
      <name val="Tw Cen MT"/>
      <family val="2"/>
      <scheme val="minor"/>
    </font>
    <font>
      <sz val="16"/>
      <color theme="0" tint="-0.499984740745262"/>
      <name val="Tw Cen MT"/>
      <family val="2"/>
      <scheme val="minor"/>
    </font>
    <font>
      <sz val="20"/>
      <color theme="1" tint="0.1499984740745262"/>
      <name val="Franklin Gothic Medium"/>
      <family val="2"/>
      <scheme val="major"/>
    </font>
    <font>
      <sz val="28"/>
      <color theme="5"/>
      <name val="Franklin Gothic Medium"/>
      <family val="2"/>
      <scheme val="major"/>
    </font>
    <font>
      <sz val="28"/>
      <color theme="8"/>
      <name val="Franklin Gothic Medium"/>
      <family val="2"/>
      <scheme val="major"/>
    </font>
    <font>
      <sz val="16"/>
      <color theme="8" tint="-0.249977111117893"/>
      <name val="Tw Cen MT"/>
      <family val="2"/>
      <scheme val="minor"/>
    </font>
    <font>
      <sz val="11"/>
      <color theme="1"/>
      <name val="Tw Cen MT"/>
      <family val="2"/>
      <scheme val="minor"/>
    </font>
    <font>
      <sz val="18"/>
      <color theme="3"/>
      <name val="Franklin Gothic Medium"/>
      <family val="2"/>
      <scheme val="major"/>
    </font>
    <font>
      <b/>
      <sz val="15"/>
      <color theme="3"/>
      <name val="Tw Cen MT"/>
      <family val="2"/>
      <scheme val="minor"/>
    </font>
    <font>
      <b/>
      <sz val="13"/>
      <color theme="3"/>
      <name val="Tw Cen MT"/>
      <family val="2"/>
      <scheme val="minor"/>
    </font>
    <font>
      <b/>
      <sz val="11"/>
      <color theme="3"/>
      <name val="Tw Cen MT"/>
      <family val="2"/>
      <scheme val="minor"/>
    </font>
    <font>
      <sz val="11"/>
      <color rgb="FF006100"/>
      <name val="Tw Cen MT"/>
      <family val="2"/>
      <scheme val="minor"/>
    </font>
    <font>
      <sz val="11"/>
      <color rgb="FF9C0006"/>
      <name val="Tw Cen MT"/>
      <family val="2"/>
      <scheme val="minor"/>
    </font>
    <font>
      <sz val="11"/>
      <color rgb="FF9C5700"/>
      <name val="Tw Cen MT"/>
      <family val="2"/>
      <scheme val="minor"/>
    </font>
    <font>
      <sz val="11"/>
      <color rgb="FF3F3F76"/>
      <name val="Tw Cen MT"/>
      <family val="2"/>
      <scheme val="minor"/>
    </font>
    <font>
      <b/>
      <sz val="11"/>
      <color rgb="FF3F3F3F"/>
      <name val="Tw Cen MT"/>
      <family val="2"/>
      <scheme val="minor"/>
    </font>
    <font>
      <b/>
      <sz val="11"/>
      <color rgb="FFFA7D00"/>
      <name val="Tw Cen MT"/>
      <family val="2"/>
      <scheme val="minor"/>
    </font>
    <font>
      <sz val="11"/>
      <color rgb="FFFA7D00"/>
      <name val="Tw Cen MT"/>
      <family val="2"/>
      <scheme val="minor"/>
    </font>
    <font>
      <b/>
      <sz val="11"/>
      <color theme="0"/>
      <name val="Tw Cen MT"/>
      <family val="2"/>
      <scheme val="minor"/>
    </font>
    <font>
      <sz val="11"/>
      <color rgb="FFFF0000"/>
      <name val="Tw Cen MT"/>
      <family val="2"/>
      <scheme val="minor"/>
    </font>
    <font>
      <i/>
      <sz val="11"/>
      <color rgb="FF7F7F7F"/>
      <name val="Tw Cen MT"/>
      <family val="2"/>
      <scheme val="minor"/>
    </font>
    <font>
      <b/>
      <sz val="11"/>
      <color theme="1"/>
      <name val="Tw Cen MT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374370555742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166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2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3" applyNumberFormat="0" applyFill="0" applyAlignment="0" applyProtection="0"/>
    <xf numFmtId="0" fontId="29" fillId="0" borderId="4" applyNumberFormat="0" applyFill="0" applyAlignment="0" applyProtection="0"/>
    <xf numFmtId="0" fontId="30" fillId="0" borderId="5" applyNumberFormat="0" applyFill="0" applyAlignment="0" applyProtection="0"/>
    <xf numFmtId="0" fontId="30" fillId="0" borderId="0" applyNumberFormat="0" applyFill="0" applyBorder="0" applyAlignment="0" applyProtection="0"/>
    <xf numFmtId="0" fontId="31" fillId="9" borderId="0" applyNumberFormat="0" applyBorder="0" applyAlignment="0" applyProtection="0"/>
    <xf numFmtId="0" fontId="32" fillId="10" borderId="0" applyNumberFormat="0" applyBorder="0" applyAlignment="0" applyProtection="0"/>
    <xf numFmtId="0" fontId="33" fillId="11" borderId="0" applyNumberFormat="0" applyBorder="0" applyAlignment="0" applyProtection="0"/>
    <xf numFmtId="0" fontId="34" fillId="12" borderId="6" applyNumberFormat="0" applyAlignment="0" applyProtection="0"/>
    <xf numFmtId="0" fontId="35" fillId="13" borderId="7" applyNumberFormat="0" applyAlignment="0" applyProtection="0"/>
    <xf numFmtId="0" fontId="36" fillId="13" borderId="6" applyNumberFormat="0" applyAlignment="0" applyProtection="0"/>
    <xf numFmtId="0" fontId="37" fillId="0" borderId="8" applyNumberFormat="0" applyFill="0" applyAlignment="0" applyProtection="0"/>
    <xf numFmtId="0" fontId="38" fillId="14" borderId="9" applyNumberFormat="0" applyAlignment="0" applyProtection="0"/>
    <xf numFmtId="0" fontId="39" fillId="0" borderId="0" applyNumberFormat="0" applyFill="0" applyBorder="0" applyAlignment="0" applyProtection="0"/>
    <xf numFmtId="0" fontId="26" fillId="15" borderId="10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11" applyNumberFormat="0" applyFill="0" applyAlignment="0" applyProtection="0"/>
    <xf numFmtId="0" fontId="6" fillId="16" borderId="0" applyNumberFormat="0" applyBorder="0" applyAlignment="0" applyProtection="0"/>
    <xf numFmtId="0" fontId="26" fillId="17" borderId="0" applyNumberFormat="0" applyBorder="0" applyAlignment="0" applyProtection="0"/>
    <xf numFmtId="0" fontId="26" fillId="18" borderId="0" applyNumberFormat="0" applyBorder="0" applyAlignment="0" applyProtection="0"/>
    <xf numFmtId="0" fontId="26" fillId="19" borderId="0" applyNumberFormat="0" applyBorder="0" applyAlignment="0" applyProtection="0"/>
    <xf numFmtId="0" fontId="6" fillId="20" borderId="0" applyNumberFormat="0" applyBorder="0" applyAlignment="0" applyProtection="0"/>
    <xf numFmtId="0" fontId="26" fillId="21" borderId="0" applyNumberFormat="0" applyBorder="0" applyAlignment="0" applyProtection="0"/>
    <xf numFmtId="0" fontId="26" fillId="22" borderId="0" applyNumberFormat="0" applyBorder="0" applyAlignment="0" applyProtection="0"/>
    <xf numFmtId="0" fontId="26" fillId="23" borderId="0" applyNumberFormat="0" applyBorder="0" applyAlignment="0" applyProtection="0"/>
    <xf numFmtId="0" fontId="6" fillId="24" borderId="0" applyNumberFormat="0" applyBorder="0" applyAlignment="0" applyProtection="0"/>
    <xf numFmtId="0" fontId="26" fillId="25" borderId="0" applyNumberFormat="0" applyBorder="0" applyAlignment="0" applyProtection="0"/>
    <xf numFmtId="0" fontId="26" fillId="26" borderId="0" applyNumberFormat="0" applyBorder="0" applyAlignment="0" applyProtection="0"/>
    <xf numFmtId="0" fontId="26" fillId="27" borderId="0" applyNumberFormat="0" applyBorder="0" applyAlignment="0" applyProtection="0"/>
    <xf numFmtId="0" fontId="6" fillId="28" borderId="0" applyNumberFormat="0" applyBorder="0" applyAlignment="0" applyProtection="0"/>
    <xf numFmtId="0" fontId="26" fillId="29" borderId="0" applyNumberFormat="0" applyBorder="0" applyAlignment="0" applyProtection="0"/>
    <xf numFmtId="0" fontId="26" fillId="30" borderId="0" applyNumberFormat="0" applyBorder="0" applyAlignment="0" applyProtection="0"/>
    <xf numFmtId="0" fontId="26" fillId="31" borderId="0" applyNumberFormat="0" applyBorder="0" applyAlignment="0" applyProtection="0"/>
    <xf numFmtId="0" fontId="6" fillId="32" borderId="0" applyNumberFormat="0" applyBorder="0" applyAlignment="0" applyProtection="0"/>
    <xf numFmtId="0" fontId="26" fillId="33" borderId="0" applyNumberFormat="0" applyBorder="0" applyAlignment="0" applyProtection="0"/>
    <xf numFmtId="0" fontId="26" fillId="34" borderId="0" applyNumberFormat="0" applyBorder="0" applyAlignment="0" applyProtection="0"/>
    <xf numFmtId="0" fontId="26" fillId="35" borderId="0" applyNumberFormat="0" applyBorder="0" applyAlignment="0" applyProtection="0"/>
    <xf numFmtId="0" fontId="6" fillId="36" borderId="0" applyNumberFormat="0" applyBorder="0" applyAlignment="0" applyProtection="0"/>
    <xf numFmtId="0" fontId="26" fillId="37" borderId="0" applyNumberFormat="0" applyBorder="0" applyAlignment="0" applyProtection="0"/>
    <xf numFmtId="0" fontId="26" fillId="38" borderId="0" applyNumberFormat="0" applyBorder="0" applyAlignment="0" applyProtection="0"/>
    <xf numFmtId="0" fontId="26" fillId="39" borderId="0" applyNumberFormat="0" applyBorder="0" applyAlignment="0" applyProtection="0"/>
  </cellStyleXfs>
  <cellXfs count="49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7" borderId="0" xfId="0" applyFont="1" applyFill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 indent="1"/>
    </xf>
    <xf numFmtId="0" fontId="13" fillId="0" borderId="0" xfId="0" applyFont="1" applyAlignment="1">
      <alignment horizontal="left" vertical="center"/>
    </xf>
    <xf numFmtId="165" fontId="2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left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left"/>
    </xf>
    <xf numFmtId="0" fontId="21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23" fillId="0" borderId="1" xfId="0" applyFont="1" applyBorder="1" applyAlignment="1">
      <alignment horizontal="left" vertical="center"/>
    </xf>
    <xf numFmtId="0" fontId="24" fillId="0" borderId="2" xfId="0" applyFont="1" applyBorder="1" applyAlignment="1">
      <alignment horizontal="left" vertical="center"/>
    </xf>
    <xf numFmtId="0" fontId="12" fillId="0" borderId="2" xfId="0" applyFont="1" applyBorder="1" applyAlignment="1">
      <alignment horizontal="left" vertical="center" indent="1"/>
    </xf>
    <xf numFmtId="0" fontId="2" fillId="8" borderId="0" xfId="0" applyFont="1" applyFill="1" applyAlignment="1">
      <alignment horizontal="left" vertical="center" indent="1"/>
    </xf>
    <xf numFmtId="0" fontId="2" fillId="6" borderId="0" xfId="0" applyFont="1" applyFill="1" applyAlignment="1">
      <alignment horizontal="center" vertical="center"/>
    </xf>
    <xf numFmtId="167" fontId="0" fillId="0" borderId="0" xfId="0" applyNumberFormat="1" applyAlignment="1">
      <alignment horizontal="left" vertical="center" indent="1"/>
    </xf>
    <xf numFmtId="167" fontId="0" fillId="0" borderId="0" xfId="0" applyNumberFormat="1" applyAlignment="1">
      <alignment horizontal="left" vertical="center"/>
    </xf>
    <xf numFmtId="0" fontId="25" fillId="0" borderId="0" xfId="0" applyFont="1" applyAlignment="1">
      <alignment horizontal="left" vertical="center"/>
    </xf>
    <xf numFmtId="168" fontId="3" fillId="0" borderId="0" xfId="0" applyNumberFormat="1" applyFont="1" applyAlignment="1">
      <alignment horizontal="left" vertical="center"/>
    </xf>
    <xf numFmtId="168" fontId="2" fillId="0" borderId="0" xfId="0" applyNumberFormat="1" applyFont="1" applyAlignment="1">
      <alignment horizontal="left" vertical="center"/>
    </xf>
    <xf numFmtId="168" fontId="1" fillId="0" borderId="0" xfId="0" applyNumberFormat="1" applyFont="1" applyAlignment="1">
      <alignment horizontal="center" vertical="center"/>
    </xf>
    <xf numFmtId="168" fontId="2" fillId="0" borderId="0" xfId="0" applyNumberFormat="1" applyFont="1" applyAlignment="1">
      <alignment horizontal="right" vertical="center"/>
    </xf>
    <xf numFmtId="44" fontId="2" fillId="0" borderId="0" xfId="0" applyNumberFormat="1" applyFont="1" applyAlignment="1">
      <alignment horizontal="left" vertical="center"/>
    </xf>
    <xf numFmtId="44" fontId="14" fillId="0" borderId="0" xfId="0" applyNumberFormat="1" applyFont="1" applyAlignment="1">
      <alignment horizontal="left" vertical="center"/>
    </xf>
    <xf numFmtId="44" fontId="12" fillId="0" borderId="2" xfId="0" applyNumberFormat="1" applyFont="1" applyBorder="1" applyAlignment="1">
      <alignment horizontal="left" vertical="center"/>
    </xf>
    <xf numFmtId="44" fontId="12" fillId="0" borderId="0" xfId="0" applyNumberFormat="1" applyFont="1" applyAlignment="1">
      <alignment horizontal="left" vertical="center"/>
    </xf>
    <xf numFmtId="44" fontId="2" fillId="0" borderId="0" xfId="0" applyNumberFormat="1" applyFont="1" applyAlignment="1">
      <alignment horizontal="center" vertical="center"/>
    </xf>
    <xf numFmtId="44" fontId="13" fillId="0" borderId="1" xfId="0" applyNumberFormat="1" applyFont="1" applyBorder="1" applyAlignment="1">
      <alignment horizontal="left" vertical="center"/>
    </xf>
    <xf numFmtId="168" fontId="7" fillId="0" borderId="0" xfId="0" applyNumberFormat="1" applyFont="1" applyAlignment="1">
      <alignment horizontal="left" vertical="top"/>
    </xf>
  </cellXfs>
  <cellStyles count="47">
    <cellStyle name="20% - Énfasis1" xfId="24" builtinId="30" customBuiltin="1"/>
    <cellStyle name="20% - Énfasis2" xfId="28" builtinId="34" customBuiltin="1"/>
    <cellStyle name="20% - Énfasis3" xfId="32" builtinId="38" customBuiltin="1"/>
    <cellStyle name="20% - Énfasis4" xfId="36" builtinId="42" customBuiltin="1"/>
    <cellStyle name="20% - Énfasis5" xfId="40" builtinId="46" customBuiltin="1"/>
    <cellStyle name="20% - Énfasis6" xfId="44" builtinId="50" customBuiltin="1"/>
    <cellStyle name="40% - Énfasis1" xfId="25" builtinId="31" customBuiltin="1"/>
    <cellStyle name="40% - Énfasis2" xfId="29" builtinId="35" customBuiltin="1"/>
    <cellStyle name="40% - Énfasis3" xfId="33" builtinId="39" customBuiltin="1"/>
    <cellStyle name="40% - Énfasis4" xfId="37" builtinId="43" customBuiltin="1"/>
    <cellStyle name="40% - Énfasis5" xfId="41" builtinId="47" customBuiltin="1"/>
    <cellStyle name="40% - Énfasis6" xfId="45" builtinId="51" customBuiltin="1"/>
    <cellStyle name="60% - Énfasis1" xfId="26" builtinId="32" customBuiltin="1"/>
    <cellStyle name="60% - Énfasis2" xfId="30" builtinId="36" customBuiltin="1"/>
    <cellStyle name="60% - Énfasis3" xfId="34" builtinId="40" customBuiltin="1"/>
    <cellStyle name="60% - Énfasis4" xfId="38" builtinId="44" customBuiltin="1"/>
    <cellStyle name="60% - Énfasis5" xfId="42" builtinId="48" customBuiltin="1"/>
    <cellStyle name="60% - Énfasis6" xfId="46" builtinId="52" customBuiltin="1"/>
    <cellStyle name="Bueno" xfId="11" builtinId="26" customBuiltin="1"/>
    <cellStyle name="Cálculo" xfId="16" builtinId="22" customBuiltin="1"/>
    <cellStyle name="Celda de comprobación" xfId="18" builtinId="23" customBuiltin="1"/>
    <cellStyle name="Celda vinculada" xfId="17" builtinId="24" customBuiltin="1"/>
    <cellStyle name="Encabezado 1" xfId="7" builtinId="16" customBuiltin="1"/>
    <cellStyle name="Encabezado 4" xfId="10" builtinId="19" customBuiltin="1"/>
    <cellStyle name="Énfasis1" xfId="23" builtinId="29" customBuiltin="1"/>
    <cellStyle name="Énfasis2" xfId="27" builtinId="33" customBuiltin="1"/>
    <cellStyle name="Énfasis3" xfId="31" builtinId="37" customBuiltin="1"/>
    <cellStyle name="Énfasis4" xfId="35" builtinId="41" customBuiltin="1"/>
    <cellStyle name="Énfasis5" xfId="39" builtinId="45" customBuiltin="1"/>
    <cellStyle name="Énfasis6" xfId="43" builtinId="49" customBuiltin="1"/>
    <cellStyle name="Entrada" xfId="14" builtinId="20" customBuiltin="1"/>
    <cellStyle name="Incorrecto" xfId="12" builtinId="27" customBuiltin="1"/>
    <cellStyle name="Millares" xfId="1" builtinId="3" customBuiltin="1"/>
    <cellStyle name="Millares [0]" xfId="2" builtinId="6" customBuiltin="1"/>
    <cellStyle name="Moneda" xfId="3" builtinId="4" customBuiltin="1"/>
    <cellStyle name="Moneda [0]" xfId="4" builtinId="7" customBuiltin="1"/>
    <cellStyle name="Neutral" xfId="13" builtinId="28" customBuiltin="1"/>
    <cellStyle name="Normal" xfId="0" builtinId="0" customBuiltin="1"/>
    <cellStyle name="Notas" xfId="20" builtinId="10" customBuiltin="1"/>
    <cellStyle name="Porcentaje" xfId="5" builtinId="5" customBuiltin="1"/>
    <cellStyle name="Salida" xfId="15" builtinId="21" customBuiltin="1"/>
    <cellStyle name="Texto de advertencia" xfId="19" builtinId="11" customBuiltin="1"/>
    <cellStyle name="Texto explicativo" xfId="21" builtinId="53" customBuiltin="1"/>
    <cellStyle name="Título" xfId="6" builtinId="15" customBuiltin="1"/>
    <cellStyle name="Título 2" xfId="8" builtinId="17" customBuiltin="1"/>
    <cellStyle name="Título 3" xfId="9" builtinId="18" customBuiltin="1"/>
    <cellStyle name="Total" xfId="22" builtinId="25" customBuiltin="1"/>
  </cellStyles>
  <dxfs count="16">
    <dxf>
      <font>
        <strike val="0"/>
        <outline val="0"/>
        <shadow val="0"/>
        <u val="none"/>
        <vertAlign val="baseline"/>
        <sz val="12"/>
        <color theme="1" tint="0.1499984740745262"/>
        <name val="Tw Cen MT"/>
        <scheme val="minor"/>
      </font>
      <numFmt numFmtId="165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1499984740745262"/>
        <name val="Tw Cen MT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1499984740745262"/>
        <name val="Tw Cen MT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1499984740745262"/>
        <name val="Tw Cen MT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1499984740745262"/>
        <name val="Tw Cen MT"/>
        <scheme val="minor"/>
      </font>
      <numFmt numFmtId="165" formatCode="_(&quot;$&quot;* #,##0.00_);_(&quot;$&quot;* \(#,##0.00\);_(&quot;$&quot;* &quot;-&quot;??_);_(@_)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1499984740745262"/>
        <name val="Tw Cen MT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1499984740745262"/>
        <name val="Tw Cen MT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1499984740745262"/>
        <name val="Tw Cen MT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1499984740745262"/>
        <name val="Tw Cen MT"/>
        <scheme val="minor"/>
      </font>
      <alignment horizontal="left" vertical="center" textRotation="0" wrapText="0" indent="1" justifyLastLine="0" shrinkToFit="0" readingOrder="0"/>
    </dxf>
    <dxf>
      <fill>
        <patternFill patternType="solid">
          <fgColor theme="0" tint="-0.1499984740745262"/>
          <bgColor theme="0" tint="-0.1499984740745262"/>
        </patternFill>
      </fill>
    </dxf>
    <dxf>
      <fill>
        <patternFill patternType="solid">
          <fgColor theme="0" tint="-0.14996795556505021"/>
          <bgColor theme="0" tint="-4.99893185216834E-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thin">
          <color theme="1"/>
        </top>
      </border>
    </dxf>
    <dxf>
      <font>
        <b/>
        <color theme="1"/>
      </font>
      <border>
        <bottom style="thin">
          <color theme="1"/>
        </bottom>
      </border>
    </dxf>
    <dxf>
      <font>
        <color theme="1"/>
      </font>
      <border>
        <top style="thin">
          <color theme="1"/>
        </top>
        <bottom style="thin">
          <color theme="1"/>
        </bottom>
      </border>
    </dxf>
  </dxfs>
  <tableStyles count="1" defaultTableStyle="TableStyleMedium2" defaultPivotStyle="PivotStyleLight16">
    <tableStyle name="Calculadora" pivot="0" count="7" xr9:uid="{FB5C0701-2886-4C3E-9936-E8EEE093663B}">
      <tableStyleElement type="wholeTable" dxfId="15"/>
      <tableStyleElement type="headerRow" dxfId="14"/>
      <tableStyleElement type="totalRow" dxfId="13"/>
      <tableStyleElement type="firstColumn" dxfId="12"/>
      <tableStyleElement type="lastColumn" dxfId="11"/>
      <tableStyleElement type="firstRowStripe" dxfId="10"/>
      <tableStyleElement type="firstColumnStripe" dxfId="9"/>
    </tableStyle>
  </tableStyles>
  <colors>
    <mruColors>
      <color rgb="FFB4B4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ustomXml" Target="/customXml/item1.xml" Id="rId8" /><Relationship Type="http://schemas.openxmlformats.org/officeDocument/2006/relationships/worksheet" Target="/xl/worksheets/sheet31.xml" Id="rId3" /><Relationship Type="http://schemas.openxmlformats.org/officeDocument/2006/relationships/calcChain" Target="/xl/calcChain.xml" Id="rId7" /><Relationship Type="http://schemas.openxmlformats.org/officeDocument/2006/relationships/worksheet" Target="/xl/worksheets/sheet22.xml" Id="rId2" /><Relationship Type="http://schemas.openxmlformats.org/officeDocument/2006/relationships/worksheet" Target="/xl/worksheets/sheet13.xml" Id="rId1" /><Relationship Type="http://schemas.openxmlformats.org/officeDocument/2006/relationships/sharedStrings" Target="/xl/sharedStrings.xml" Id="rId6" /><Relationship Type="http://schemas.openxmlformats.org/officeDocument/2006/relationships/styles" Target="/xl/styles.xml" Id="rId5" /><Relationship Type="http://schemas.openxmlformats.org/officeDocument/2006/relationships/customXml" Target="/customXml/item32.xml" Id="rId10" /><Relationship Type="http://schemas.openxmlformats.org/officeDocument/2006/relationships/theme" Target="/xl/theme/theme11.xml" Id="rId4" /><Relationship Type="http://schemas.openxmlformats.org/officeDocument/2006/relationships/customXml" Target="/customXml/item23.xml" Id="rId9" /></Relationships>
</file>

<file path=xl/charts/_rels/chart12.xml.rels>&#65279;<?xml version="1.0" encoding="utf-8"?><Relationships xmlns="http://schemas.openxmlformats.org/package/2006/relationships"><Relationship Type="http://schemas.microsoft.com/office/2011/relationships/chartColorStyle" Target="/xl/charts/colors12.xml" Id="rId2" /><Relationship Type="http://schemas.microsoft.com/office/2011/relationships/chartStyle" Target="/xl/charts/style12.xml" Id="rId1" /></Relationships>
</file>

<file path=xl/charts/_rels/chart21.xml.rels>&#65279;<?xml version="1.0" encoding="utf-8"?><Relationships xmlns="http://schemas.openxmlformats.org/package/2006/relationships"><Relationship Type="http://schemas.microsoft.com/office/2011/relationships/chartColorStyle" Target="/xl/charts/colors2.xml" Id="rId2" /><Relationship Type="http://schemas.microsoft.com/office/2011/relationships/chartStyle" Target="/xl/charts/style2.xml" Id="rId1" /></Relationships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492061594979466E-2"/>
          <c:y val="2.7083989501312328E-2"/>
          <c:w val="0.98650793840502038"/>
          <c:h val="0.9729160640634206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C648-4201-BAAD-1F086C26B85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648-4201-BAAD-1F086C26B85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648-4201-BAAD-1F086C26B851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648-4201-BAAD-1F086C26B851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648-4201-BAAD-1F086C26B851}"/>
              </c:ext>
            </c:extLst>
          </c:dPt>
          <c:cat>
            <c:multiLvlStrRef>
              <c:f>'Patrimonio neto personal'!$U$2:$U$6</c:f>
            </c:multiLvlStrRef>
          </c:cat>
          <c:val>
            <c:numRef>
              <c:f>'Patrimonio neto personal'!$V$2:$V$6</c:f>
              <c:numCache>
                <c:formatCode>;;;</c:formatCode>
                <c:ptCount val="5"/>
                <c:pt idx="0">
                  <c:v>42500</c:v>
                </c:pt>
                <c:pt idx="1">
                  <c:v>98000</c:v>
                </c:pt>
                <c:pt idx="2">
                  <c:v>103000</c:v>
                </c:pt>
                <c:pt idx="3">
                  <c:v>475000</c:v>
                </c:pt>
                <c:pt idx="4">
                  <c:v>1205000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8-4201-BAAD-1F086C26B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454827560"/>
        <c:axId val="454824280"/>
      </c:barChart>
      <c:catAx>
        <c:axId val="4548275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54824280"/>
        <c:crosses val="autoZero"/>
        <c:auto val="1"/>
        <c:lblAlgn val="ctr"/>
        <c:lblOffset val="100"/>
        <c:noMultiLvlLbl val="0"/>
      </c:catAx>
      <c:valAx>
        <c:axId val="454824280"/>
        <c:scaling>
          <c:orientation val="minMax"/>
        </c:scaling>
        <c:delete val="1"/>
        <c:axPos val="b"/>
        <c:numFmt formatCode=";;;" sourceLinked="1"/>
        <c:majorTickMark val="none"/>
        <c:minorTickMark val="none"/>
        <c:tickLblPos val="nextTo"/>
        <c:crossAx val="45482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 orientation="portrait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2.1847769028871391E-2"/>
          <c:w val="0.98921611245829677"/>
          <c:h val="0.9781522309711285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15C-4B3B-8B04-0B4CF1CB223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B28-4604-8B1E-A73A7B962075}"/>
              </c:ext>
            </c:extLst>
          </c:dPt>
          <c:cat>
            <c:multiLvlStrRef>
              <c:f>'Patrimonio neto personal'!$X$2:$X$3</c:f>
            </c:multiLvlStrRef>
          </c:cat>
          <c:val>
            <c:numRef>
              <c:f>'Patrimonio neto personal'!$Y$2:$Y$3</c:f>
              <c:numCache>
                <c:formatCode>;;;</c:formatCode>
                <c:ptCount val="2"/>
                <c:pt idx="0">
                  <c:v>1923500</c:v>
                </c:pt>
                <c:pt idx="1">
                  <c:v>652500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5C-4B3B-8B04-0B4CF1CB2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335321912"/>
        <c:axId val="335319944"/>
      </c:barChart>
      <c:catAx>
        <c:axId val="335321912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extTo"/>
        <c:crossAx val="335319944"/>
        <c:crosses val="autoZero"/>
        <c:auto val="1"/>
        <c:lblAlgn val="ctr"/>
        <c:lblOffset val="100"/>
        <c:noMultiLvlLbl val="0"/>
      </c:catAx>
      <c:valAx>
        <c:axId val="335319944"/>
        <c:scaling>
          <c:orientation val="minMax"/>
        </c:scaling>
        <c:delete val="1"/>
        <c:axPos val="t"/>
        <c:numFmt formatCode=";;;" sourceLinked="1"/>
        <c:majorTickMark val="none"/>
        <c:minorTickMark val="none"/>
        <c:tickLblPos val="nextTo"/>
        <c:crossAx val="335321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 orientation="portrait"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1.xml.rels>&#65279;<?xml version="1.0" encoding="utf-8"?><Relationships xmlns="http://schemas.openxmlformats.org/package/2006/relationships"><Relationship Type="http://schemas.openxmlformats.org/officeDocument/2006/relationships/image" Target="/xl/media/image1.png" Id="rId3" /><Relationship Type="http://schemas.openxmlformats.org/officeDocument/2006/relationships/chart" Target="/xl/charts/chart21.xml" Id="rId2" /><Relationship Type="http://schemas.openxmlformats.org/officeDocument/2006/relationships/chart" Target="/xl/charts/chart12.xml" Id="rId1" /><Relationship Type="http://schemas.openxmlformats.org/officeDocument/2006/relationships/image" Target="/xl/media/image22.png" Id="rId4" /></Relationship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8</xdr:col>
      <xdr:colOff>0</xdr:colOff>
      <xdr:row>21</xdr:row>
      <xdr:rowOff>114299</xdr:rowOff>
    </xdr:to>
    <xdr:graphicFrame macro="">
      <xdr:nvGraphicFramePr>
        <xdr:cNvPr id="6" name="Gráfico 5" descr="Resumen del gráfico de activos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</xdr:row>
      <xdr:rowOff>285750</xdr:rowOff>
    </xdr:from>
    <xdr:to>
      <xdr:col>13</xdr:col>
      <xdr:colOff>0</xdr:colOff>
      <xdr:row>9</xdr:row>
      <xdr:rowOff>0</xdr:rowOff>
    </xdr:to>
    <xdr:graphicFrame macro="">
      <xdr:nvGraphicFramePr>
        <xdr:cNvPr id="7" name="Gráfico 6" descr="Gráfico del valor neto personal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123824</xdr:colOff>
      <xdr:row>0</xdr:row>
      <xdr:rowOff>0</xdr:rowOff>
    </xdr:from>
    <xdr:to>
      <xdr:col>14</xdr:col>
      <xdr:colOff>9524</xdr:colOff>
      <xdr:row>1</xdr:row>
      <xdr:rowOff>1472900</xdr:rowOff>
    </xdr:to>
    <xdr:pic>
      <xdr:nvPicPr>
        <xdr:cNvPr id="8" name="Imagen 7" descr="Imagen abstracta" title="Pancarta superior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3824" y="0"/>
          <a:ext cx="8696325" cy="15872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14</xdr:col>
      <xdr:colOff>14146</xdr:colOff>
      <xdr:row>24</xdr:row>
      <xdr:rowOff>0</xdr:rowOff>
    </xdr:to>
    <xdr:pic>
      <xdr:nvPicPr>
        <xdr:cNvPr id="2" name="Imagen 1" descr="Imagen abstracta" title="Pancarta inferio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r="-108" b="76844"/>
        <a:stretch/>
      </xdr:blipFill>
      <xdr:spPr>
        <a:xfrm>
          <a:off x="122599" y="6719369"/>
          <a:ext cx="8709245" cy="179183"/>
        </a:xfrm>
        <a:prstGeom prst="rect">
          <a:avLst/>
        </a:prstGeom>
      </xdr:spPr>
    </xdr:pic>
    <xdr:clientData/>
  </xdr:twoCellAnchor>
</xdr:wsDr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Assets" displayName="TBL_Assets" ref="B4:D25" totalsRowShown="0" headerRowDxfId="8" dataDxfId="7">
  <autoFilter ref="B4:D25" xr:uid="{00000000-0009-0000-0100-000001000000}"/>
  <tableColumns count="3">
    <tableColumn id="1" xr3:uid="{00000000-0010-0000-0000-000001000000}" name="Categoría" dataDxfId="6"/>
    <tableColumn id="2" xr3:uid="{00000000-0010-0000-0000-000002000000}" name="Artículo" dataDxfId="5"/>
    <tableColumn id="3" xr3:uid="{00000000-0010-0000-0000-000003000000}" name="Valor" dataDxfId="4"/>
  </tableColumns>
  <tableStyleInfo name="Calculadora" showFirstColumn="0" showLastColumn="0" showRowStripes="1" showColumnStripes="0"/>
  <extLst>
    <ext xmlns:x14="http://schemas.microsoft.com/office/spreadsheetml/2009/9/main" uri="{504A1905-F514-4f6f-8877-14C23A59335A}">
      <x14:table altTextSummary="Escriba los datos de activos en esta tabla. "/>
    </ext>
  </extLst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Debts" displayName="TBL_Debts" ref="B4:C14" totalsRowShown="0" headerRowDxfId="3" dataDxfId="2">
  <autoFilter ref="B4:C14" xr:uid="{00000000-0009-0000-0100-000002000000}"/>
  <tableColumns count="2">
    <tableColumn id="1" xr3:uid="{00000000-0010-0000-0100-000001000000}" name="Categoría" dataDxfId="1"/>
    <tableColumn id="2" xr3:uid="{00000000-0010-0000-0100-000002000000}" name="Valor" dataDxfId="0"/>
  </tableColumns>
  <tableStyleInfo name="Calculadora" showFirstColumn="0" showLastColumn="0" showRowStripes="1" showColumnStripes="0"/>
  <extLst>
    <ext xmlns:x14="http://schemas.microsoft.com/office/spreadsheetml/2009/9/main" uri="{504A1905-F514-4f6f-8877-14C23A59335A}">
      <x14:table altTextSummary="Escriba los datos de deudas en esta tabla. "/>
    </ext>
  </extLst>
</table>
</file>

<file path=xl/theme/theme11.xml><?xml version="1.0" encoding="utf-8"?>
<a:theme xmlns:a="http://schemas.openxmlformats.org/drawingml/2006/main" name="Office Theme">
  <a:themeElements>
    <a:clrScheme name="Custom 8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FF4747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ustom 44">
      <a:majorFont>
        <a:latin typeface="Franklin Gothic Medium"/>
        <a:ea typeface=""/>
        <a:cs typeface=""/>
      </a:majorFont>
      <a:minorFont>
        <a:latin typeface="Tw Cen M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3.xml.rels>&#65279;<?xml version="1.0" encoding="utf-8"?><Relationships xmlns="http://schemas.openxmlformats.org/package/2006/relationships"><Relationship Type="http://schemas.openxmlformats.org/officeDocument/2006/relationships/drawing" Target="/xl/drawings/drawing11.xml" Id="rId2" /><Relationship Type="http://schemas.openxmlformats.org/officeDocument/2006/relationships/printerSettings" Target="/xl/printerSettings/printerSettings13.bin" Id="rId1" /></Relationships>
</file>

<file path=xl/worksheets/_rels/sheet22.xml.rels>&#65279;<?xml version="1.0" encoding="utf-8"?><Relationships xmlns="http://schemas.openxmlformats.org/package/2006/relationships"><Relationship Type="http://schemas.openxmlformats.org/officeDocument/2006/relationships/table" Target="/xl/tables/table12.xml" Id="rId2" /><Relationship Type="http://schemas.openxmlformats.org/officeDocument/2006/relationships/printerSettings" Target="/xl/printerSettings/printerSettings22.bin" Id="rId1" /></Relationships>
</file>

<file path=xl/worksheets/_rels/sheet31.xml.rels>&#65279;<?xml version="1.0" encoding="utf-8"?><Relationships xmlns="http://schemas.openxmlformats.org/package/2006/relationships"><Relationship Type="http://schemas.openxmlformats.org/officeDocument/2006/relationships/table" Target="/xl/tables/table21.xml" Id="rId2" /><Relationship Type="http://schemas.openxmlformats.org/officeDocument/2006/relationships/printerSettings" Target="/xl/printerSettings/printerSettings31.bin" Id="rId1" /></Relationships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C1:Y41"/>
  <sheetViews>
    <sheetView showGridLines="0" tabSelected="1" topLeftCell="B1" zoomScaleNormal="100" workbookViewId="0">
      <selection activeCell="B1" sqref="B1"/>
    </sheetView>
  </sheetViews>
  <sheetFormatPr baseColWidth="10" defaultColWidth="9" defaultRowHeight="14.25" x14ac:dyDescent="0.2"/>
  <cols>
    <col min="1" max="1" width="1.625" style="1" customWidth="1"/>
    <col min="2" max="2" width="4.625" style="1" customWidth="1"/>
    <col min="3" max="3" width="2" style="1" customWidth="1"/>
    <col min="4" max="4" width="3.25" style="1" customWidth="1"/>
    <col min="5" max="5" width="18.375" style="1" customWidth="1"/>
    <col min="6" max="6" width="23.125" style="1" customWidth="1"/>
    <col min="7" max="7" width="4.625" style="1" customWidth="1"/>
    <col min="8" max="9" width="3.625" style="1" customWidth="1"/>
    <col min="10" max="10" width="3.25" style="1" customWidth="1"/>
    <col min="11" max="11" width="26.625" style="1" customWidth="1"/>
    <col min="12" max="12" width="12.625" style="1" customWidth="1"/>
    <col min="13" max="13" width="6.625" style="1" customWidth="1"/>
    <col min="14" max="15" width="1.625" style="1" customWidth="1"/>
    <col min="16" max="16" width="9" style="22"/>
    <col min="17" max="17" width="22.25" style="14" customWidth="1"/>
    <col min="18" max="18" width="12.25" style="14" customWidth="1"/>
    <col min="19" max="19" width="9.25" style="14" customWidth="1"/>
    <col min="20" max="20" width="9" style="12"/>
    <col min="21" max="21" width="22.25" style="12" customWidth="1"/>
    <col min="22" max="22" width="12.25" style="12" customWidth="1"/>
    <col min="23" max="23" width="9" style="12"/>
    <col min="24" max="24" width="22.25" style="12" customWidth="1"/>
    <col min="25" max="25" width="12.25" style="12" customWidth="1"/>
    <col min="26" max="16384" width="9" style="1"/>
  </cols>
  <sheetData>
    <row r="1" spans="3:25" ht="9" customHeight="1" x14ac:dyDescent="0.2">
      <c r="O1" s="1" t="s">
        <v>5</v>
      </c>
      <c r="Q1" s="12"/>
      <c r="R1" s="12"/>
      <c r="S1" s="12"/>
    </row>
    <row r="2" spans="3:25" ht="146.25" customHeight="1" x14ac:dyDescent="0.2">
      <c r="Q2" s="36" t="s">
        <v>6</v>
      </c>
      <c r="R2" s="36">
        <f>SUMIF(TBL_Assets[Categoría],'Patrimonio neto personal'!Q2,TBL_Assets[Valor])+ROW(Q2)/10000</f>
        <v>42500.0002</v>
      </c>
      <c r="S2" s="36">
        <f>_xlfn.RANK.EQ(R2,$R$2:$R$6,0)</f>
        <v>5</v>
      </c>
      <c r="U2" s="36" t="str">
        <f>INDEX($Q$2:$R$6,MATCH(5,$S$2:$S$6,0),1)</f>
        <v>Efectivo y efectivo equivalente</v>
      </c>
      <c r="V2" s="36">
        <f>ROUND(INDEX($Q$2:$R$6,MATCH(5,$S$2:$S$6,0),2),2)</f>
        <v>42500</v>
      </c>
      <c r="X2" s="35" t="s">
        <v>2</v>
      </c>
      <c r="Y2" s="36">
        <f>SUM(TBL_Assets[Valor])</f>
        <v>1923500</v>
      </c>
    </row>
    <row r="3" spans="3:25" s="10" customFormat="1" ht="35.25" customHeight="1" x14ac:dyDescent="0.4">
      <c r="C3" s="27" t="s">
        <v>0</v>
      </c>
      <c r="D3" s="29"/>
      <c r="E3" s="9"/>
      <c r="F3" s="9"/>
      <c r="G3" s="38"/>
      <c r="H3" s="9"/>
      <c r="P3" s="23"/>
      <c r="Q3" s="36" t="s">
        <v>7</v>
      </c>
      <c r="R3" s="36">
        <f>SUMIF(TBL_Assets[Categoría],'Patrimonio neto personal'!Q3,TBL_Assets[Valor])+ROW(Q3)/10000</f>
        <v>1205000.0003</v>
      </c>
      <c r="S3" s="36">
        <f>_xlfn.RANK.EQ(R3,$R$2:$R$6,0)</f>
        <v>1</v>
      </c>
      <c r="T3" s="12"/>
      <c r="U3" s="36" t="str">
        <f>INDEX($Q$2:$R$6,MATCH(4,$S$2:$S$6,0),1)</f>
        <v>Ahorros para la jubilación</v>
      </c>
      <c r="V3" s="36">
        <f>ROUND(INDEX($Q$2:$R$6,MATCH(4,$S$2:$S$6,0),2),2)</f>
        <v>98000</v>
      </c>
      <c r="W3" s="12"/>
      <c r="X3" s="35" t="s">
        <v>3</v>
      </c>
      <c r="Y3" s="36">
        <f>SUM(TBL_Debts[Valor])</f>
        <v>652500</v>
      </c>
    </row>
    <row r="4" spans="3:25" s="10" customFormat="1" ht="25.5" customHeight="1" x14ac:dyDescent="0.2">
      <c r="C4" s="48">
        <f>F6-F8</f>
        <v>1271000</v>
      </c>
      <c r="D4" s="48"/>
      <c r="E4" s="48"/>
      <c r="F4" s="48"/>
      <c r="G4" s="48"/>
      <c r="H4" s="48"/>
      <c r="J4" s="37" t="s">
        <v>4</v>
      </c>
      <c r="P4" s="23"/>
      <c r="Q4" s="36" t="s">
        <v>8</v>
      </c>
      <c r="R4" s="36">
        <f>SUMIF(TBL_Assets[Categoría],'Patrimonio neto personal'!Q4,TBL_Assets[Valor])+ROW(Q4)/10000</f>
        <v>475000.0004</v>
      </c>
      <c r="S4" s="36">
        <f>_xlfn.RANK.EQ(R4,$R$2:$R$6,0)</f>
        <v>2</v>
      </c>
      <c r="T4" s="12"/>
      <c r="U4" s="36" t="str">
        <f>INDEX($Q$2:$R$6,MATCH(3,$S$2:$S$6,0),1)</f>
        <v>Seguro de vida</v>
      </c>
      <c r="V4" s="36">
        <f>ROUND(INDEX($Q$2:$R$6,MATCH(3,$S$2:$S$6,0),2),2)</f>
        <v>103000</v>
      </c>
      <c r="W4" s="12"/>
      <c r="X4" s="13"/>
      <c r="Y4" s="13"/>
    </row>
    <row r="5" spans="3:25" ht="52.5" customHeight="1" x14ac:dyDescent="0.2">
      <c r="C5" s="48"/>
      <c r="D5" s="48"/>
      <c r="E5" s="48"/>
      <c r="F5" s="48"/>
      <c r="G5" s="48"/>
      <c r="H5" s="48"/>
      <c r="I5" s="10"/>
      <c r="J5" s="10"/>
      <c r="K5" s="10"/>
      <c r="L5" s="10"/>
      <c r="Q5" s="36" t="s">
        <v>9</v>
      </c>
      <c r="R5" s="36">
        <f>SUMIF(TBL_Assets[Categoría],'Patrimonio neto personal'!Q5,TBL_Assets[Valor])+ROW(Q5)/10000</f>
        <v>98000.0005</v>
      </c>
      <c r="S5" s="36">
        <f>_xlfn.RANK.EQ(R5,$R$2:$R$6,0)</f>
        <v>4</v>
      </c>
      <c r="U5" s="36" t="str">
        <f>INDEX($Q$2:$R$6,MATCH(2,$S$2:$S$6,0),1)</f>
        <v>Inversiones</v>
      </c>
      <c r="V5" s="36">
        <f>ROUND(INDEX($Q$2:$R$6,MATCH(2,$S$2:$S$6,0),2),2)</f>
        <v>475000</v>
      </c>
    </row>
    <row r="6" spans="3:25" s="9" customFormat="1" ht="18" customHeight="1" x14ac:dyDescent="0.2">
      <c r="D6" s="33"/>
      <c r="E6" s="3" t="s">
        <v>2</v>
      </c>
      <c r="F6" s="39">
        <f>SUM(TBL_Assets[Valor])</f>
        <v>1923500</v>
      </c>
      <c r="G6" s="40"/>
      <c r="H6" s="1"/>
      <c r="I6" s="1"/>
      <c r="J6" s="1"/>
      <c r="K6" s="1"/>
      <c r="L6" s="1"/>
      <c r="P6" s="24"/>
      <c r="Q6" s="36" t="s">
        <v>10</v>
      </c>
      <c r="R6" s="36">
        <f>SUMIF(TBL_Assets[Categoría],'Patrimonio neto personal'!Q6,TBL_Assets[Valor])+ROW(Q6)/10000</f>
        <v>103000.0006</v>
      </c>
      <c r="S6" s="36">
        <f>_xlfn.RANK.EQ(R6,$R$2:$R$6,0)</f>
        <v>3</v>
      </c>
      <c r="T6" s="12"/>
      <c r="U6" s="36" t="str">
        <f>INDEX($Q$2:$R$6,MATCH(1,$S$2:$S$6,0),1)</f>
        <v>Propiedades</v>
      </c>
      <c r="V6" s="36">
        <f>ROUND(INDEX($Q$2:$R$6,MATCH(1,$S$2:$S$6,0),2),2)</f>
        <v>1205000</v>
      </c>
      <c r="W6" s="12"/>
      <c r="X6" s="12"/>
      <c r="Y6" s="12"/>
    </row>
    <row r="7" spans="3:25" s="9" customFormat="1" ht="9" customHeight="1" x14ac:dyDescent="0.2">
      <c r="D7" s="3"/>
      <c r="E7" s="3"/>
      <c r="F7" s="3"/>
      <c r="P7" s="24"/>
      <c r="Q7" s="12"/>
      <c r="R7" s="12"/>
      <c r="S7" s="12"/>
      <c r="T7" s="12"/>
      <c r="U7" s="12"/>
      <c r="V7" s="12"/>
      <c r="W7" s="12"/>
      <c r="X7" s="12"/>
      <c r="Y7" s="12"/>
    </row>
    <row r="8" spans="3:25" ht="18" customHeight="1" x14ac:dyDescent="0.2">
      <c r="D8" s="11"/>
      <c r="E8" s="3" t="s">
        <v>3</v>
      </c>
      <c r="F8" s="39">
        <f>SUM(TBL_Debts[Valor])</f>
        <v>652500</v>
      </c>
      <c r="G8" s="9"/>
      <c r="H8" s="9"/>
      <c r="I8" s="9"/>
      <c r="J8" s="9"/>
      <c r="K8" s="9"/>
      <c r="L8" s="9"/>
    </row>
    <row r="9" spans="3:25" ht="9" customHeight="1" x14ac:dyDescent="0.2"/>
    <row r="10" spans="3:25" ht="12" customHeight="1" x14ac:dyDescent="0.2"/>
    <row r="11" spans="3:25" s="4" customFormat="1" ht="9" customHeight="1" x14ac:dyDescent="0.2">
      <c r="D11" s="1"/>
      <c r="E11" s="1"/>
      <c r="F11" s="1"/>
      <c r="G11" s="1"/>
      <c r="H11" s="1"/>
      <c r="I11" s="1"/>
      <c r="J11" s="1"/>
      <c r="K11" s="1"/>
      <c r="L11" s="1"/>
      <c r="M11" s="39"/>
      <c r="P11" s="25"/>
      <c r="Q11" s="15"/>
      <c r="R11" s="15"/>
      <c r="S11" s="14"/>
      <c r="T11" s="15"/>
      <c r="U11" s="15"/>
      <c r="V11" s="15"/>
      <c r="W11" s="15"/>
      <c r="X11" s="15"/>
      <c r="Y11" s="15"/>
    </row>
    <row r="12" spans="3:25" s="4" customFormat="1" ht="20.25" x14ac:dyDescent="0.2">
      <c r="D12" s="37" t="s">
        <v>1</v>
      </c>
      <c r="G12" s="3"/>
      <c r="M12" s="39"/>
      <c r="P12" s="25"/>
      <c r="Q12" s="15"/>
      <c r="R12" s="15"/>
      <c r="S12" s="14"/>
      <c r="T12" s="15"/>
      <c r="U12" s="15"/>
      <c r="V12" s="15"/>
      <c r="W12" s="15"/>
      <c r="X12" s="15"/>
      <c r="Y12" s="15"/>
    </row>
    <row r="13" spans="3:25" s="4" customFormat="1" ht="18" customHeight="1" x14ac:dyDescent="0.2">
      <c r="D13" s="28"/>
      <c r="G13" s="3"/>
      <c r="J13" s="5"/>
      <c r="K13" s="3" t="str">
        <f>U6</f>
        <v>Propiedades</v>
      </c>
      <c r="L13" s="41">
        <f>V6</f>
        <v>1205000</v>
      </c>
      <c r="M13" s="39"/>
      <c r="P13" s="25"/>
      <c r="Q13" s="15"/>
      <c r="R13" s="15"/>
      <c r="S13" s="14"/>
      <c r="T13" s="15"/>
      <c r="U13" s="15"/>
      <c r="V13" s="15"/>
      <c r="W13" s="15"/>
      <c r="X13" s="15"/>
      <c r="Y13" s="15"/>
    </row>
    <row r="14" spans="3:25" s="4" customFormat="1" ht="9" customHeight="1" x14ac:dyDescent="0.2">
      <c r="G14" s="3"/>
      <c r="K14" s="3"/>
      <c r="L14" s="41"/>
      <c r="M14" s="39"/>
      <c r="P14" s="25"/>
      <c r="Q14" s="15"/>
      <c r="R14" s="15"/>
      <c r="S14" s="14"/>
      <c r="T14" s="15"/>
      <c r="U14" s="15"/>
      <c r="V14" s="15"/>
      <c r="W14" s="15"/>
      <c r="X14" s="15"/>
      <c r="Y14" s="15"/>
    </row>
    <row r="15" spans="3:25" s="4" customFormat="1" ht="18" customHeight="1" x14ac:dyDescent="0.2">
      <c r="G15" s="3"/>
      <c r="J15" s="34"/>
      <c r="K15" s="3" t="str">
        <f>U5</f>
        <v>Inversiones</v>
      </c>
      <c r="L15" s="41">
        <f>V5</f>
        <v>475000</v>
      </c>
      <c r="M15" s="39"/>
      <c r="P15" s="25"/>
      <c r="Q15" s="15"/>
      <c r="R15" s="15"/>
      <c r="S15" s="14"/>
      <c r="T15" s="15"/>
      <c r="U15" s="15"/>
      <c r="V15" s="15"/>
      <c r="W15" s="15"/>
      <c r="X15" s="15"/>
      <c r="Y15" s="15"/>
    </row>
    <row r="16" spans="3:25" s="4" customFormat="1" ht="9" customHeight="1" x14ac:dyDescent="0.2">
      <c r="D16" s="3"/>
      <c r="E16" s="3"/>
      <c r="F16" s="3"/>
      <c r="G16" s="3"/>
      <c r="K16" s="3"/>
      <c r="L16" s="41"/>
      <c r="M16" s="39"/>
      <c r="P16" s="25"/>
      <c r="Q16" s="14"/>
      <c r="R16" s="14"/>
      <c r="S16" s="14"/>
      <c r="T16" s="15"/>
      <c r="U16" s="15"/>
      <c r="V16" s="15"/>
      <c r="W16" s="15"/>
      <c r="X16" s="15"/>
      <c r="Y16" s="15"/>
    </row>
    <row r="17" spans="4:25" s="4" customFormat="1" ht="18" customHeight="1" x14ac:dyDescent="0.2">
      <c r="D17" s="3"/>
      <c r="E17" s="3"/>
      <c r="F17" s="3"/>
      <c r="G17" s="3"/>
      <c r="J17" s="6"/>
      <c r="K17" s="3" t="str">
        <f>U4</f>
        <v>Seguro de vida</v>
      </c>
      <c r="L17" s="41">
        <f>V4</f>
        <v>103000</v>
      </c>
      <c r="M17" s="39"/>
      <c r="P17" s="25"/>
      <c r="Q17" s="14"/>
      <c r="R17" s="14"/>
      <c r="S17" s="14"/>
      <c r="T17" s="15"/>
      <c r="U17" s="15"/>
      <c r="V17" s="15"/>
      <c r="W17" s="15"/>
      <c r="X17" s="15"/>
      <c r="Y17" s="15"/>
    </row>
    <row r="18" spans="4:25" s="4" customFormat="1" ht="9" customHeight="1" x14ac:dyDescent="0.2">
      <c r="D18" s="3"/>
      <c r="E18" s="3"/>
      <c r="F18" s="3"/>
      <c r="G18" s="3"/>
      <c r="K18" s="3"/>
      <c r="L18" s="41"/>
      <c r="M18" s="39"/>
      <c r="P18" s="25"/>
      <c r="Q18" s="14"/>
      <c r="R18" s="14"/>
      <c r="S18" s="14"/>
      <c r="T18" s="15"/>
      <c r="U18" s="15"/>
      <c r="V18" s="15"/>
      <c r="W18" s="15"/>
      <c r="X18" s="15"/>
      <c r="Y18" s="15"/>
    </row>
    <row r="19" spans="4:25" s="4" customFormat="1" ht="18" customHeight="1" x14ac:dyDescent="0.2">
      <c r="D19" s="3"/>
      <c r="E19" s="3"/>
      <c r="F19" s="3"/>
      <c r="G19" s="3"/>
      <c r="J19" s="7"/>
      <c r="K19" s="3" t="str">
        <f>U3</f>
        <v>Ahorros para la jubilación</v>
      </c>
      <c r="L19" s="41">
        <f>V3</f>
        <v>98000</v>
      </c>
      <c r="M19" s="39"/>
      <c r="P19" s="25"/>
      <c r="Q19" s="14"/>
      <c r="R19" s="14"/>
      <c r="S19" s="14"/>
      <c r="T19" s="15"/>
      <c r="U19" s="15"/>
      <c r="V19" s="15"/>
      <c r="W19" s="15"/>
      <c r="X19" s="15"/>
      <c r="Y19" s="15"/>
    </row>
    <row r="20" spans="4:25" s="4" customFormat="1" ht="9" customHeight="1" x14ac:dyDescent="0.2">
      <c r="D20" s="3"/>
      <c r="E20" s="3"/>
      <c r="F20" s="3"/>
      <c r="G20" s="3"/>
      <c r="K20" s="3"/>
      <c r="L20" s="41"/>
      <c r="M20" s="39"/>
      <c r="P20" s="25"/>
      <c r="Q20" s="14"/>
      <c r="R20" s="14"/>
      <c r="S20" s="14"/>
      <c r="T20" s="15"/>
      <c r="U20" s="15"/>
      <c r="V20" s="15"/>
      <c r="W20" s="15"/>
      <c r="X20" s="15"/>
      <c r="Y20" s="15"/>
    </row>
    <row r="21" spans="4:25" ht="18" customHeight="1" x14ac:dyDescent="0.2">
      <c r="D21" s="3"/>
      <c r="E21" s="3"/>
      <c r="F21" s="3"/>
      <c r="G21" s="3"/>
      <c r="H21" s="4"/>
      <c r="I21" s="4"/>
      <c r="J21" s="8"/>
      <c r="K21" s="3" t="str">
        <f>U2</f>
        <v>Efectivo y efectivo equivalente</v>
      </c>
      <c r="L21" s="41">
        <f>V2</f>
        <v>42500</v>
      </c>
    </row>
    <row r="22" spans="4:25" ht="9" customHeight="1" x14ac:dyDescent="0.2"/>
    <row r="23" spans="4:25" ht="32.25" customHeight="1" x14ac:dyDescent="0.2"/>
    <row r="40" spans="4:25" s="2" customFormat="1" ht="20.25" x14ac:dyDescent="0.2">
      <c r="D40" s="1"/>
      <c r="E40" s="1"/>
      <c r="F40" s="1"/>
      <c r="G40" s="1"/>
      <c r="H40" s="1"/>
      <c r="I40" s="1"/>
      <c r="J40" s="1"/>
      <c r="K40" s="1"/>
      <c r="L40" s="1"/>
      <c r="P40" s="26"/>
      <c r="Q40" s="14"/>
      <c r="R40" s="14"/>
      <c r="S40" s="14"/>
      <c r="T40" s="16"/>
      <c r="U40" s="16"/>
      <c r="V40" s="16"/>
      <c r="W40" s="16"/>
      <c r="X40" s="16"/>
      <c r="Y40" s="16"/>
    </row>
    <row r="41" spans="4:25" ht="20.25" x14ac:dyDescent="0.2">
      <c r="D41" s="2"/>
      <c r="E41" s="2"/>
      <c r="F41" s="2"/>
      <c r="G41" s="2"/>
      <c r="H41" s="2"/>
      <c r="I41" s="2"/>
      <c r="J41" s="2"/>
      <c r="K41" s="2"/>
      <c r="L41" s="2"/>
    </row>
  </sheetData>
  <sortState xmlns:xlrd2="http://schemas.microsoft.com/office/spreadsheetml/2017/richdata2" ref="Q16:R20">
    <sortCondition descending="1" ref="R3:R7"/>
  </sortState>
  <mergeCells count="1">
    <mergeCell ref="C4:H5"/>
  </mergeCells>
  <dataValidations count="1">
    <dataValidation allowBlank="1" showInputMessage="1" showErrorMessage="1" promptTitle="Patrimonio neto personal" prompt="_x000a_Escriba los datos de activos y deudas en las siguientes pestañas. _x000a__x000a_Todos los datos y gráficos de esta pestaña se actualizarán automáticamente." sqref="A1" xr:uid="{00000000-0002-0000-0000-000000000000}"/>
  </dataValidations>
  <printOptions horizontalCentered="1" verticalCentered="1"/>
  <pageMargins left="0.5" right="0.5" top="0.3" bottom="0.3" header="0" footer="0"/>
  <pageSetup paperSize="9" orientation="landscape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8" tint="-0.499984740745262"/>
  </sheetPr>
  <dimension ref="B1:F25"/>
  <sheetViews>
    <sheetView showGridLines="0" zoomScaleNormal="100" workbookViewId="0">
      <pane ySplit="4" topLeftCell="A5" activePane="bottomLeft" state="frozen"/>
      <selection pane="bottomLeft"/>
    </sheetView>
  </sheetViews>
  <sheetFormatPr baseColWidth="10" defaultColWidth="9" defaultRowHeight="24" customHeight="1" x14ac:dyDescent="0.2"/>
  <cols>
    <col min="1" max="1" width="1.5" style="3" customWidth="1"/>
    <col min="2" max="2" width="26.625" style="3" customWidth="1"/>
    <col min="3" max="3" width="36.625" style="3" customWidth="1"/>
    <col min="4" max="4" width="16.625" style="20" customWidth="1"/>
    <col min="5" max="5" width="1.625" style="20" customWidth="1"/>
    <col min="6" max="6" width="16.625" style="20" customWidth="1"/>
    <col min="7" max="16384" width="9" style="3"/>
  </cols>
  <sheetData>
    <row r="1" spans="2:6" ht="9" customHeight="1" x14ac:dyDescent="0.2">
      <c r="D1" s="42"/>
      <c r="E1" s="43" t="s">
        <v>5</v>
      </c>
      <c r="F1" s="42"/>
    </row>
    <row r="2" spans="2:6" s="17" customFormat="1" ht="34.5" x14ac:dyDescent="0.2">
      <c r="B2" s="31" t="s">
        <v>11</v>
      </c>
      <c r="C2" s="32"/>
      <c r="D2" s="44"/>
      <c r="E2" s="45"/>
      <c r="F2" s="45"/>
    </row>
    <row r="3" spans="2:6" ht="30" customHeight="1" x14ac:dyDescent="0.2">
      <c r="D3" s="42"/>
      <c r="E3" s="42"/>
      <c r="F3" s="42"/>
    </row>
    <row r="4" spans="2:6" ht="30" customHeight="1" x14ac:dyDescent="0.2">
      <c r="B4" s="3" t="s">
        <v>12</v>
      </c>
      <c r="C4" s="3" t="s">
        <v>13</v>
      </c>
      <c r="D4" s="42" t="s">
        <v>33</v>
      </c>
      <c r="E4" s="42"/>
      <c r="F4" s="42"/>
    </row>
    <row r="5" spans="2:6" ht="24" customHeight="1" x14ac:dyDescent="0.2">
      <c r="B5" s="3" t="s">
        <v>7</v>
      </c>
      <c r="C5" s="3" t="s">
        <v>14</v>
      </c>
      <c r="D5" s="42">
        <v>560000</v>
      </c>
      <c r="E5" s="42"/>
      <c r="F5" s="42"/>
    </row>
    <row r="6" spans="2:6" ht="24" customHeight="1" x14ac:dyDescent="0.2">
      <c r="B6" s="3" t="s">
        <v>7</v>
      </c>
      <c r="C6" s="3" t="s">
        <v>15</v>
      </c>
      <c r="D6" s="42">
        <v>255000</v>
      </c>
      <c r="E6" s="42"/>
      <c r="F6" s="42"/>
    </row>
    <row r="7" spans="2:6" ht="24" customHeight="1" x14ac:dyDescent="0.2">
      <c r="B7" s="3" t="s">
        <v>9</v>
      </c>
      <c r="C7" s="3" t="s">
        <v>16</v>
      </c>
      <c r="D7" s="42">
        <v>98000</v>
      </c>
      <c r="E7" s="42"/>
      <c r="F7" s="42"/>
    </row>
    <row r="8" spans="2:6" ht="24" customHeight="1" x14ac:dyDescent="0.2">
      <c r="B8" s="3" t="s">
        <v>8</v>
      </c>
      <c r="C8" s="3" t="s">
        <v>17</v>
      </c>
      <c r="D8" s="42">
        <v>53000</v>
      </c>
      <c r="E8" s="42"/>
      <c r="F8" s="42"/>
    </row>
    <row r="9" spans="2:6" ht="24" customHeight="1" x14ac:dyDescent="0.2">
      <c r="B9" s="3" t="s">
        <v>8</v>
      </c>
      <c r="C9" s="3" t="s">
        <v>18</v>
      </c>
      <c r="D9" s="42">
        <v>25000</v>
      </c>
      <c r="E9" s="42"/>
      <c r="F9" s="42"/>
    </row>
    <row r="10" spans="2:6" ht="24" customHeight="1" x14ac:dyDescent="0.2">
      <c r="B10" s="3" t="s">
        <v>8</v>
      </c>
      <c r="C10" s="3" t="s">
        <v>19</v>
      </c>
      <c r="D10" s="42">
        <v>33000</v>
      </c>
      <c r="E10" s="42"/>
      <c r="F10" s="42"/>
    </row>
    <row r="11" spans="2:6" ht="24" customHeight="1" x14ac:dyDescent="0.2">
      <c r="B11" s="3" t="s">
        <v>8</v>
      </c>
      <c r="C11" s="3" t="s">
        <v>20</v>
      </c>
      <c r="D11" s="42">
        <v>74000</v>
      </c>
      <c r="E11" s="42"/>
      <c r="F11" s="42"/>
    </row>
    <row r="12" spans="2:6" ht="24" customHeight="1" x14ac:dyDescent="0.2">
      <c r="B12" s="3" t="s">
        <v>8</v>
      </c>
      <c r="C12" s="3" t="s">
        <v>21</v>
      </c>
      <c r="D12" s="42">
        <v>20000</v>
      </c>
      <c r="E12" s="42"/>
      <c r="F12" s="42"/>
    </row>
    <row r="13" spans="2:6" ht="24" customHeight="1" x14ac:dyDescent="0.2">
      <c r="B13" s="3" t="s">
        <v>8</v>
      </c>
      <c r="C13" s="3" t="s">
        <v>22</v>
      </c>
      <c r="D13" s="42">
        <v>250000</v>
      </c>
      <c r="E13" s="42"/>
      <c r="F13" s="42"/>
    </row>
    <row r="14" spans="2:6" ht="24" customHeight="1" x14ac:dyDescent="0.2">
      <c r="B14" s="3" t="s">
        <v>10</v>
      </c>
      <c r="C14" s="3" t="s">
        <v>23</v>
      </c>
      <c r="D14" s="42">
        <v>18000</v>
      </c>
      <c r="E14" s="42"/>
      <c r="F14" s="42"/>
    </row>
    <row r="15" spans="2:6" ht="24" customHeight="1" x14ac:dyDescent="0.2">
      <c r="B15" s="3" t="s">
        <v>10</v>
      </c>
      <c r="C15" s="3" t="s">
        <v>24</v>
      </c>
      <c r="D15" s="42">
        <v>85000</v>
      </c>
      <c r="E15" s="42"/>
      <c r="F15" s="42"/>
    </row>
    <row r="16" spans="2:6" ht="24" customHeight="1" x14ac:dyDescent="0.2">
      <c r="B16" s="3" t="s">
        <v>8</v>
      </c>
      <c r="C16" s="3" t="s">
        <v>15</v>
      </c>
      <c r="D16" s="42">
        <v>20000</v>
      </c>
      <c r="E16" s="42"/>
      <c r="F16" s="42"/>
    </row>
    <row r="17" spans="2:6" ht="24" customHeight="1" x14ac:dyDescent="0.2">
      <c r="B17" s="3" t="s">
        <v>6</v>
      </c>
      <c r="C17" s="3" t="s">
        <v>25</v>
      </c>
      <c r="D17" s="42">
        <v>35500</v>
      </c>
      <c r="E17" s="42"/>
      <c r="F17" s="42"/>
    </row>
    <row r="18" spans="2:6" ht="24" customHeight="1" x14ac:dyDescent="0.2">
      <c r="B18" s="3" t="s">
        <v>6</v>
      </c>
      <c r="C18" s="3" t="s">
        <v>26</v>
      </c>
      <c r="D18" s="42">
        <v>5000</v>
      </c>
      <c r="E18" s="42"/>
      <c r="F18" s="42"/>
    </row>
    <row r="19" spans="2:6" ht="24" customHeight="1" x14ac:dyDescent="0.2">
      <c r="B19" s="3" t="s">
        <v>6</v>
      </c>
      <c r="C19" s="3" t="s">
        <v>15</v>
      </c>
      <c r="D19" s="42">
        <v>2000</v>
      </c>
      <c r="E19" s="42"/>
      <c r="F19" s="42"/>
    </row>
    <row r="20" spans="2:6" ht="24" customHeight="1" x14ac:dyDescent="0.2">
      <c r="B20" s="3" t="s">
        <v>7</v>
      </c>
      <c r="C20" s="3" t="s">
        <v>27</v>
      </c>
      <c r="D20" s="42">
        <v>55000</v>
      </c>
      <c r="E20" s="42"/>
      <c r="F20" s="42"/>
    </row>
    <row r="21" spans="2:6" ht="24" customHeight="1" x14ac:dyDescent="0.2">
      <c r="B21" s="3" t="s">
        <v>7</v>
      </c>
      <c r="C21" s="3" t="s">
        <v>28</v>
      </c>
      <c r="D21" s="42">
        <v>85000</v>
      </c>
      <c r="E21" s="42"/>
      <c r="F21" s="42"/>
    </row>
    <row r="22" spans="2:6" ht="24" customHeight="1" x14ac:dyDescent="0.2">
      <c r="B22" s="3" t="s">
        <v>7</v>
      </c>
      <c r="C22" s="3" t="s">
        <v>29</v>
      </c>
      <c r="D22" s="42">
        <v>100000</v>
      </c>
      <c r="E22" s="42"/>
      <c r="F22" s="42"/>
    </row>
    <row r="23" spans="2:6" ht="24" customHeight="1" x14ac:dyDescent="0.2">
      <c r="B23" s="3" t="s">
        <v>7</v>
      </c>
      <c r="C23" s="3" t="s">
        <v>30</v>
      </c>
      <c r="D23" s="42">
        <v>50000</v>
      </c>
      <c r="E23" s="42"/>
      <c r="F23" s="42"/>
    </row>
    <row r="24" spans="2:6" ht="24" customHeight="1" x14ac:dyDescent="0.2">
      <c r="B24" s="3" t="s">
        <v>7</v>
      </c>
      <c r="C24" s="3" t="s">
        <v>31</v>
      </c>
      <c r="D24" s="42">
        <v>60000</v>
      </c>
      <c r="E24" s="42"/>
      <c r="F24" s="42"/>
    </row>
    <row r="25" spans="2:6" ht="24" customHeight="1" x14ac:dyDescent="0.2">
      <c r="B25" s="3" t="s">
        <v>7</v>
      </c>
      <c r="C25" s="3" t="s">
        <v>32</v>
      </c>
      <c r="D25" s="42">
        <v>40000</v>
      </c>
      <c r="E25" s="42"/>
      <c r="F25" s="42"/>
    </row>
  </sheetData>
  <dataValidations count="2">
    <dataValidation type="list" allowBlank="1" showInputMessage="1" showErrorMessage="1" sqref="B5:B25" xr:uid="{00000000-0002-0000-0100-000000000000}">
      <formula1>"Efectivo y efectivo equivalente, Propiedades, Inversiones, Ahorros para la jubilación, Seguro de vida"</formula1>
    </dataValidation>
    <dataValidation allowBlank="1" showInputMessage="1" showErrorMessage="1" prompt="Escriba sus activos en la tabla siguiente" sqref="A1" xr:uid="{00000000-0002-0000-0100-000001000000}"/>
  </dataValidations>
  <pageMargins left="0.5" right="0.5" top="0.75" bottom="0.75" header="0.3" footer="0.3"/>
  <pageSetup paperSize="9" orientation="portrait"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5"/>
  </sheetPr>
  <dimension ref="B1:D14"/>
  <sheetViews>
    <sheetView showGridLines="0" workbookViewId="0">
      <pane ySplit="4" topLeftCell="A5" activePane="bottomLeft" state="frozen"/>
      <selection pane="bottomLeft"/>
    </sheetView>
  </sheetViews>
  <sheetFormatPr baseColWidth="10" defaultColWidth="9" defaultRowHeight="24" customHeight="1" x14ac:dyDescent="0.2"/>
  <cols>
    <col min="1" max="1" width="1.5" style="4" customWidth="1"/>
    <col min="2" max="2" width="36.625" style="3" customWidth="1"/>
    <col min="3" max="3" width="16.625" style="19" customWidth="1"/>
    <col min="4" max="4" width="1.625" style="4" customWidth="1"/>
    <col min="5" max="16384" width="9" style="4"/>
  </cols>
  <sheetData>
    <row r="1" spans="2:4" ht="9" customHeight="1" x14ac:dyDescent="0.2">
      <c r="C1" s="46"/>
      <c r="D1" s="21" t="s">
        <v>5</v>
      </c>
    </row>
    <row r="2" spans="2:4" s="18" customFormat="1" ht="34.5" x14ac:dyDescent="0.2">
      <c r="B2" s="30" t="s">
        <v>34</v>
      </c>
      <c r="C2" s="47"/>
    </row>
    <row r="3" spans="2:4" ht="30" customHeight="1" x14ac:dyDescent="0.2">
      <c r="C3" s="46"/>
    </row>
    <row r="4" spans="2:4" ht="30" customHeight="1" x14ac:dyDescent="0.2">
      <c r="B4" s="3" t="s">
        <v>12</v>
      </c>
      <c r="C4" s="46" t="s">
        <v>33</v>
      </c>
    </row>
    <row r="5" spans="2:4" ht="24" customHeight="1" x14ac:dyDescent="0.2">
      <c r="B5" s="3" t="s">
        <v>35</v>
      </c>
      <c r="C5" s="46">
        <v>400000</v>
      </c>
    </row>
    <row r="6" spans="2:4" ht="24" customHeight="1" x14ac:dyDescent="0.2">
      <c r="B6" s="3" t="s">
        <v>36</v>
      </c>
      <c r="C6" s="46">
        <v>50000</v>
      </c>
    </row>
    <row r="7" spans="2:4" ht="24" customHeight="1" x14ac:dyDescent="0.2">
      <c r="B7" s="3" t="s">
        <v>37</v>
      </c>
      <c r="C7" s="46">
        <v>30000</v>
      </c>
    </row>
    <row r="8" spans="2:4" ht="24" customHeight="1" x14ac:dyDescent="0.2">
      <c r="B8" s="3" t="s">
        <v>38</v>
      </c>
      <c r="C8" s="46">
        <v>12500</v>
      </c>
    </row>
    <row r="9" spans="2:4" ht="24" customHeight="1" x14ac:dyDescent="0.2">
      <c r="B9" s="3" t="s">
        <v>39</v>
      </c>
      <c r="C9" s="46">
        <v>65000</v>
      </c>
    </row>
    <row r="10" spans="2:4" ht="24" customHeight="1" x14ac:dyDescent="0.2">
      <c r="B10" s="3" t="s">
        <v>40</v>
      </c>
      <c r="C10" s="46">
        <v>10000</v>
      </c>
    </row>
    <row r="11" spans="2:4" ht="24" customHeight="1" x14ac:dyDescent="0.2">
      <c r="B11" s="3" t="s">
        <v>41</v>
      </c>
      <c r="C11" s="46">
        <v>20000</v>
      </c>
    </row>
    <row r="12" spans="2:4" ht="24" customHeight="1" x14ac:dyDescent="0.2">
      <c r="B12" s="3" t="s">
        <v>42</v>
      </c>
      <c r="C12" s="46">
        <v>5000</v>
      </c>
    </row>
    <row r="13" spans="2:4" ht="24" customHeight="1" x14ac:dyDescent="0.2">
      <c r="B13" s="3" t="s">
        <v>43</v>
      </c>
      <c r="C13" s="46">
        <v>10000</v>
      </c>
    </row>
    <row r="14" spans="2:4" ht="24" customHeight="1" x14ac:dyDescent="0.2">
      <c r="B14" s="3" t="s">
        <v>44</v>
      </c>
      <c r="C14" s="46">
        <v>50000</v>
      </c>
    </row>
  </sheetData>
  <dataValidations count="1">
    <dataValidation allowBlank="1" showInputMessage="1" showErrorMessage="1" prompt="Escriba sus deudas en la tabla siguiente" sqref="A1" xr:uid="{00000000-0002-0000-0200-000000000000}"/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&#65279;<?xml version="1.0" encoding="utf-8"?><Relationships xmlns="http://schemas.openxmlformats.org/package/2006/relationships"><Relationship Type="http://schemas.openxmlformats.org/officeDocument/2006/relationships/customXmlProps" Target="/customXml/itemProps11.xml" Id="rId1" /></Relationships>
</file>

<file path=customXml/_rels/item23.xml.rels>&#65279;<?xml version="1.0" encoding="utf-8"?><Relationships xmlns="http://schemas.openxmlformats.org/package/2006/relationships"><Relationship Type="http://schemas.openxmlformats.org/officeDocument/2006/relationships/customXmlProps" Target="/customXml/itemProps23.xml" Id="rId1" /></Relationships>
</file>

<file path=customXml/_rels/item32.xml.rels>&#65279;<?xml version="1.0" encoding="utf-8"?><Relationships xmlns="http://schemas.openxmlformats.org/package/2006/relationships"><Relationship Type="http://schemas.openxmlformats.org/officeDocument/2006/relationships/customXmlProps" Target="/customXml/itemProps32.xml" Id="rId1" 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  <Status xmlns="71af3243-3dd4-4a8d-8c0d-dd76da1f02a5">Not started</Status>
  </documentManagement>
</p:properties>
</file>

<file path=customXml/item2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2" ma:contentTypeDescription="Create a new document." ma:contentTypeScope="" ma:versionID="a754d229f0057affa62b555f2ac55d44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c067517bd06b16cb9c9e315ad40fb255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Status" ma:index="19" nillable="true" ma:displayName="Status" ma:default="Not started" ma:format="Dropdown" ma:internalName="Status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1.xml><?xml version="1.0" encoding="utf-8"?>
<ds:datastoreItem xmlns:ds="http://schemas.openxmlformats.org/officeDocument/2006/customXml" ds:itemID="{13FE2EBC-E0BB-48EC-ACE8-1060704ECCBC}">
  <ds:schemaRefs>
    <ds:schemaRef ds:uri="http://schemas.microsoft.com/office/2006/metadata/properties"/>
    <ds:schemaRef ds:uri="http://schemas.microsoft.com/office/infopath/2007/PartnerControls"/>
    <ds:schemaRef ds:uri="71af3243-3dd4-4a8d-8c0d-dd76da1f02a5"/>
  </ds:schemaRefs>
</ds:datastoreItem>
</file>

<file path=customXml/itemProps23.xml><?xml version="1.0" encoding="utf-8"?>
<ds:datastoreItem xmlns:ds="http://schemas.openxmlformats.org/officeDocument/2006/customXml" ds:itemID="{29E87132-6748-4174-AE8A-87469A37289D}">
  <ds:schemaRefs>
    <ds:schemaRef ds:uri="http://schemas.microsoft.com/sharepoint/v3/contenttype/forms"/>
  </ds:schemaRefs>
</ds:datastoreItem>
</file>

<file path=customXml/itemProps32.xml><?xml version="1.0" encoding="utf-8"?>
<ds:datastoreItem xmlns:ds="http://schemas.openxmlformats.org/officeDocument/2006/customXml" ds:itemID="{4474E4CB-63DF-481F-AC4D-66F66031B07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ap:Properties xmlns:vt="http://schemas.openxmlformats.org/officeDocument/2006/docPropsVTypes" xmlns:ap="http://schemas.openxmlformats.org/officeDocument/2006/extended-properties">
  <ap:DocSecurity>0</ap:DocSecurity>
  <ap:Template>TM03783862</ap:Template>
  <ap:ScaleCrop>false</ap:ScaleCrop>
  <ap:HeadingPairs>
    <vt:vector baseType="variant" size="4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ap:HeadingPairs>
  <ap:TitlesOfParts>
    <vt:vector baseType="lpstr" size="4">
      <vt:lpstr>Patrimonio neto personal</vt:lpstr>
      <vt:lpstr>Activos</vt:lpstr>
      <vt:lpstr>Créditos</vt:lpstr>
      <vt:lpstr>'Patrimonio neto personal'!Área_de_impresión</vt:lpstr>
    </vt:vector>
  </ap:TitlesOfParts>
  <ap:Company/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2019-06-15T18:41:50Z</dcterms:created>
  <dcterms:modified xsi:type="dcterms:W3CDTF">2021-09-08T06:31:16Z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