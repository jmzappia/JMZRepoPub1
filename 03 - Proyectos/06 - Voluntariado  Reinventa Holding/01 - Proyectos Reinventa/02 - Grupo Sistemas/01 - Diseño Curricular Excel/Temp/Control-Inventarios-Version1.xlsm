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Ofimatica Empresarial\Plantillas-Gratis-Youtube\"/>
    </mc:Choice>
  </mc:AlternateContent>
  <xr:revisionPtr revIDLastSave="0" documentId="13_ncr:1_{DCC7A770-05BF-4871-8EF8-180436C46770}" xr6:coauthVersionLast="43" xr6:coauthVersionMax="43" xr10:uidLastSave="{00000000-0000-0000-0000-000000000000}"/>
  <bookViews>
    <workbookView showSheetTabs="0" xWindow="-108" yWindow="-108" windowWidth="23256" windowHeight="12576" tabRatio="826" xr2:uid="{00000000-000D-0000-FFFF-FFFF00000000}"/>
  </bookViews>
  <sheets>
    <sheet name="Home" sheetId="10" r:id="rId1"/>
    <sheet name="Productos" sheetId="3" r:id="rId2"/>
    <sheet name="Clientes" sheetId="5" state="hidden" r:id="rId3"/>
    <sheet name="BaseNombres" sheetId="8" r:id="rId4"/>
    <sheet name="BaseEntrada" sheetId="7" r:id="rId5"/>
    <sheet name="REGISTRAR" sheetId="6" r:id="rId6"/>
    <sheet name="Kardex" sheetId="4" r:id="rId7"/>
    <sheet name="Movimientos" sheetId="9" r:id="rId8"/>
  </sheets>
  <definedNames>
    <definedName name="_xlnm._FilterDatabase" localSheetId="4" hidden="1">BaseEntrada!$A$1:$M$13</definedName>
    <definedName name="_xlnm._FilterDatabase" localSheetId="7" hidden="1">Movimientos!$A$8:$M$8</definedName>
    <definedName name="Cod_Productos">OFFSET(Productos!$A$2,0,0,COUNTA(Productos!$A$2:$A$1048576),COUNTA(Productos!$2:$2))</definedName>
    <definedName name="Documento_FormEntrada" localSheetId="5">REGISTRAR!$C$3</definedName>
    <definedName name="Fecha_FormEntrada" localSheetId="5">REGISTRAR!$C$2</definedName>
    <definedName name="Fila_FormEntrada" localSheetId="5">REGISTRAR!$A$6</definedName>
    <definedName name="FormCliente" localSheetId="5">REGISTRAR!$C$5</definedName>
    <definedName name="FormulaEntrada" localSheetId="5">REGISTRAR!$C$6:$M$6</definedName>
    <definedName name="TablaClientes">OFFSET(Clientes!$B$2,0,0,COUNTA(Clientes!$B$2:$B$1048576))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1" i="4" l="1"/>
  <c r="J31" i="4"/>
  <c r="I31" i="4"/>
  <c r="F31" i="4"/>
  <c r="E31" i="4"/>
  <c r="D31" i="4"/>
  <c r="K30" i="4"/>
  <c r="J30" i="4"/>
  <c r="I30" i="4"/>
  <c r="F30" i="4"/>
  <c r="E30" i="4"/>
  <c r="D30" i="4"/>
  <c r="K29" i="4"/>
  <c r="J29" i="4"/>
  <c r="I29" i="4"/>
  <c r="F29" i="4"/>
  <c r="E29" i="4"/>
  <c r="D29" i="4"/>
  <c r="K28" i="4"/>
  <c r="J28" i="4"/>
  <c r="I28" i="4"/>
  <c r="F28" i="4"/>
  <c r="E28" i="4"/>
  <c r="D28" i="4"/>
  <c r="K27" i="4"/>
  <c r="J27" i="4"/>
  <c r="I27" i="4"/>
  <c r="F27" i="4"/>
  <c r="E27" i="4"/>
  <c r="D27" i="4"/>
  <c r="K26" i="4"/>
  <c r="J26" i="4"/>
  <c r="I26" i="4"/>
  <c r="F26" i="4"/>
  <c r="E26" i="4"/>
  <c r="D26" i="4"/>
  <c r="K25" i="4"/>
  <c r="J25" i="4"/>
  <c r="I25" i="4"/>
  <c r="F25" i="4"/>
  <c r="E25" i="4"/>
  <c r="D25" i="4"/>
  <c r="K24" i="4"/>
  <c r="J24" i="4"/>
  <c r="I24" i="4"/>
  <c r="F24" i="4"/>
  <c r="E24" i="4"/>
  <c r="D24" i="4"/>
  <c r="K23" i="4"/>
  <c r="J23" i="4"/>
  <c r="I23" i="4"/>
  <c r="F23" i="4"/>
  <c r="E23" i="4"/>
  <c r="D23" i="4"/>
  <c r="K22" i="4"/>
  <c r="J22" i="4"/>
  <c r="I22" i="4"/>
  <c r="F22" i="4"/>
  <c r="E22" i="4"/>
  <c r="D22" i="4"/>
  <c r="K21" i="4"/>
  <c r="J21" i="4"/>
  <c r="I21" i="4"/>
  <c r="F21" i="4"/>
  <c r="E21" i="4"/>
  <c r="D21" i="4"/>
  <c r="K20" i="4"/>
  <c r="J20" i="4"/>
  <c r="I20" i="4"/>
  <c r="F20" i="4"/>
  <c r="E20" i="4"/>
  <c r="D20" i="4"/>
  <c r="K19" i="4"/>
  <c r="J19" i="4"/>
  <c r="I19" i="4"/>
  <c r="F19" i="4"/>
  <c r="E19" i="4"/>
  <c r="D19" i="4"/>
  <c r="K18" i="4"/>
  <c r="J18" i="4"/>
  <c r="I18" i="4"/>
  <c r="F18" i="4"/>
  <c r="E18" i="4"/>
  <c r="D18" i="4"/>
  <c r="K17" i="4"/>
  <c r="J17" i="4"/>
  <c r="I17" i="4"/>
  <c r="F17" i="4"/>
  <c r="E17" i="4"/>
  <c r="D17" i="4"/>
  <c r="K16" i="4"/>
  <c r="J16" i="4"/>
  <c r="I16" i="4"/>
  <c r="F16" i="4"/>
  <c r="E16" i="4"/>
  <c r="D16" i="4"/>
  <c r="K15" i="4"/>
  <c r="J15" i="4"/>
  <c r="I15" i="4"/>
  <c r="F15" i="4"/>
  <c r="E15" i="4"/>
  <c r="D15" i="4"/>
  <c r="K14" i="4"/>
  <c r="J14" i="4"/>
  <c r="I14" i="4"/>
  <c r="F14" i="4"/>
  <c r="E14" i="4"/>
  <c r="D14" i="4"/>
  <c r="K13" i="4"/>
  <c r="J13" i="4"/>
  <c r="I13" i="4"/>
  <c r="F13" i="4"/>
  <c r="E13" i="4"/>
  <c r="D13" i="4"/>
  <c r="K12" i="4"/>
  <c r="J12" i="4"/>
  <c r="I12" i="4"/>
  <c r="F12" i="4"/>
  <c r="E12" i="4"/>
  <c r="D12" i="4"/>
  <c r="G26" i="4" l="1"/>
  <c r="L26" i="4"/>
  <c r="G17" i="4"/>
  <c r="G13" i="4"/>
  <c r="G21" i="4"/>
  <c r="G19" i="4"/>
  <c r="L20" i="4"/>
  <c r="G27" i="4"/>
  <c r="L22" i="4"/>
  <c r="G15" i="4"/>
  <c r="L28" i="4"/>
  <c r="L15" i="4"/>
  <c r="G16" i="4"/>
  <c r="G24" i="4"/>
  <c r="L21" i="4"/>
  <c r="L29" i="4"/>
  <c r="L16" i="4"/>
  <c r="L24" i="4"/>
  <c r="G12" i="4"/>
  <c r="L12" i="4"/>
  <c r="L13" i="4"/>
  <c r="G14" i="4"/>
  <c r="G22" i="4"/>
  <c r="G30" i="4"/>
  <c r="L19" i="4"/>
  <c r="L27" i="4"/>
  <c r="G25" i="4"/>
  <c r="L30" i="4"/>
  <c r="G20" i="4"/>
  <c r="G28" i="4"/>
  <c r="L14" i="4"/>
  <c r="L17" i="4"/>
  <c r="L25" i="4"/>
  <c r="G23" i="4"/>
  <c r="G31" i="4"/>
  <c r="G18" i="4"/>
  <c r="L23" i="4"/>
  <c r="L31" i="4"/>
  <c r="G29" i="4"/>
  <c r="L18" i="4"/>
  <c r="B6" i="9"/>
  <c r="C9" i="4" l="1"/>
  <c r="A9" i="4"/>
  <c r="B9" i="4" l="1"/>
  <c r="D3" i="6"/>
  <c r="O6" i="6"/>
  <c r="H6" i="6"/>
  <c r="G6" i="6" l="1"/>
  <c r="C6" i="6"/>
  <c r="D6" i="6"/>
  <c r="C4" i="6"/>
  <c r="A5" i="6"/>
  <c r="A3" i="6"/>
  <c r="A2" i="6"/>
  <c r="D9" i="4" l="1"/>
  <c r="I9" i="4"/>
  <c r="M6" i="6"/>
  <c r="F9" i="4" l="1"/>
  <c r="J9" i="4"/>
  <c r="E9" i="4"/>
  <c r="K9" i="4"/>
  <c r="A6" i="6"/>
  <c r="L9" i="4" l="1"/>
  <c r="G9" i="4"/>
  <c r="I6" i="6"/>
  <c r="L6" i="6" l="1"/>
  <c r="K6" i="6"/>
  <c r="J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Torres</author>
  </authors>
  <commentList>
    <comment ref="A6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Doble Clic para seleccionar por Nombre de Producto
</t>
        </r>
      </text>
    </comment>
  </commentList>
</comments>
</file>

<file path=xl/sharedStrings.xml><?xml version="1.0" encoding="utf-8"?>
<sst xmlns="http://schemas.openxmlformats.org/spreadsheetml/2006/main" count="280" uniqueCount="102">
  <si>
    <t>CODIGO</t>
  </si>
  <si>
    <t>PRODUCTO</t>
  </si>
  <si>
    <t>UND</t>
  </si>
  <si>
    <t>Costo</t>
  </si>
  <si>
    <t>Producto</t>
  </si>
  <si>
    <t>Codigo</t>
  </si>
  <si>
    <t>Fecha:</t>
  </si>
  <si>
    <t>Cliente</t>
  </si>
  <si>
    <t>Documento</t>
  </si>
  <si>
    <t>Document.</t>
  </si>
  <si>
    <t>Fecha</t>
  </si>
  <si>
    <t>PRECIO</t>
  </si>
  <si>
    <t>Saldo anterior</t>
  </si>
  <si>
    <t>Entrada</t>
  </si>
  <si>
    <t>Salidas</t>
  </si>
  <si>
    <t>Saldo</t>
  </si>
  <si>
    <t>Mes anterior</t>
  </si>
  <si>
    <t>Mes actual</t>
  </si>
  <si>
    <t>CLIENTES</t>
  </si>
  <si>
    <t>EL EJEMPLO, S.A DE C.V</t>
  </si>
  <si>
    <t>PRUEBA, S.A DE CV</t>
  </si>
  <si>
    <t>T_Movimiento</t>
  </si>
  <si>
    <t>Concepto</t>
  </si>
  <si>
    <t>Indicador</t>
  </si>
  <si>
    <t>Salida</t>
  </si>
  <si>
    <t>Fecha Formula</t>
  </si>
  <si>
    <t>EMPRESA XXXX</t>
  </si>
  <si>
    <t>KARDEX- ENTRADAS Y SALIDAS DE PRODUCTOS</t>
  </si>
  <si>
    <t>PRODUCTOS</t>
  </si>
  <si>
    <t>UNIDADES</t>
  </si>
  <si>
    <t>EN UNIDADES</t>
  </si>
  <si>
    <t>EN VALORES</t>
  </si>
  <si>
    <t>FECHAS</t>
  </si>
  <si>
    <t>EMPRESA XXXXXX</t>
  </si>
  <si>
    <t>DETALLE DE MOVIENTOS REALIZADOS ENTRE FECHAS</t>
  </si>
  <si>
    <t>DESDE</t>
  </si>
  <si>
    <t>HASTA</t>
  </si>
  <si>
    <t>Und. Entrada</t>
  </si>
  <si>
    <t>Unid. Salida</t>
  </si>
  <si>
    <t>Valor     Entrada</t>
  </si>
  <si>
    <t>Medida</t>
  </si>
  <si>
    <t>Saldo   anterior</t>
  </si>
  <si>
    <t>Nuevo       Saldo</t>
  </si>
  <si>
    <t>VALORES</t>
  </si>
  <si>
    <t>Stock</t>
  </si>
  <si>
    <t>Valor          Salida</t>
  </si>
  <si>
    <t/>
  </si>
  <si>
    <t>Filtro Entre Fechas</t>
  </si>
  <si>
    <t>Cliente/Proveedor</t>
  </si>
  <si>
    <t>CLIENTES / PROVEEDORES</t>
  </si>
  <si>
    <t>Cliente/Prove</t>
  </si>
  <si>
    <t>Existencia anterior</t>
  </si>
  <si>
    <t>Existencia Actual</t>
  </si>
  <si>
    <t>PT01</t>
  </si>
  <si>
    <t>Copa Sundae Fresa</t>
  </si>
  <si>
    <t>Paq.</t>
  </si>
  <si>
    <t>PT02</t>
  </si>
  <si>
    <t>Chococrunch Mani</t>
  </si>
  <si>
    <t>PT03</t>
  </si>
  <si>
    <t>Chococrunch Almendra</t>
  </si>
  <si>
    <t>PT04</t>
  </si>
  <si>
    <t>Morenasa</t>
  </si>
  <si>
    <t>PT05</t>
  </si>
  <si>
    <t>Sanguchin</t>
  </si>
  <si>
    <t>PT06</t>
  </si>
  <si>
    <t>Sanguchin Fresa</t>
  </si>
  <si>
    <t>PT07</t>
  </si>
  <si>
    <t>Jumbotron</t>
  </si>
  <si>
    <t>PT08</t>
  </si>
  <si>
    <t>Jumbotron Mani</t>
  </si>
  <si>
    <t>PT09</t>
  </si>
  <si>
    <t>Cinta Max Veteado de Fresa</t>
  </si>
  <si>
    <t>PT10</t>
  </si>
  <si>
    <t>Vasito Fresa</t>
  </si>
  <si>
    <t>PT11</t>
  </si>
  <si>
    <t>Cinta Max</t>
  </si>
  <si>
    <t>PT12</t>
  </si>
  <si>
    <t>Fruta Mango con Pepita</t>
  </si>
  <si>
    <t>PT13</t>
  </si>
  <si>
    <t>Botoneta Mani</t>
  </si>
  <si>
    <t>PT14</t>
  </si>
  <si>
    <t>Fruta Coco</t>
  </si>
  <si>
    <t>PT15</t>
  </si>
  <si>
    <t>Tacuchin Clasico 10 un</t>
  </si>
  <si>
    <t>PT16</t>
  </si>
  <si>
    <t>Tacuchin Crunchy</t>
  </si>
  <si>
    <t>PT17</t>
  </si>
  <si>
    <t>Corazon de Crema Fresa</t>
  </si>
  <si>
    <t>PT18</t>
  </si>
  <si>
    <t>Corazon de Crema Mora</t>
  </si>
  <si>
    <t>PT19</t>
  </si>
  <si>
    <t>Corazon de Crema Naranja</t>
  </si>
  <si>
    <t>PT20</t>
  </si>
  <si>
    <t>Paleta Chapina</t>
  </si>
  <si>
    <t>DEINSA, S.A.</t>
  </si>
  <si>
    <t>RUTA 01</t>
  </si>
  <si>
    <t>RUTA 02</t>
  </si>
  <si>
    <t>RUTA 03</t>
  </si>
  <si>
    <t>CARRETILLA</t>
  </si>
  <si>
    <t>CONTEO FISICO</t>
  </si>
  <si>
    <t>pt01</t>
  </si>
  <si>
    <t xml:space="preserve">Abasto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</si>
</sst>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0_ ;[Red]\-\(0\)\ "/>
    <numFmt numFmtId="165" formatCode="_$&quot;$&quot;* #,##0.00_-;[Red]\-\(&quot;$&quot;* #,##0.00\)_-;_-&quot;$&quot;* &quot;-&quot;??_-;_-@_-"/>
  </numFmts>
  <fonts count="32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4"/>
      <color theme="1"/>
      <name val="Arial Black"/>
      <family val="2"/>
    </font>
    <font>
      <u/>
      <sz val="13"/>
      <color rgb="FFC00000"/>
      <name val="Arial Black"/>
      <family val="2"/>
    </font>
    <font>
      <sz val="12"/>
      <color theme="1"/>
      <name val="Century Gothic"/>
      <family val="2"/>
      <scheme val="minor"/>
    </font>
    <font>
      <b/>
      <sz val="16"/>
      <color theme="1"/>
      <name val="Arial Black"/>
      <family val="2"/>
    </font>
    <font>
      <sz val="10"/>
      <color theme="1"/>
      <name val="Arial Black"/>
      <family val="2"/>
    </font>
    <font>
      <sz val="11"/>
      <color rgb="FFC00000"/>
      <name val="Century Gothic"/>
      <family val="2"/>
      <scheme val="minor"/>
    </font>
    <font>
      <sz val="11"/>
      <color rgb="FF002060"/>
      <name val="Century Gothic"/>
      <family val="2"/>
      <scheme val="minor"/>
    </font>
    <font>
      <sz val="11"/>
      <color rgb="FF007E39"/>
      <name val="Century Gothic"/>
      <family val="2"/>
      <scheme val="minor"/>
    </font>
    <font>
      <sz val="14"/>
      <color theme="1"/>
      <name val="Arial Black"/>
      <family val="2"/>
    </font>
    <font>
      <b/>
      <sz val="8"/>
      <color theme="0"/>
      <name val="Century Gothic"/>
      <family val="2"/>
      <scheme val="minor"/>
    </font>
    <font>
      <sz val="13"/>
      <color rgb="FFC00000"/>
      <name val="Arial"/>
      <family val="2"/>
    </font>
    <font>
      <u/>
      <sz val="11"/>
      <color theme="10"/>
      <name val="Century Gothic"/>
      <family val="2"/>
      <scheme val="minor"/>
    </font>
    <font>
      <sz val="9"/>
      <color indexed="81"/>
      <name val="Tahoma"/>
      <family val="2"/>
    </font>
    <font>
      <sz val="9"/>
      <color rgb="FFC00000"/>
      <name val="Century Gothic"/>
      <family val="2"/>
      <scheme val="major"/>
    </font>
    <font>
      <b/>
      <sz val="11"/>
      <color theme="0"/>
      <name val="Calibri"/>
      <family val="2"/>
    </font>
    <font>
      <b/>
      <sz val="8"/>
      <color theme="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rgb="FF002060"/>
      <name val="Calibri"/>
      <family val="2"/>
    </font>
    <font>
      <sz val="8"/>
      <color theme="0"/>
      <name val="Calibri"/>
      <family val="2"/>
    </font>
    <font>
      <b/>
      <sz val="10"/>
      <color theme="0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1"/>
      <color rgb="FFC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1FDB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BAFDB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2" tint="-9.9978637043366805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medium">
        <color theme="2" tint="-0.49998474074526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3"/>
      </right>
      <top style="thin">
        <color indexed="64"/>
      </top>
      <bottom style="thin">
        <color theme="2" tint="-9.9978637043366805E-2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44" fontId="0" fillId="0" borderId="0" xfId="0" applyNumberFormat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>
      <alignment horizontal="left"/>
    </xf>
    <xf numFmtId="0" fontId="4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44" fontId="4" fillId="2" borderId="0" xfId="1" applyFont="1" applyFill="1" applyAlignment="1">
      <alignment horizontal="center"/>
    </xf>
    <xf numFmtId="0" fontId="5" fillId="0" borderId="0" xfId="0" applyFont="1"/>
    <xf numFmtId="0" fontId="8" fillId="0" borderId="0" xfId="0" applyFont="1" applyAlignment="1">
      <alignment horizontal="center"/>
    </xf>
    <xf numFmtId="0" fontId="0" fillId="0" borderId="2" xfId="0" applyBorder="1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left"/>
      <protection locked="0"/>
    </xf>
    <xf numFmtId="44" fontId="0" fillId="0" borderId="0" xfId="0" applyNumberFormat="1" applyAlignment="1">
      <alignment horizontal="right"/>
    </xf>
    <xf numFmtId="0" fontId="10" fillId="0" borderId="2" xfId="0" applyFont="1" applyBorder="1" applyAlignment="1">
      <alignment horizontal="center"/>
    </xf>
    <xf numFmtId="44" fontId="10" fillId="0" borderId="2" xfId="0" applyNumberFormat="1" applyFont="1" applyBorder="1" applyAlignment="1" applyProtection="1">
      <alignment horizontal="center"/>
      <protection hidden="1"/>
    </xf>
    <xf numFmtId="0" fontId="2" fillId="2" borderId="2" xfId="0" applyFont="1" applyFill="1" applyBorder="1" applyAlignment="1">
      <alignment horizontal="right" vertical="center"/>
    </xf>
    <xf numFmtId="44" fontId="9" fillId="0" borderId="0" xfId="0" applyNumberFormat="1" applyFont="1" applyAlignment="1" applyProtection="1">
      <alignment horizontal="center" vertical="center"/>
      <protection locked="0"/>
    </xf>
    <xf numFmtId="0" fontId="0" fillId="0" borderId="2" xfId="0" applyBorder="1"/>
    <xf numFmtId="44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>
      <alignment vertical="center" wrapText="1"/>
    </xf>
    <xf numFmtId="0" fontId="8" fillId="0" borderId="0" xfId="0" applyFont="1"/>
    <xf numFmtId="0" fontId="0" fillId="0" borderId="2" xfId="0" applyBorder="1" applyAlignment="1">
      <alignment horizontal="center"/>
    </xf>
    <xf numFmtId="15" fontId="0" fillId="0" borderId="2" xfId="0" applyNumberFormat="1" applyBorder="1" applyAlignment="1" applyProtection="1">
      <alignment horizontal="center"/>
      <protection hidden="1"/>
    </xf>
    <xf numFmtId="0" fontId="1" fillId="0" borderId="0" xfId="0" applyFont="1" applyAlignment="1">
      <alignment horizontal="center" vertical="center" wrapText="1"/>
    </xf>
    <xf numFmtId="44" fontId="11" fillId="0" borderId="2" xfId="0" applyNumberFormat="1" applyFont="1" applyBorder="1" applyProtection="1">
      <protection hidden="1"/>
    </xf>
    <xf numFmtId="44" fontId="12" fillId="0" borderId="2" xfId="0" applyNumberFormat="1" applyFont="1" applyBorder="1" applyProtection="1">
      <protection hidden="1"/>
    </xf>
    <xf numFmtId="0" fontId="11" fillId="0" borderId="2" xfId="0" applyFont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left"/>
      <protection locked="0"/>
    </xf>
    <xf numFmtId="0" fontId="0" fillId="0" borderId="2" xfId="0" applyBorder="1" applyAlignment="1" applyProtection="1">
      <alignment wrapText="1"/>
      <protection locked="0"/>
    </xf>
    <xf numFmtId="44" fontId="0" fillId="0" borderId="2" xfId="1" applyFont="1" applyBorder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44" fontId="2" fillId="2" borderId="2" xfId="0" applyNumberFormat="1" applyFont="1" applyFill="1" applyBorder="1" applyAlignment="1">
      <alignment horizontal="center" vertical="center" wrapText="1"/>
    </xf>
    <xf numFmtId="15" fontId="2" fillId="2" borderId="2" xfId="0" applyNumberFormat="1" applyFont="1" applyFill="1" applyBorder="1" applyAlignment="1">
      <alignment horizontal="center" vertical="center" wrapText="1"/>
    </xf>
    <xf numFmtId="0" fontId="8" fillId="0" borderId="11" xfId="0" applyFont="1" applyBorder="1"/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44" fontId="2" fillId="2" borderId="3" xfId="0" applyNumberFormat="1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right" vertical="center"/>
    </xf>
    <xf numFmtId="44" fontId="12" fillId="0" borderId="2" xfId="1" applyFont="1" applyBorder="1" applyProtection="1">
      <protection hidden="1"/>
    </xf>
    <xf numFmtId="0" fontId="0" fillId="0" borderId="14" xfId="0" applyBorder="1" applyAlignment="1" applyProtection="1">
      <alignment horizontal="center"/>
      <protection locked="0"/>
    </xf>
    <xf numFmtId="44" fontId="11" fillId="0" borderId="14" xfId="0" applyNumberFormat="1" applyFont="1" applyBorder="1" applyProtection="1">
      <protection hidden="1"/>
    </xf>
    <xf numFmtId="15" fontId="15" fillId="5" borderId="2" xfId="0" applyNumberFormat="1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>
      <alignment horizontal="right" vertical="center"/>
    </xf>
    <xf numFmtId="0" fontId="16" fillId="0" borderId="0" xfId="2" applyAlignment="1">
      <alignment vertical="center"/>
    </xf>
    <xf numFmtId="0" fontId="18" fillId="0" borderId="0" xfId="0" applyFont="1" applyAlignment="1" applyProtection="1">
      <alignment horizontal="left"/>
      <protection hidden="1"/>
    </xf>
    <xf numFmtId="0" fontId="19" fillId="2" borderId="2" xfId="0" applyFont="1" applyFill="1" applyBorder="1" applyAlignment="1" applyProtection="1">
      <alignment horizontal="center" vertical="center" wrapText="1"/>
      <protection locked="0"/>
    </xf>
    <xf numFmtId="0" fontId="19" fillId="2" borderId="2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44" fontId="19" fillId="2" borderId="2" xfId="0" applyNumberFormat="1" applyFont="1" applyFill="1" applyBorder="1" applyAlignment="1">
      <alignment horizontal="center" vertical="center" wrapText="1"/>
    </xf>
    <xf numFmtId="15" fontId="19" fillId="2" borderId="2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2" xfId="0" applyFont="1" applyBorder="1" applyAlignment="1" applyProtection="1">
      <alignment horizontal="center"/>
      <protection locked="0"/>
    </xf>
    <xf numFmtId="0" fontId="21" fillId="0" borderId="2" xfId="0" applyFont="1" applyBorder="1"/>
    <xf numFmtId="0" fontId="21" fillId="0" borderId="2" xfId="0" applyFont="1" applyBorder="1" applyAlignment="1">
      <alignment horizontal="center"/>
    </xf>
    <xf numFmtId="44" fontId="21" fillId="0" borderId="2" xfId="0" applyNumberFormat="1" applyFont="1" applyBorder="1"/>
    <xf numFmtId="15" fontId="21" fillId="0" borderId="2" xfId="0" applyNumberFormat="1" applyFont="1" applyBorder="1" applyAlignment="1">
      <alignment horizontal="center"/>
    </xf>
    <xf numFmtId="0" fontId="21" fillId="0" borderId="0" xfId="0" applyFont="1"/>
    <xf numFmtId="0" fontId="19" fillId="2" borderId="5" xfId="0" applyFont="1" applyFill="1" applyBorder="1" applyAlignment="1">
      <alignment horizontal="center"/>
    </xf>
    <xf numFmtId="0" fontId="21" fillId="0" borderId="0" xfId="0" applyFont="1" applyAlignment="1" applyProtection="1">
      <alignment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44" fontId="21" fillId="0" borderId="0" xfId="1" applyFont="1" applyAlignment="1" applyProtection="1">
      <alignment vertical="center"/>
      <protection hidden="1"/>
    </xf>
    <xf numFmtId="0" fontId="19" fillId="2" borderId="10" xfId="0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15" fontId="26" fillId="0" borderId="10" xfId="0" applyNumberFormat="1" applyFont="1" applyBorder="1" applyAlignment="1" applyProtection="1">
      <alignment horizontal="center" vertical="center"/>
      <protection locked="0"/>
    </xf>
    <xf numFmtId="44" fontId="21" fillId="0" borderId="0" xfId="1" applyFont="1" applyAlignment="1" applyProtection="1">
      <alignment horizontal="center" vertical="center"/>
      <protection hidden="1"/>
    </xf>
    <xf numFmtId="0" fontId="27" fillId="2" borderId="1" xfId="0" applyFont="1" applyFill="1" applyBorder="1" applyAlignment="1" applyProtection="1">
      <alignment horizontal="center" vertical="center" wrapText="1"/>
      <protection hidden="1"/>
    </xf>
    <xf numFmtId="0" fontId="28" fillId="2" borderId="0" xfId="0" applyFont="1" applyFill="1" applyAlignment="1" applyProtection="1">
      <alignment horizontal="center" vertical="center" wrapText="1"/>
      <protection hidden="1"/>
    </xf>
    <xf numFmtId="44" fontId="28" fillId="2" borderId="0" xfId="1" applyFont="1" applyFill="1" applyAlignment="1" applyProtection="1">
      <alignment horizontal="center" vertical="center" wrapText="1"/>
      <protection hidden="1"/>
    </xf>
    <xf numFmtId="15" fontId="29" fillId="0" borderId="1" xfId="0" applyNumberFormat="1" applyFont="1" applyBorder="1" applyAlignment="1" applyProtection="1">
      <alignment horizontal="center" vertical="center"/>
      <protection hidden="1"/>
    </xf>
    <xf numFmtId="15" fontId="21" fillId="0" borderId="1" xfId="0" applyNumberFormat="1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44" fontId="21" fillId="0" borderId="1" xfId="1" applyFont="1" applyBorder="1" applyAlignment="1" applyProtection="1">
      <alignment horizontal="center" vertical="center"/>
      <protection hidden="1"/>
    </xf>
    <xf numFmtId="15" fontId="21" fillId="0" borderId="0" xfId="0" applyNumberFormat="1" applyFont="1" applyAlignment="1" applyProtection="1">
      <alignment horizontal="center"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0" fontId="28" fillId="2" borderId="10" xfId="0" applyFont="1" applyFill="1" applyBorder="1" applyAlignment="1" applyProtection="1">
      <alignment horizontal="center" vertical="center" wrapText="1"/>
      <protection hidden="1"/>
    </xf>
    <xf numFmtId="0" fontId="21" fillId="4" borderId="10" xfId="0" applyFont="1" applyFill="1" applyBorder="1" applyAlignment="1" applyProtection="1">
      <alignment horizontal="center" vertical="center" wrapText="1"/>
      <protection hidden="1"/>
    </xf>
    <xf numFmtId="44" fontId="19" fillId="2" borderId="10" xfId="1" applyFont="1" applyFill="1" applyBorder="1" applyAlignment="1" applyProtection="1">
      <alignment horizontal="center" vertical="center" wrapText="1"/>
      <protection hidden="1"/>
    </xf>
    <xf numFmtId="0" fontId="21" fillId="0" borderId="2" xfId="0" applyFont="1" applyBorder="1" applyProtection="1">
      <protection locked="0"/>
    </xf>
    <xf numFmtId="164" fontId="26" fillId="0" borderId="3" xfId="0" applyNumberFormat="1" applyFont="1" applyBorder="1" applyAlignment="1" applyProtection="1">
      <alignment horizontal="center" vertical="center"/>
      <protection hidden="1"/>
    </xf>
    <xf numFmtId="164" fontId="21" fillId="0" borderId="3" xfId="0" applyNumberFormat="1" applyFont="1" applyBorder="1" applyAlignment="1" applyProtection="1">
      <alignment horizontal="center" vertical="center"/>
      <protection hidden="1"/>
    </xf>
    <xf numFmtId="165" fontId="21" fillId="0" borderId="3" xfId="1" applyNumberFormat="1" applyFont="1" applyBorder="1" applyAlignment="1" applyProtection="1">
      <alignment horizontal="center" vertical="center"/>
      <protection hidden="1"/>
    </xf>
    <xf numFmtId="164" fontId="26" fillId="0" borderId="2" xfId="0" applyNumberFormat="1" applyFont="1" applyBorder="1" applyAlignment="1" applyProtection="1">
      <alignment horizontal="center" vertical="center"/>
      <protection hidden="1"/>
    </xf>
    <xf numFmtId="164" fontId="21" fillId="0" borderId="2" xfId="0" applyNumberFormat="1" applyFont="1" applyBorder="1" applyAlignment="1" applyProtection="1">
      <alignment horizontal="center" vertical="center"/>
      <protection hidden="1"/>
    </xf>
    <xf numFmtId="165" fontId="21" fillId="0" borderId="2" xfId="1" applyNumberFormat="1" applyFont="1" applyBorder="1" applyAlignment="1" applyProtection="1">
      <alignment vertical="center"/>
      <protection hidden="1"/>
    </xf>
    <xf numFmtId="0" fontId="21" fillId="0" borderId="2" xfId="0" applyFont="1" applyBorder="1" applyAlignment="1" applyProtection="1">
      <alignment vertical="center"/>
      <protection hidden="1"/>
    </xf>
    <xf numFmtId="0" fontId="21" fillId="0" borderId="2" xfId="0" applyFont="1" applyBorder="1" applyAlignment="1" applyProtection="1">
      <alignment horizontal="center" vertical="center"/>
      <protection hidden="1"/>
    </xf>
    <xf numFmtId="0" fontId="22" fillId="0" borderId="0" xfId="0" applyFont="1" applyProtection="1">
      <protection locked="0"/>
    </xf>
    <xf numFmtId="0" fontId="21" fillId="0" borderId="0" xfId="0" applyFont="1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30" fillId="0" borderId="0" xfId="0" applyFont="1" applyProtection="1"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15" fontId="26" fillId="0" borderId="10" xfId="0" applyNumberFormat="1" applyFont="1" applyBorder="1" applyAlignment="1" applyProtection="1">
      <alignment horizontal="center" vertical="center"/>
      <protection hidden="1"/>
    </xf>
    <xf numFmtId="0" fontId="21" fillId="0" borderId="7" xfId="0" applyFont="1" applyBorder="1" applyProtection="1">
      <protection locked="0"/>
    </xf>
    <xf numFmtId="0" fontId="21" fillId="0" borderId="0" xfId="0" applyFont="1" applyAlignment="1" applyProtection="1">
      <alignment vertical="center" wrapText="1"/>
      <protection locked="0"/>
    </xf>
    <xf numFmtId="0" fontId="13" fillId="0" borderId="0" xfId="0" applyFont="1" applyAlignment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  <protection locked="0"/>
    </xf>
    <xf numFmtId="0" fontId="24" fillId="3" borderId="6" xfId="0" applyFont="1" applyFill="1" applyBorder="1" applyAlignment="1" applyProtection="1">
      <alignment horizontal="center" vertical="center"/>
      <protection hidden="1"/>
    </xf>
    <xf numFmtId="0" fontId="24" fillId="3" borderId="8" xfId="0" applyFont="1" applyFill="1" applyBorder="1" applyAlignment="1" applyProtection="1">
      <alignment horizontal="center" vertical="center"/>
      <protection hidden="1"/>
    </xf>
    <xf numFmtId="0" fontId="24" fillId="3" borderId="9" xfId="0" applyFont="1" applyFill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top"/>
      <protection locked="0"/>
    </xf>
    <xf numFmtId="0" fontId="25" fillId="0" borderId="0" xfId="0" applyFont="1" applyAlignment="1" applyProtection="1">
      <alignment horizontal="center" vertical="center"/>
      <protection hidden="1"/>
    </xf>
    <xf numFmtId="0" fontId="24" fillId="7" borderId="8" xfId="0" applyFont="1" applyFill="1" applyBorder="1" applyAlignment="1" applyProtection="1">
      <alignment horizontal="center" vertical="center"/>
      <protection hidden="1"/>
    </xf>
    <xf numFmtId="0" fontId="24" fillId="7" borderId="9" xfId="0" applyFont="1" applyFill="1" applyBorder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center"/>
      <protection locked="0"/>
    </xf>
  </cellXfs>
  <cellStyles count="3">
    <cellStyle name="Hipervínculo" xfId="2" builtinId="8"/>
    <cellStyle name="Moneda" xfId="1" builtinId="4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FDB3"/>
      <color rgb="FFBAFDB5"/>
      <color rgb="FF66FFFF"/>
      <color rgb="FF007E39"/>
      <color rgb="FF009242"/>
      <color rgb="FFB4FED0"/>
      <color rgb="FF98FE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4.png"/><Relationship Id="rId7" Type="http://schemas.openxmlformats.org/officeDocument/2006/relationships/image" Target="../media/image17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7.png"/><Relationship Id="rId11" Type="http://schemas.openxmlformats.org/officeDocument/2006/relationships/image" Target="../media/image19.png"/><Relationship Id="rId5" Type="http://schemas.openxmlformats.org/officeDocument/2006/relationships/image" Target="../media/image16.png"/><Relationship Id="rId10" Type="http://schemas.openxmlformats.org/officeDocument/2006/relationships/hyperlink" Target="https://.ofimaticaempresarial.com" TargetMode="External"/><Relationship Id="rId4" Type="http://schemas.openxmlformats.org/officeDocument/2006/relationships/image" Target="../media/image15.png"/><Relationship Id="rId9" Type="http://schemas.microsoft.com/office/2007/relationships/hdphoto" Target="../media/hdphoto2.wdp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504826</xdr:colOff>
      <xdr:row>1</xdr:row>
      <xdr:rowOff>153733</xdr:rowOff>
    </xdr:from>
    <xdr:to>
      <xdr:col>3</xdr:col>
      <xdr:colOff>257175</xdr:colOff>
      <xdr:row>8</xdr:row>
      <xdr:rowOff>101200</xdr:rowOff>
    </xdr:to>
    <xdr:pic macro="[0]!Producto_Select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826" y="344233"/>
          <a:ext cx="1428749" cy="1414317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13</xdr:row>
      <xdr:rowOff>28575</xdr:rowOff>
    </xdr:from>
    <xdr:to>
      <xdr:col>8</xdr:col>
      <xdr:colOff>263659</xdr:colOff>
      <xdr:row>18</xdr:row>
      <xdr:rowOff>190500</xdr:rowOff>
    </xdr:to>
    <xdr:pic macro="[0]!Movimientos_Select"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0" y="2505075"/>
          <a:ext cx="1463809" cy="1209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14</xdr:row>
      <xdr:rowOff>28575</xdr:rowOff>
    </xdr:from>
    <xdr:to>
      <xdr:col>13</xdr:col>
      <xdr:colOff>42974</xdr:colOff>
      <xdr:row>19</xdr:row>
      <xdr:rowOff>66675</xdr:rowOff>
    </xdr:to>
    <xdr:pic macro="[0]!BaseDatos_Select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95575"/>
          <a:ext cx="1338374" cy="10858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485776</xdr:colOff>
      <xdr:row>12</xdr:row>
      <xdr:rowOff>93522</xdr:rowOff>
    </xdr:from>
    <xdr:to>
      <xdr:col>3</xdr:col>
      <xdr:colOff>209550</xdr:colOff>
      <xdr:row>19</xdr:row>
      <xdr:rowOff>57961</xdr:rowOff>
    </xdr:to>
    <xdr:pic macro="[0]!Kardex_Select"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6" y="2379522"/>
          <a:ext cx="1400174" cy="1431289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2</xdr:row>
      <xdr:rowOff>94408</xdr:rowOff>
    </xdr:from>
    <xdr:to>
      <xdr:col>12</xdr:col>
      <xdr:colOff>792075</xdr:colOff>
      <xdr:row>9</xdr:row>
      <xdr:rowOff>47625</xdr:rowOff>
    </xdr:to>
    <xdr:pic macro="[0]!Registrar_Select">
      <xdr:nvPicPr>
        <xdr:cNvPr id="20" name="Imagen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475408"/>
          <a:ext cx="1630274" cy="1420067"/>
        </a:xfrm>
        <a:prstGeom prst="rect">
          <a:avLst/>
        </a:prstGeom>
      </xdr:spPr>
    </xdr:pic>
    <xdr:clientData/>
  </xdr:twoCellAnchor>
  <xdr:twoCellAnchor>
    <xdr:from>
      <xdr:col>6</xdr:col>
      <xdr:colOff>295275</xdr:colOff>
      <xdr:row>2</xdr:row>
      <xdr:rowOff>47626</xdr:rowOff>
    </xdr:from>
    <xdr:to>
      <xdr:col>8</xdr:col>
      <xdr:colOff>276225</xdr:colOff>
      <xdr:row>9</xdr:row>
      <xdr:rowOff>3980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415915" y="398146"/>
          <a:ext cx="1687830" cy="1183174"/>
          <a:chOff x="4105275" y="457201"/>
          <a:chExt cx="1504950" cy="1289854"/>
        </a:xfrm>
      </xdr:grpSpPr>
      <xdr:pic macro="[0]!Clintes_Select"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8638"/>
          <a:stretch/>
        </xdr:blipFill>
        <xdr:spPr>
          <a:xfrm>
            <a:off x="4105275" y="457201"/>
            <a:ext cx="1457325" cy="1076324"/>
          </a:xfrm>
          <a:prstGeom prst="rect">
            <a:avLst/>
          </a:prstGeom>
        </xdr:spPr>
      </xdr:pic>
      <xdr:sp macro="[0]!Clintes_Select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4152900" y="1466850"/>
            <a:ext cx="145732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SV" sz="1200" b="1"/>
              <a:t>Clientes/Proveedres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504825</xdr:colOff>
      <xdr:row>0</xdr:row>
      <xdr:rowOff>114300</xdr:rowOff>
    </xdr:from>
    <xdr:to>
      <xdr:col>6</xdr:col>
      <xdr:colOff>304889</xdr:colOff>
      <xdr:row>3</xdr:row>
      <xdr:rowOff>9614</xdr:rowOff>
    </xdr:to>
    <xdr:pic macro="[0]!Home_Select"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114300"/>
          <a:ext cx="638264" cy="638264"/>
        </a:xfrm>
        <a:prstGeom prst="rect">
          <a:avLst/>
        </a:prstGeom>
      </xdr:spPr>
    </xdr:pic>
    <xdr:clientData/>
  </xdr:twoCellAnchor>
  <xdr:twoCellAnchor editAs="absolute">
    <xdr:from>
      <xdr:col>4</xdr:col>
      <xdr:colOff>676275</xdr:colOff>
      <xdr:row>0</xdr:row>
      <xdr:rowOff>219075</xdr:rowOff>
    </xdr:from>
    <xdr:to>
      <xdr:col>5</xdr:col>
      <xdr:colOff>276286</xdr:colOff>
      <xdr:row>2</xdr:row>
      <xdr:rowOff>133412</xdr:rowOff>
    </xdr:to>
    <xdr:pic macro="[0]!Actualizar_Productos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9325" y="219075"/>
          <a:ext cx="438211" cy="4477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561975</xdr:colOff>
      <xdr:row>0</xdr:row>
      <xdr:rowOff>19050</xdr:rowOff>
    </xdr:from>
    <xdr:to>
      <xdr:col>3</xdr:col>
      <xdr:colOff>362039</xdr:colOff>
      <xdr:row>3</xdr:row>
      <xdr:rowOff>5804</xdr:rowOff>
    </xdr:to>
    <xdr:pic macro="[0]!Home_Select"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19050"/>
          <a:ext cx="638264" cy="6382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19051</xdr:colOff>
      <xdr:row>0</xdr:row>
      <xdr:rowOff>0</xdr:rowOff>
    </xdr:from>
    <xdr:to>
      <xdr:col>1</xdr:col>
      <xdr:colOff>361951</xdr:colOff>
      <xdr:row>0</xdr:row>
      <xdr:rowOff>352425</xdr:rowOff>
    </xdr:to>
    <xdr:pic macro="[0]!Home_Select"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0000" y1="54472" x2="50000" y2="54472"/>
                      <a14:foregroundMark x1="50000" y1="33333" x2="50000" y2="33333"/>
                      <a14:foregroundMark x1="34426" y1="53659" x2="34426" y2="53659"/>
                      <a14:foregroundMark x1="74590" y1="53659" x2="74590" y2="53659"/>
                      <a14:foregroundMark x1="59836" y1="71545" x2="59836" y2="71545"/>
                      <a14:foregroundMark x1="42623" y1="71545" x2="42623" y2="71545"/>
                      <a14:foregroundMark x1="39344" y1="71545" x2="36885" y2="520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1" y="0"/>
          <a:ext cx="342900" cy="352425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2240280</xdr:colOff>
          <xdr:row>6</xdr:row>
          <xdr:rowOff>15240</xdr:rowOff>
        </xdr:to>
        <xdr:sp macro="" textlink="">
          <xdr:nvSpPr>
            <xdr:cNvPr id="6145" name="ComboClient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1362075</xdr:colOff>
      <xdr:row>0</xdr:row>
      <xdr:rowOff>100446</xdr:rowOff>
    </xdr:from>
    <xdr:ext cx="6267450" cy="323850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297257" y="100446"/>
          <a:ext cx="62674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SV" sz="1600">
              <a:latin typeface="Arial Black" panose="020B0A04020102020204" pitchFamily="34" charset="0"/>
            </a:rPr>
            <a:t>FORMULARIO DE REGISTRO</a:t>
          </a:r>
          <a:r>
            <a:rPr lang="es-SV" sz="1600" baseline="0">
              <a:latin typeface="Arial Black" panose="020B0A04020102020204" pitchFamily="34" charset="0"/>
            </a:rPr>
            <a:t> DE ENTRADAS Y SALIDAS</a:t>
          </a:r>
          <a:endParaRPr lang="es-SV" sz="1600"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7620</xdr:rowOff>
        </xdr:from>
        <xdr:to>
          <xdr:col>2</xdr:col>
          <xdr:colOff>784860</xdr:colOff>
          <xdr:row>4</xdr:row>
          <xdr:rowOff>0</xdr:rowOff>
        </xdr:to>
        <xdr:sp macro="" textlink="">
          <xdr:nvSpPr>
            <xdr:cNvPr id="6150" name="TextConsulta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389656</xdr:colOff>
      <xdr:row>1</xdr:row>
      <xdr:rowOff>108798</xdr:rowOff>
    </xdr:from>
    <xdr:to>
      <xdr:col>13</xdr:col>
      <xdr:colOff>930894</xdr:colOff>
      <xdr:row>4</xdr:row>
      <xdr:rowOff>164522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695947" y="628343"/>
          <a:ext cx="541238" cy="526779"/>
          <a:chOff x="5766953" y="775548"/>
          <a:chExt cx="541238" cy="526698"/>
        </a:xfrm>
      </xdr:grpSpPr>
      <xdr:pic macro="[0]!NuevoRegistro">
        <xdr:nvPicPr>
          <xdr:cNvPr id="4" name="Imagen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6228" y="775548"/>
            <a:ext cx="350134" cy="350134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[0]!NuevoRegistro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5766953" y="1056409"/>
            <a:ext cx="541238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Nuevo</a:t>
            </a:r>
          </a:p>
        </xdr:txBody>
      </xdr:sp>
    </xdr:grpSp>
    <xdr:clientData/>
  </xdr:twoCellAnchor>
  <xdr:twoCellAnchor>
    <xdr:from>
      <xdr:col>13</xdr:col>
      <xdr:colOff>935181</xdr:colOff>
      <xdr:row>1</xdr:row>
      <xdr:rowOff>98085</xdr:rowOff>
    </xdr:from>
    <xdr:to>
      <xdr:col>13</xdr:col>
      <xdr:colOff>1645227</xdr:colOff>
      <xdr:row>4</xdr:row>
      <xdr:rowOff>173182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6241472" y="617630"/>
          <a:ext cx="710046" cy="546152"/>
          <a:chOff x="6191038" y="747517"/>
          <a:chExt cx="623455" cy="542688"/>
        </a:xfrm>
      </xdr:grpSpPr>
      <xdr:pic macro="[0]!Consultar"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5562" y="747517"/>
            <a:ext cx="372341" cy="392199"/>
          </a:xfrm>
          <a:prstGeom prst="rect">
            <a:avLst/>
          </a:prstGeom>
        </xdr:spPr>
      </xdr:pic>
      <xdr:sp macro="[0]!Consultar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 txBox="1"/>
        </xdr:nvSpPr>
        <xdr:spPr>
          <a:xfrm>
            <a:off x="6191038" y="1039091"/>
            <a:ext cx="623455" cy="2511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Consultar</a:t>
            </a:r>
          </a:p>
        </xdr:txBody>
      </xdr:sp>
    </xdr:grpSp>
    <xdr:clientData/>
  </xdr:twoCellAnchor>
  <xdr:twoCellAnchor>
    <xdr:from>
      <xdr:col>13</xdr:col>
      <xdr:colOff>1653887</xdr:colOff>
      <xdr:row>1</xdr:row>
      <xdr:rowOff>112567</xdr:rowOff>
    </xdr:from>
    <xdr:to>
      <xdr:col>13</xdr:col>
      <xdr:colOff>2182093</xdr:colOff>
      <xdr:row>4</xdr:row>
      <xdr:rowOff>155864</xdr:rowOff>
    </xdr:to>
    <xdr:grpSp>
      <xdr:nvGrpSpPr>
        <xdr:cNvPr id="11" name="GuardarNew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6960178" y="632112"/>
          <a:ext cx="528206" cy="514352"/>
          <a:chOff x="6883978" y="770658"/>
          <a:chExt cx="623455" cy="519547"/>
        </a:xfrm>
      </xdr:grpSpPr>
      <xdr:pic macro="[0]!IngresarEntrada">
        <xdr:nvPicPr>
          <xdr:cNvPr id="6" name="Grupo10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436" r="2174"/>
          <a:stretch/>
        </xdr:blipFill>
        <xdr:spPr>
          <a:xfrm>
            <a:off x="6996546" y="770658"/>
            <a:ext cx="389660" cy="368057"/>
          </a:xfrm>
          <a:prstGeom prst="rect">
            <a:avLst/>
          </a:prstGeom>
        </xdr:spPr>
      </xdr:pic>
      <xdr:sp macro="[0]!IngresarEntrada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6883978" y="1039091"/>
            <a:ext cx="623455" cy="2511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</xdr:txBody>
      </xdr:sp>
    </xdr:grpSp>
    <xdr:clientData/>
  </xdr:twoCellAnchor>
  <xdr:twoCellAnchor>
    <xdr:from>
      <xdr:col>14</xdr:col>
      <xdr:colOff>259771</xdr:colOff>
      <xdr:row>1</xdr:row>
      <xdr:rowOff>199159</xdr:rowOff>
    </xdr:from>
    <xdr:to>
      <xdr:col>15</xdr:col>
      <xdr:colOff>285751</xdr:colOff>
      <xdr:row>6</xdr:row>
      <xdr:rowOff>115673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8281553" y="718704"/>
          <a:ext cx="483180" cy="630024"/>
          <a:chOff x="8148203" y="773070"/>
          <a:chExt cx="390190" cy="537557"/>
        </a:xfrm>
      </xdr:grpSpPr>
      <xdr:pic macro="[0]!EliminarTodo"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4849" y="773070"/>
            <a:ext cx="189689" cy="205408"/>
          </a:xfrm>
          <a:prstGeom prst="rect">
            <a:avLst/>
          </a:prstGeom>
        </xdr:spPr>
      </xdr:pic>
      <xdr:sp macro="[0]!EliminarTodo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8148203" y="935181"/>
            <a:ext cx="390190" cy="3754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SV" sz="800" b="1">
                <a:latin typeface="Segoe UI" panose="020B0502040204020203" pitchFamily="34" charset="0"/>
                <a:cs typeface="Segoe UI" panose="020B0502040204020203" pitchFamily="34" charset="0"/>
              </a:rPr>
              <a:t>Eliminar</a:t>
            </a:r>
            <a:r>
              <a:rPr lang="es-SV" sz="8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</a:p>
          <a:p>
            <a:pPr algn="ctr"/>
            <a:r>
              <a:rPr lang="es-SV" sz="800" b="1" baseline="0">
                <a:latin typeface="Segoe UI" panose="020B0502040204020203" pitchFamily="34" charset="0"/>
                <a:cs typeface="Segoe UI" panose="020B0502040204020203" pitchFamily="34" charset="0"/>
              </a:rPr>
              <a:t>Todo</a:t>
            </a:r>
            <a:endParaRPr lang="es-SV" sz="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15</xdr:col>
      <xdr:colOff>441613</xdr:colOff>
      <xdr:row>1</xdr:row>
      <xdr:rowOff>87461</xdr:rowOff>
    </xdr:from>
    <xdr:to>
      <xdr:col>16</xdr:col>
      <xdr:colOff>25976</xdr:colOff>
      <xdr:row>4</xdr:row>
      <xdr:rowOff>164522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8920595" y="607006"/>
          <a:ext cx="436417" cy="548116"/>
          <a:chOff x="8780318" y="728234"/>
          <a:chExt cx="424295" cy="544652"/>
        </a:xfrm>
      </xdr:grpSpPr>
      <xdr:pic macro="[0]!Salir"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80318" y="728234"/>
            <a:ext cx="372342" cy="354152"/>
          </a:xfrm>
          <a:prstGeom prst="rect">
            <a:avLst/>
          </a:prstGeom>
        </xdr:spPr>
      </xdr:pic>
      <xdr:sp macro="[0]!Salir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 txBox="1"/>
        </xdr:nvSpPr>
        <xdr:spPr>
          <a:xfrm>
            <a:off x="8780318" y="1021772"/>
            <a:ext cx="424295" cy="2511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Atrás</a:t>
            </a:r>
          </a:p>
        </xdr:txBody>
      </xdr:sp>
    </xdr:grpSp>
    <xdr:clientData/>
  </xdr:twoCellAnchor>
  <xdr:twoCellAnchor>
    <xdr:from>
      <xdr:col>16</xdr:col>
      <xdr:colOff>251113</xdr:colOff>
      <xdr:row>1</xdr:row>
      <xdr:rowOff>43295</xdr:rowOff>
    </xdr:from>
    <xdr:to>
      <xdr:col>16</xdr:col>
      <xdr:colOff>727362</xdr:colOff>
      <xdr:row>4</xdr:row>
      <xdr:rowOff>181842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pSpPr/>
      </xdr:nvGrpSpPr>
      <xdr:grpSpPr>
        <a:xfrm>
          <a:off x="9582149" y="562840"/>
          <a:ext cx="476249" cy="609602"/>
          <a:chOff x="9429750" y="684068"/>
          <a:chExt cx="476249" cy="606138"/>
        </a:xfrm>
      </xdr:grpSpPr>
      <xdr:pic macro="[0]!Home_Select"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47067" y="684068"/>
            <a:ext cx="441615" cy="502228"/>
          </a:xfrm>
          <a:prstGeom prst="rect">
            <a:avLst/>
          </a:prstGeom>
        </xdr:spPr>
      </xdr:pic>
      <xdr:sp macro="[0]!Home_Select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 txBox="1"/>
        </xdr:nvSpPr>
        <xdr:spPr>
          <a:xfrm>
            <a:off x="9429750" y="1039092"/>
            <a:ext cx="476249" cy="2511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SV" sz="900" b="1">
                <a:latin typeface="Segoe UI" panose="020B0502040204020203" pitchFamily="34" charset="0"/>
                <a:cs typeface="Segoe UI" panose="020B0502040204020203" pitchFamily="34" charset="0"/>
              </a:rPr>
              <a:t>Home</a:t>
            </a:r>
          </a:p>
        </xdr:txBody>
      </xdr:sp>
    </xdr:grpSp>
    <xdr:clientData/>
  </xdr:twoCellAnchor>
  <xdr:twoCellAnchor>
    <xdr:from>
      <xdr:col>13</xdr:col>
      <xdr:colOff>2303318</xdr:colOff>
      <xdr:row>1</xdr:row>
      <xdr:rowOff>103909</xdr:rowOff>
    </xdr:from>
    <xdr:to>
      <xdr:col>14</xdr:col>
      <xdr:colOff>121228</xdr:colOff>
      <xdr:row>6</xdr:row>
      <xdr:rowOff>34637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7609609" y="623454"/>
          <a:ext cx="533401" cy="644238"/>
          <a:chOff x="7576704" y="764446"/>
          <a:chExt cx="424297" cy="563641"/>
        </a:xfrm>
      </xdr:grpSpPr>
      <xdr:pic macro="[0]!EliminarFilas"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76704" y="764446"/>
            <a:ext cx="322835" cy="296652"/>
          </a:xfrm>
          <a:prstGeom prst="rect">
            <a:avLst/>
          </a:prstGeom>
        </xdr:spPr>
      </xdr:pic>
      <xdr:sp macro="[0]!EliminarFilas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 txBox="1"/>
        </xdr:nvSpPr>
        <xdr:spPr>
          <a:xfrm>
            <a:off x="7585363" y="1001769"/>
            <a:ext cx="415638" cy="3263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SV" sz="800" b="1">
                <a:latin typeface="Segoe UI" panose="020B0502040204020203" pitchFamily="34" charset="0"/>
                <a:cs typeface="Segoe UI" panose="020B0502040204020203" pitchFamily="34" charset="0"/>
              </a:rPr>
              <a:t>Eliminar</a:t>
            </a:r>
            <a:r>
              <a:rPr lang="es-SV" sz="8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</a:p>
          <a:p>
            <a:pPr algn="ctr"/>
            <a:r>
              <a:rPr lang="es-SV" sz="800" b="1" baseline="0">
                <a:latin typeface="Segoe UI" panose="020B0502040204020203" pitchFamily="34" charset="0"/>
                <a:cs typeface="Segoe UI" panose="020B0502040204020203" pitchFamily="34" charset="0"/>
              </a:rPr>
              <a:t>Fila</a:t>
            </a:r>
            <a:endParaRPr lang="es-SV" sz="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13</xdr:col>
      <xdr:colOff>1723158</xdr:colOff>
      <xdr:row>1</xdr:row>
      <xdr:rowOff>77933</xdr:rowOff>
    </xdr:from>
    <xdr:to>
      <xdr:col>13</xdr:col>
      <xdr:colOff>2156643</xdr:colOff>
      <xdr:row>5</xdr:row>
      <xdr:rowOff>0</xdr:rowOff>
    </xdr:to>
    <xdr:grpSp>
      <xdr:nvGrpSpPr>
        <xdr:cNvPr id="25" name="GuardarConsulta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7029449" y="597478"/>
          <a:ext cx="433485" cy="635577"/>
          <a:chOff x="6979183" y="805296"/>
          <a:chExt cx="416212" cy="640772"/>
        </a:xfrm>
      </xdr:grpSpPr>
      <xdr:pic macro="[0]!Guardar_Consulta">
        <xdr:nvPicPr>
          <xdr:cNvPr id="19" name="grupo24" hidden="1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sharpenSoften amount="50000"/>
                    </a14:imgEffect>
                  </a14:imgLayer>
                </a14:imgProps>
              </a:ext>
            </a:extLst>
          </a:blip>
          <a:srcRect l="14203" t="29893" r="16622" b="-4770"/>
          <a:stretch/>
        </xdr:blipFill>
        <xdr:spPr>
          <a:xfrm>
            <a:off x="6979183" y="805296"/>
            <a:ext cx="381045" cy="363681"/>
          </a:xfrm>
          <a:prstGeom prst="rect">
            <a:avLst/>
          </a:prstGeom>
        </xdr:spPr>
      </xdr:pic>
      <xdr:sp macro="[0]!Guardar_Consulta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>
            <a:off x="7005205" y="1073728"/>
            <a:ext cx="390190" cy="3723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s-SV" sz="800" b="1"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  <a:p>
            <a:pPr algn="ctr"/>
            <a:r>
              <a:rPr lang="es-SV" sz="800" b="1">
                <a:latin typeface="Segoe UI" panose="020B0502040204020203" pitchFamily="34" charset="0"/>
                <a:cs typeface="Segoe UI" panose="020B0502040204020203" pitchFamily="34" charset="0"/>
              </a:rPr>
              <a:t>Cambios</a:t>
            </a:r>
          </a:p>
        </xdr:txBody>
      </xdr:sp>
    </xdr:grpSp>
    <xdr:clientData/>
  </xdr:twoCellAnchor>
  <xdr:twoCellAnchor editAs="oneCell">
    <xdr:from>
      <xdr:col>1</xdr:col>
      <xdr:colOff>129886</xdr:colOff>
      <xdr:row>0</xdr:row>
      <xdr:rowOff>77932</xdr:rowOff>
    </xdr:from>
    <xdr:to>
      <xdr:col>2</xdr:col>
      <xdr:colOff>267301</xdr:colOff>
      <xdr:row>0</xdr:row>
      <xdr:rowOff>476250</xdr:rowOff>
    </xdr:to>
    <xdr:pic>
      <xdr:nvPicPr>
        <xdr:cNvPr id="29" name="Imagen 28">
          <a:hlinkClick xmlns:r="http://schemas.openxmlformats.org/officeDocument/2006/relationships" r:id="rId10" tooltip="Ofimática Empresarial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795" y="77932"/>
          <a:ext cx="1089915" cy="3983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467592</xdr:colOff>
      <xdr:row>1</xdr:row>
      <xdr:rowOff>155863</xdr:rowOff>
    </xdr:from>
    <xdr:to>
      <xdr:col>6</xdr:col>
      <xdr:colOff>465083</xdr:colOff>
      <xdr:row>5</xdr:row>
      <xdr:rowOff>26933</xdr:rowOff>
    </xdr:to>
    <xdr:pic macro="[0]!Home_Select"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1" y="398318"/>
          <a:ext cx="638264" cy="6382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805391</xdr:colOff>
      <xdr:row>0</xdr:row>
      <xdr:rowOff>218017</xdr:rowOff>
    </xdr:from>
    <xdr:to>
      <xdr:col>9</xdr:col>
      <xdr:colOff>1243602</xdr:colOff>
      <xdr:row>3</xdr:row>
      <xdr:rowOff>36681</xdr:rowOff>
    </xdr:to>
    <xdr:pic macro="[0]!Movimientos_Filtrar_por_fecha"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1716" y="218017"/>
          <a:ext cx="438211" cy="443504"/>
        </a:xfrm>
        <a:prstGeom prst="rect">
          <a:avLst/>
        </a:prstGeom>
      </xdr:spPr>
    </xdr:pic>
    <xdr:clientData/>
  </xdr:twoCellAnchor>
  <xdr:twoCellAnchor editAs="oneCell">
    <xdr:from>
      <xdr:col>9</xdr:col>
      <xdr:colOff>1430866</xdr:colOff>
      <xdr:row>0</xdr:row>
      <xdr:rowOff>95250</xdr:rowOff>
    </xdr:from>
    <xdr:to>
      <xdr:col>9</xdr:col>
      <xdr:colOff>2069130</xdr:colOff>
      <xdr:row>3</xdr:row>
      <xdr:rowOff>66129</xdr:rowOff>
    </xdr:to>
    <xdr:pic macro="[0]!Home_Select"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7191" y="95250"/>
          <a:ext cx="638264" cy="6319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182880</xdr:rowOff>
        </xdr:from>
        <xdr:to>
          <xdr:col>6</xdr:col>
          <xdr:colOff>2712720</xdr:colOff>
          <xdr:row>6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485776</xdr:colOff>
      <xdr:row>3</xdr:row>
      <xdr:rowOff>174626</xdr:rowOff>
    </xdr:from>
    <xdr:ext cx="1933574" cy="249492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210301" y="889001"/>
          <a:ext cx="1933574" cy="24949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SV" sz="1000" b="1"/>
            <a:t>Filtrar</a:t>
          </a:r>
          <a:r>
            <a:rPr lang="es-SV" sz="1000" b="1" baseline="0"/>
            <a:t> por Cliente/Proveedor</a:t>
          </a:r>
          <a:endParaRPr lang="es-SV" sz="1000" b="1"/>
        </a:p>
      </xdr:txBody>
    </xdr:sp>
    <xdr:clientData/>
  </xdr:one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image" Target="../media/image20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tabSelected="1" zoomScaleNormal="100" zoomScaleSheetLayoutView="110" workbookViewId="0">
      <selection activeCell="J4" sqref="J4"/>
    </sheetView>
  </sheetViews>
  <sheetFormatPr baseColWidth="10" defaultRowHeight="13.8" x14ac:dyDescent="0.25"/>
  <sheetData/>
  <pageMargins left="0.7" right="0.7" top="0.75" bottom="0.75" header="0.3" footer="0.3"/>
  <pageSetup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2060"/>
  </sheetPr>
  <dimension ref="A1:D22"/>
  <sheetViews>
    <sheetView showGridLines="0" workbookViewId="0">
      <selection activeCell="C5" sqref="C5"/>
    </sheetView>
  </sheetViews>
  <sheetFormatPr baseColWidth="10" defaultRowHeight="13.8" x14ac:dyDescent="0.25"/>
  <cols>
    <col min="1" max="1" width="13.3984375" style="4" customWidth="1"/>
    <col min="2" max="2" width="43.5" style="5" customWidth="1"/>
    <col min="3" max="3" width="13.3984375" style="4" customWidth="1"/>
    <col min="4" max="4" width="15.8984375" style="33" hidden="1" customWidth="1"/>
  </cols>
  <sheetData>
    <row r="1" spans="1:4" ht="25.5" customHeight="1" x14ac:dyDescent="0.25">
      <c r="A1" s="100" t="s">
        <v>28</v>
      </c>
      <c r="B1" s="100"/>
      <c r="C1" s="100"/>
      <c r="D1" s="100"/>
    </row>
    <row r="2" spans="1:4" x14ac:dyDescent="0.25">
      <c r="A2" s="7" t="s">
        <v>0</v>
      </c>
      <c r="B2" s="7" t="s">
        <v>1</v>
      </c>
      <c r="C2" s="7" t="s">
        <v>2</v>
      </c>
      <c r="D2" s="10" t="s">
        <v>11</v>
      </c>
    </row>
    <row r="3" spans="1:4" x14ac:dyDescent="0.25">
      <c r="A3" s="4" t="s">
        <v>53</v>
      </c>
      <c r="B3" s="5" t="s">
        <v>54</v>
      </c>
      <c r="C3" s="4" t="s">
        <v>55</v>
      </c>
    </row>
    <row r="4" spans="1:4" x14ac:dyDescent="0.25">
      <c r="A4" s="4" t="s">
        <v>56</v>
      </c>
      <c r="B4" s="5" t="s">
        <v>57</v>
      </c>
      <c r="C4" s="4" t="s">
        <v>55</v>
      </c>
    </row>
    <row r="5" spans="1:4" x14ac:dyDescent="0.25">
      <c r="A5" s="4" t="s">
        <v>58</v>
      </c>
      <c r="B5" s="5" t="s">
        <v>59</v>
      </c>
      <c r="C5" s="4" t="s">
        <v>55</v>
      </c>
    </row>
    <row r="6" spans="1:4" x14ac:dyDescent="0.25">
      <c r="A6" s="4" t="s">
        <v>60</v>
      </c>
      <c r="B6" s="5" t="s">
        <v>61</v>
      </c>
      <c r="C6" s="4" t="s">
        <v>55</v>
      </c>
    </row>
    <row r="7" spans="1:4" x14ac:dyDescent="0.25">
      <c r="A7" s="4" t="s">
        <v>62</v>
      </c>
      <c r="B7" s="5" t="s">
        <v>63</v>
      </c>
      <c r="C7" s="4" t="s">
        <v>55</v>
      </c>
    </row>
    <row r="8" spans="1:4" x14ac:dyDescent="0.25">
      <c r="A8" s="4" t="s">
        <v>64</v>
      </c>
      <c r="B8" s="5" t="s">
        <v>65</v>
      </c>
      <c r="C8" s="4" t="s">
        <v>55</v>
      </c>
    </row>
    <row r="9" spans="1:4" x14ac:dyDescent="0.25">
      <c r="A9" s="4" t="s">
        <v>66</v>
      </c>
      <c r="B9" s="5" t="s">
        <v>67</v>
      </c>
      <c r="C9" s="4" t="s">
        <v>55</v>
      </c>
    </row>
    <row r="10" spans="1:4" x14ac:dyDescent="0.25">
      <c r="A10" s="4" t="s">
        <v>68</v>
      </c>
      <c r="B10" s="5" t="s">
        <v>69</v>
      </c>
      <c r="C10" s="4" t="s">
        <v>55</v>
      </c>
    </row>
    <row r="11" spans="1:4" x14ac:dyDescent="0.25">
      <c r="A11" s="4" t="s">
        <v>70</v>
      </c>
      <c r="B11" s="5" t="s">
        <v>71</v>
      </c>
      <c r="C11" s="4" t="s">
        <v>55</v>
      </c>
    </row>
    <row r="12" spans="1:4" x14ac:dyDescent="0.25">
      <c r="A12" s="4" t="s">
        <v>72</v>
      </c>
      <c r="B12" s="5" t="s">
        <v>73</v>
      </c>
      <c r="C12" s="4" t="s">
        <v>55</v>
      </c>
    </row>
    <row r="13" spans="1:4" x14ac:dyDescent="0.25">
      <c r="A13" s="4" t="s">
        <v>74</v>
      </c>
      <c r="B13" s="5" t="s">
        <v>75</v>
      </c>
      <c r="C13" s="4" t="s">
        <v>55</v>
      </c>
    </row>
    <row r="14" spans="1:4" x14ac:dyDescent="0.25">
      <c r="A14" s="4" t="s">
        <v>76</v>
      </c>
      <c r="B14" s="5" t="s">
        <v>77</v>
      </c>
      <c r="C14" s="4" t="s">
        <v>55</v>
      </c>
    </row>
    <row r="15" spans="1:4" x14ac:dyDescent="0.25">
      <c r="A15" s="4" t="s">
        <v>78</v>
      </c>
      <c r="B15" s="5" t="s">
        <v>79</v>
      </c>
      <c r="C15" s="4" t="s">
        <v>55</v>
      </c>
    </row>
    <row r="16" spans="1:4" x14ac:dyDescent="0.25">
      <c r="A16" s="4" t="s">
        <v>80</v>
      </c>
      <c r="B16" s="5" t="s">
        <v>81</v>
      </c>
      <c r="C16" s="4" t="s">
        <v>55</v>
      </c>
    </row>
    <row r="17" spans="1:3" x14ac:dyDescent="0.25">
      <c r="A17" s="4" t="s">
        <v>82</v>
      </c>
      <c r="B17" s="5" t="s">
        <v>83</v>
      </c>
      <c r="C17" s="4" t="s">
        <v>55</v>
      </c>
    </row>
    <row r="18" spans="1:3" x14ac:dyDescent="0.25">
      <c r="A18" s="4" t="s">
        <v>84</v>
      </c>
      <c r="B18" s="5" t="s">
        <v>85</v>
      </c>
      <c r="C18" s="4" t="s">
        <v>55</v>
      </c>
    </row>
    <row r="19" spans="1:3" x14ac:dyDescent="0.25">
      <c r="A19" s="4" t="s">
        <v>86</v>
      </c>
      <c r="B19" s="5" t="s">
        <v>87</v>
      </c>
      <c r="C19" s="4" t="s">
        <v>55</v>
      </c>
    </row>
    <row r="20" spans="1:3" x14ac:dyDescent="0.25">
      <c r="A20" s="4" t="s">
        <v>88</v>
      </c>
      <c r="B20" s="5" t="s">
        <v>89</v>
      </c>
      <c r="C20" s="4" t="s">
        <v>55</v>
      </c>
    </row>
    <row r="21" spans="1:3" x14ac:dyDescent="0.25">
      <c r="A21" s="4" t="s">
        <v>90</v>
      </c>
      <c r="B21" s="5" t="s">
        <v>91</v>
      </c>
      <c r="C21" s="4" t="s">
        <v>55</v>
      </c>
    </row>
    <row r="22" spans="1:3" x14ac:dyDescent="0.25">
      <c r="A22" s="4" t="s">
        <v>92</v>
      </c>
      <c r="B22" s="5" t="s">
        <v>93</v>
      </c>
      <c r="C22" s="4" t="s">
        <v>55</v>
      </c>
    </row>
  </sheetData>
  <sheetProtection algorithmName="SHA-512" hashValue="/kPhGRY+2JLJDxovMGFlP5wKQInDI7m7SMbbQ0DgrAWUAJ71A1PdkiP8kO3thzyfRADecSb80uNf3H+/L8bwuQ==" saltValue="s+6H/b1q3somNyYoNDZx+w==" spinCount="100000" sheet="1" objects="1" scenarios="1"/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B3"/>
  <sheetViews>
    <sheetView workbookViewId="0">
      <selection activeCell="B2" sqref="B2"/>
    </sheetView>
  </sheetViews>
  <sheetFormatPr baseColWidth="10" defaultRowHeight="13.8" x14ac:dyDescent="0.25"/>
  <cols>
    <col min="1" max="1" width="10.3984375" style="1" customWidth="1"/>
    <col min="2" max="2" width="27.3984375" customWidth="1"/>
  </cols>
  <sheetData>
    <row r="1" spans="1:2" x14ac:dyDescent="0.25">
      <c r="A1" s="8" t="s">
        <v>0</v>
      </c>
      <c r="B1" s="9" t="s">
        <v>18</v>
      </c>
    </row>
    <row r="2" spans="1:2" x14ac:dyDescent="0.25">
      <c r="A2" s="1">
        <v>1</v>
      </c>
      <c r="B2" t="s">
        <v>19</v>
      </c>
    </row>
    <row r="3" spans="1:2" x14ac:dyDescent="0.25">
      <c r="A3" s="1">
        <v>2</v>
      </c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C00000"/>
  </sheetPr>
  <dimension ref="A1:A8"/>
  <sheetViews>
    <sheetView workbookViewId="0">
      <selection activeCell="B7" sqref="B7"/>
    </sheetView>
  </sheetViews>
  <sheetFormatPr baseColWidth="10" defaultRowHeight="14.4" x14ac:dyDescent="0.3"/>
  <cols>
    <col min="1" max="1" width="32.3984375" style="61" customWidth="1"/>
    <col min="2" max="16384" width="11.19921875" style="61"/>
  </cols>
  <sheetData>
    <row r="1" spans="1:1" x14ac:dyDescent="0.3">
      <c r="A1" s="62" t="s">
        <v>49</v>
      </c>
    </row>
    <row r="2" spans="1:1" x14ac:dyDescent="0.3">
      <c r="A2" s="61" t="s">
        <v>94</v>
      </c>
    </row>
    <row r="3" spans="1:1" x14ac:dyDescent="0.3">
      <c r="A3" s="61" t="s">
        <v>95</v>
      </c>
    </row>
    <row r="4" spans="1:1" x14ac:dyDescent="0.3">
      <c r="A4" s="61" t="s">
        <v>96</v>
      </c>
    </row>
    <row r="5" spans="1:1" x14ac:dyDescent="0.3">
      <c r="A5" s="61" t="s">
        <v>97</v>
      </c>
    </row>
    <row r="6" spans="1:1" x14ac:dyDescent="0.3">
      <c r="A6" s="61" t="s">
        <v>98</v>
      </c>
    </row>
    <row r="7" spans="1:1" x14ac:dyDescent="0.3">
      <c r="A7" s="61" t="s">
        <v>99</v>
      </c>
    </row>
    <row r="8" spans="1:1" x14ac:dyDescent="0.3">
      <c r="A8" s="61" t="s">
        <v>97</v>
      </c>
    </row>
  </sheetData>
  <sheetProtection formatCells="0" autoFilter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rgb="FFC00000"/>
  </sheetPr>
  <dimension ref="A1:M13"/>
  <sheetViews>
    <sheetView workbookViewId="0">
      <selection activeCell="B6" sqref="B6"/>
    </sheetView>
  </sheetViews>
  <sheetFormatPr baseColWidth="10" defaultRowHeight="14.4" x14ac:dyDescent="0.3"/>
  <cols>
    <col min="1" max="1" width="10.19921875" style="56" customWidth="1"/>
    <col min="2" max="2" width="31.69921875" style="57" customWidth="1"/>
    <col min="3" max="3" width="5.8984375" style="58" customWidth="1"/>
    <col min="4" max="4" width="8.5" style="56" customWidth="1"/>
    <col min="5" max="5" width="8.3984375" style="56" customWidth="1"/>
    <col min="6" max="6" width="13" style="59" hidden="1" customWidth="1"/>
    <col min="7" max="8" width="13.59765625" style="59" hidden="1" customWidth="1"/>
    <col min="9" max="9" width="12.8984375" style="60" customWidth="1"/>
    <col min="10" max="10" width="36.3984375" style="57" customWidth="1"/>
    <col min="11" max="11" width="11.19921875" style="58" customWidth="1"/>
    <col min="12" max="12" width="15.3984375" style="58" customWidth="1"/>
    <col min="13" max="13" width="37.5" style="57" customWidth="1"/>
    <col min="14" max="16384" width="11.19921875" style="61"/>
  </cols>
  <sheetData>
    <row r="1" spans="1:13" s="55" customFormat="1" ht="28.8" x14ac:dyDescent="0.25">
      <c r="A1" s="50" t="s">
        <v>5</v>
      </c>
      <c r="B1" s="51" t="s">
        <v>4</v>
      </c>
      <c r="C1" s="52" t="s">
        <v>40</v>
      </c>
      <c r="D1" s="50" t="s">
        <v>37</v>
      </c>
      <c r="E1" s="50" t="s">
        <v>38</v>
      </c>
      <c r="F1" s="53" t="s">
        <v>3</v>
      </c>
      <c r="G1" s="53" t="s">
        <v>39</v>
      </c>
      <c r="H1" s="53" t="s">
        <v>45</v>
      </c>
      <c r="I1" s="54" t="s">
        <v>10</v>
      </c>
      <c r="J1" s="51" t="s">
        <v>48</v>
      </c>
      <c r="K1" s="51" t="s">
        <v>8</v>
      </c>
      <c r="L1" s="53" t="s">
        <v>21</v>
      </c>
      <c r="M1" s="53" t="s">
        <v>22</v>
      </c>
    </row>
    <row r="2" spans="1:13" x14ac:dyDescent="0.3">
      <c r="A2" s="56" t="s">
        <v>100</v>
      </c>
      <c r="B2" s="57" t="s">
        <v>54</v>
      </c>
      <c r="C2" s="58" t="s">
        <v>55</v>
      </c>
      <c r="D2" s="56">
        <v>250</v>
      </c>
      <c r="F2" s="59">
        <v>0</v>
      </c>
      <c r="G2" s="59">
        <v>0</v>
      </c>
      <c r="H2" s="59" t="s">
        <v>46</v>
      </c>
      <c r="I2" s="60">
        <v>44442</v>
      </c>
      <c r="J2" s="57" t="s">
        <v>94</v>
      </c>
      <c r="K2" s="58">
        <v>2</v>
      </c>
      <c r="L2" s="58" t="s">
        <v>13</v>
      </c>
      <c r="M2" s="57" t="s">
        <v>101</v>
      </c>
    </row>
    <row r="3" spans="1:13" x14ac:dyDescent="0.3">
      <c r="A3" s="56" t="s">
        <v>56</v>
      </c>
      <c r="B3" s="57" t="s">
        <v>57</v>
      </c>
      <c r="C3" s="58" t="s">
        <v>55</v>
      </c>
      <c r="D3" s="56">
        <v>125</v>
      </c>
      <c r="F3" s="59">
        <v>0</v>
      </c>
      <c r="G3" s="59">
        <v>0</v>
      </c>
      <c r="H3" s="59" t="s">
        <v>46</v>
      </c>
      <c r="I3" s="60">
        <v>44442</v>
      </c>
      <c r="J3" s="57" t="s">
        <v>94</v>
      </c>
      <c r="K3" s="58">
        <v>2</v>
      </c>
      <c r="L3" s="58" t="s">
        <v>13</v>
      </c>
      <c r="M3" s="57" t="s">
        <v>101</v>
      </c>
    </row>
    <row r="4" spans="1:13" x14ac:dyDescent="0.3">
      <c r="A4" s="56" t="s">
        <v>74</v>
      </c>
      <c r="B4" s="57" t="s">
        <v>75</v>
      </c>
      <c r="C4" s="58" t="s">
        <v>55</v>
      </c>
      <c r="D4" s="56">
        <v>75</v>
      </c>
      <c r="F4" s="59">
        <v>0</v>
      </c>
      <c r="G4" s="59">
        <v>0</v>
      </c>
      <c r="H4" s="59" t="s">
        <v>46</v>
      </c>
      <c r="I4" s="60">
        <v>44442</v>
      </c>
      <c r="J4" s="57" t="s">
        <v>94</v>
      </c>
      <c r="K4" s="58">
        <v>2</v>
      </c>
      <c r="L4" s="58" t="s">
        <v>13</v>
      </c>
      <c r="M4" s="57" t="s">
        <v>101</v>
      </c>
    </row>
    <row r="5" spans="1:13" x14ac:dyDescent="0.3">
      <c r="A5" s="56" t="s">
        <v>60</v>
      </c>
      <c r="B5" s="57" t="s">
        <v>61</v>
      </c>
      <c r="C5" s="58" t="s">
        <v>55</v>
      </c>
      <c r="D5" s="56">
        <v>200</v>
      </c>
      <c r="F5" s="59">
        <v>0</v>
      </c>
      <c r="G5" s="59">
        <v>0</v>
      </c>
      <c r="H5" s="59" t="s">
        <v>46</v>
      </c>
      <c r="I5" s="60">
        <v>44442</v>
      </c>
      <c r="J5" s="57" t="s">
        <v>94</v>
      </c>
      <c r="K5" s="58">
        <v>2</v>
      </c>
      <c r="L5" s="58" t="s">
        <v>13</v>
      </c>
      <c r="M5" s="57" t="s">
        <v>101</v>
      </c>
    </row>
    <row r="6" spans="1:13" x14ac:dyDescent="0.3">
      <c r="A6" s="56" t="s">
        <v>62</v>
      </c>
      <c r="B6" s="57" t="s">
        <v>63</v>
      </c>
      <c r="C6" s="58" t="s">
        <v>55</v>
      </c>
      <c r="D6" s="56">
        <v>300</v>
      </c>
      <c r="F6" s="59">
        <v>0</v>
      </c>
      <c r="G6" s="59">
        <v>0</v>
      </c>
      <c r="H6" s="59" t="s">
        <v>46</v>
      </c>
      <c r="I6" s="60">
        <v>44442</v>
      </c>
      <c r="J6" s="57" t="s">
        <v>94</v>
      </c>
      <c r="K6" s="58">
        <v>2</v>
      </c>
      <c r="L6" s="58" t="s">
        <v>13</v>
      </c>
      <c r="M6" s="57" t="s">
        <v>101</v>
      </c>
    </row>
    <row r="7" spans="1:13" x14ac:dyDescent="0.3">
      <c r="A7" s="56" t="s">
        <v>64</v>
      </c>
      <c r="B7" s="57" t="s">
        <v>65</v>
      </c>
      <c r="C7" s="58" t="s">
        <v>55</v>
      </c>
      <c r="D7" s="56">
        <v>300</v>
      </c>
      <c r="F7" s="59">
        <v>0</v>
      </c>
      <c r="G7" s="59">
        <v>0</v>
      </c>
      <c r="H7" s="59" t="s">
        <v>46</v>
      </c>
      <c r="I7" s="60">
        <v>44442</v>
      </c>
      <c r="J7" s="57" t="s">
        <v>94</v>
      </c>
      <c r="K7" s="58">
        <v>2</v>
      </c>
      <c r="L7" s="58" t="s">
        <v>13</v>
      </c>
      <c r="M7" s="57" t="s">
        <v>101</v>
      </c>
    </row>
    <row r="8" spans="1:13" x14ac:dyDescent="0.3">
      <c r="A8" s="56" t="s">
        <v>68</v>
      </c>
      <c r="B8" s="57" t="s">
        <v>69</v>
      </c>
      <c r="C8" s="58" t="s">
        <v>55</v>
      </c>
      <c r="D8" s="56">
        <v>300</v>
      </c>
      <c r="F8" s="59">
        <v>0</v>
      </c>
      <c r="G8" s="59">
        <v>0</v>
      </c>
      <c r="H8" s="59" t="s">
        <v>46</v>
      </c>
      <c r="I8" s="60">
        <v>44442</v>
      </c>
      <c r="J8" s="57" t="s">
        <v>94</v>
      </c>
      <c r="K8" s="58">
        <v>2</v>
      </c>
      <c r="L8" s="58" t="s">
        <v>13</v>
      </c>
      <c r="M8" s="57" t="s">
        <v>101</v>
      </c>
    </row>
    <row r="9" spans="1:13" x14ac:dyDescent="0.3">
      <c r="A9" s="56" t="s">
        <v>66</v>
      </c>
      <c r="B9" s="57" t="s">
        <v>67</v>
      </c>
      <c r="C9" s="58" t="s">
        <v>55</v>
      </c>
      <c r="D9" s="56">
        <v>100</v>
      </c>
      <c r="F9" s="59">
        <v>0</v>
      </c>
      <c r="G9" s="59">
        <v>0</v>
      </c>
      <c r="H9" s="59" t="s">
        <v>46</v>
      </c>
      <c r="I9" s="60">
        <v>44442</v>
      </c>
      <c r="J9" s="57" t="s">
        <v>94</v>
      </c>
      <c r="K9" s="58">
        <v>2</v>
      </c>
      <c r="L9" s="58" t="s">
        <v>13</v>
      </c>
      <c r="M9" s="57" t="s">
        <v>101</v>
      </c>
    </row>
    <row r="10" spans="1:13" x14ac:dyDescent="0.3">
      <c r="A10" s="56" t="s">
        <v>72</v>
      </c>
      <c r="B10" s="57" t="s">
        <v>73</v>
      </c>
      <c r="C10" s="58" t="s">
        <v>55</v>
      </c>
      <c r="D10" s="56">
        <v>300</v>
      </c>
      <c r="F10" s="59">
        <v>0</v>
      </c>
      <c r="G10" s="59">
        <v>0</v>
      </c>
      <c r="H10" s="59" t="s">
        <v>46</v>
      </c>
      <c r="I10" s="60">
        <v>44442</v>
      </c>
      <c r="J10" s="57" t="s">
        <v>94</v>
      </c>
      <c r="K10" s="58">
        <v>2</v>
      </c>
      <c r="L10" s="58" t="s">
        <v>13</v>
      </c>
      <c r="M10" s="57" t="s">
        <v>101</v>
      </c>
    </row>
    <row r="11" spans="1:13" x14ac:dyDescent="0.3">
      <c r="A11" s="56" t="s">
        <v>80</v>
      </c>
      <c r="B11" s="57" t="s">
        <v>81</v>
      </c>
      <c r="C11" s="58" t="s">
        <v>55</v>
      </c>
      <c r="D11" s="56">
        <v>100</v>
      </c>
      <c r="F11" s="59">
        <v>0</v>
      </c>
      <c r="G11" s="59">
        <v>0</v>
      </c>
      <c r="H11" s="59" t="s">
        <v>46</v>
      </c>
      <c r="I11" s="60">
        <v>44442</v>
      </c>
      <c r="J11" s="57" t="s">
        <v>94</v>
      </c>
      <c r="K11" s="58">
        <v>2</v>
      </c>
      <c r="L11" s="58" t="s">
        <v>13</v>
      </c>
      <c r="M11" s="57" t="s">
        <v>101</v>
      </c>
    </row>
    <row r="12" spans="1:13" x14ac:dyDescent="0.3">
      <c r="A12" s="56" t="s">
        <v>76</v>
      </c>
      <c r="B12" s="57" t="s">
        <v>77</v>
      </c>
      <c r="C12" s="58" t="s">
        <v>55</v>
      </c>
      <c r="D12" s="56">
        <v>125</v>
      </c>
      <c r="F12" s="59">
        <v>0</v>
      </c>
      <c r="G12" s="59">
        <v>0</v>
      </c>
      <c r="H12" s="59" t="s">
        <v>46</v>
      </c>
      <c r="I12" s="60">
        <v>44442</v>
      </c>
      <c r="J12" s="57" t="s">
        <v>94</v>
      </c>
      <c r="K12" s="58">
        <v>2</v>
      </c>
      <c r="L12" s="58" t="s">
        <v>13</v>
      </c>
      <c r="M12" s="57" t="s">
        <v>101</v>
      </c>
    </row>
    <row r="13" spans="1:13" x14ac:dyDescent="0.3">
      <c r="A13" s="56" t="s">
        <v>82</v>
      </c>
      <c r="B13" s="57" t="s">
        <v>83</v>
      </c>
      <c r="C13" s="58" t="s">
        <v>55</v>
      </c>
      <c r="D13" s="56">
        <v>100</v>
      </c>
      <c r="F13" s="59">
        <v>0</v>
      </c>
      <c r="G13" s="59">
        <v>0</v>
      </c>
      <c r="H13" s="59" t="s">
        <v>46</v>
      </c>
      <c r="I13" s="60">
        <v>44442</v>
      </c>
      <c r="J13" s="57" t="s">
        <v>94</v>
      </c>
      <c r="K13" s="58">
        <v>2</v>
      </c>
      <c r="L13" s="58" t="s">
        <v>13</v>
      </c>
      <c r="M13" s="57" t="s">
        <v>101</v>
      </c>
    </row>
  </sheetData>
  <autoFilter ref="A1:M13" xr:uid="{00000000-0009-0000-0000-000004000000}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02060"/>
  </sheetPr>
  <dimension ref="A1:O38"/>
  <sheetViews>
    <sheetView showGridLines="0" zoomScale="110" zoomScaleNormal="110" workbookViewId="0">
      <selection activeCell="B11" sqref="B11"/>
    </sheetView>
  </sheetViews>
  <sheetFormatPr baseColWidth="10" defaultRowHeight="13.8" x14ac:dyDescent="0.25"/>
  <cols>
    <col min="1" max="1" width="1.3984375" customWidth="1"/>
    <col min="2" max="2" width="12.5" style="4" customWidth="1"/>
    <col min="3" max="3" width="33.5" style="13" customWidth="1"/>
    <col min="4" max="4" width="6.59765625" style="30" customWidth="1"/>
    <col min="5" max="5" width="7.59765625" style="4" customWidth="1"/>
    <col min="6" max="6" width="7.8984375" style="4" customWidth="1"/>
    <col min="7" max="7" width="11" style="29" hidden="1" customWidth="1"/>
    <col min="8" max="8" width="11.59765625" style="28" hidden="1" customWidth="1"/>
    <col min="9" max="9" width="11.19921875" style="28" hidden="1" customWidth="1"/>
    <col min="10" max="10" width="11" style="25" hidden="1" customWidth="1"/>
    <col min="11" max="11" width="11" style="21" hidden="1" customWidth="1"/>
    <col min="12" max="12" width="11" style="25" hidden="1" customWidth="1"/>
    <col min="13" max="13" width="14.59765625" style="17" hidden="1" customWidth="1"/>
    <col min="14" max="14" width="35.59765625" style="32" customWidth="1"/>
    <col min="15" max="15" width="6" style="14" customWidth="1"/>
  </cols>
  <sheetData>
    <row r="1" spans="1:15" ht="41.25" customHeight="1" thickBot="1" x14ac:dyDescent="0.65">
      <c r="A1" s="11"/>
      <c r="B1" s="48"/>
      <c r="C1" s="39"/>
      <c r="D1" s="24"/>
      <c r="E1" s="12"/>
      <c r="F1" s="12"/>
      <c r="G1" s="24"/>
      <c r="H1" s="24"/>
      <c r="I1" s="12"/>
      <c r="J1" s="1"/>
      <c r="K1"/>
      <c r="L1" s="1"/>
      <c r="M1" s="1"/>
      <c r="N1"/>
      <c r="O1" s="1"/>
    </row>
    <row r="2" spans="1:15" ht="16.8" x14ac:dyDescent="0.3">
      <c r="A2">
        <f>IF(Fecha_FormEntrada="",0,1)</f>
        <v>0</v>
      </c>
      <c r="B2" s="47" t="s">
        <v>6</v>
      </c>
      <c r="C2" s="46"/>
      <c r="D2"/>
      <c r="E2" s="1"/>
      <c r="F2" s="1"/>
      <c r="G2" s="16"/>
      <c r="H2" s="3"/>
      <c r="I2" s="3"/>
      <c r="J2" s="1"/>
      <c r="K2"/>
      <c r="L2" s="1"/>
      <c r="M2" s="1"/>
      <c r="N2"/>
      <c r="O2" s="1"/>
    </row>
    <row r="3" spans="1:15" ht="20.399999999999999" x14ac:dyDescent="0.5">
      <c r="A3">
        <f>IF(Documento_FormEntrada="",0,1)</f>
        <v>0</v>
      </c>
      <c r="B3" s="19" t="s">
        <v>9</v>
      </c>
      <c r="C3" s="31"/>
      <c r="D3" s="49" t="str">
        <f>CONCATENATE("Último Correlativo usado: ",MAX(BaseEntrada!K:K))</f>
        <v>Último Correlativo usado: 2</v>
      </c>
      <c r="E3" s="1"/>
      <c r="F3" s="1"/>
      <c r="G3" s="3"/>
      <c r="H3"/>
      <c r="I3" s="3"/>
      <c r="J3" s="1"/>
      <c r="K3"/>
      <c r="L3" s="1"/>
      <c r="M3" s="1"/>
      <c r="N3"/>
      <c r="O3" s="1"/>
    </row>
    <row r="4" spans="1:15" ht="21.75" hidden="1" customHeight="1" x14ac:dyDescent="0.5">
      <c r="B4" s="19" t="s">
        <v>23</v>
      </c>
      <c r="C4" s="6">
        <f>COUNTA(Fecha_FormEntrada,Documento_FormEntrada) + (FormCliente&lt;&gt;"")</f>
        <v>0</v>
      </c>
      <c r="D4"/>
      <c r="E4" s="1"/>
      <c r="F4" s="1"/>
      <c r="G4" s="3"/>
      <c r="H4"/>
      <c r="I4" s="3"/>
      <c r="J4" s="1"/>
      <c r="K4"/>
      <c r="L4" s="1"/>
      <c r="M4" s="1"/>
      <c r="N4"/>
      <c r="O4" s="1"/>
    </row>
    <row r="5" spans="1:15" ht="19.5" customHeight="1" x14ac:dyDescent="0.25">
      <c r="A5">
        <f>IF(FormCliente="",0,1)</f>
        <v>0</v>
      </c>
      <c r="B5" s="42" t="s">
        <v>50</v>
      </c>
      <c r="C5" s="15"/>
      <c r="D5" s="23"/>
      <c r="E5" s="27"/>
      <c r="F5" s="27"/>
      <c r="G5" s="22"/>
      <c r="H5" s="20"/>
      <c r="I5" s="20"/>
      <c r="J5" s="1"/>
      <c r="K5"/>
      <c r="L5" s="1"/>
      <c r="M5" s="1"/>
      <c r="N5"/>
      <c r="O5" s="1"/>
    </row>
    <row r="6" spans="1:15" hidden="1" x14ac:dyDescent="0.25">
      <c r="A6">
        <f>COUNT(B9:B1048576)+8</f>
        <v>8</v>
      </c>
      <c r="B6" s="5"/>
      <c r="C6" s="13" t="str">
        <f>IFERROR(CHOOSE(1+(B6&lt;&gt;""),"",VLOOKUP(B6,Productos!A:D,2,FALSE)),"")</f>
        <v/>
      </c>
      <c r="D6" s="14" t="str">
        <f>IFERROR(CHOOSE(1+(B6&lt;&gt;""),"",VLOOKUP(B6,Productos!A:D,3,FALSE)),"")</f>
        <v/>
      </c>
      <c r="E6" s="44"/>
      <c r="F6" s="44"/>
      <c r="G6" s="43">
        <f>IFERROR(CHOOSE(1+(B6&lt;&gt;""),0,VLOOKUP(B6,Productos!A:D,4,FALSE)),"")</f>
        <v>0</v>
      </c>
      <c r="H6" s="45" t="str">
        <f>CHOOSE(1+(E6&lt;&gt;""),"",E6*G6)</f>
        <v/>
      </c>
      <c r="I6" s="45" t="str">
        <f>CHOOSE(1+(F6&lt;&gt;""),"",F6*G6)</f>
        <v/>
      </c>
      <c r="J6" s="26" t="str">
        <f>CHOOSE(1+(Fecha_FormEntrada&lt;&gt;""),"",Fecha_FormEntrada)</f>
        <v/>
      </c>
      <c r="K6" s="13" t="str">
        <f>CHOOSE(1+(FormCliente&lt;&gt;""),"",FormCliente)</f>
        <v/>
      </c>
      <c r="L6" s="14" t="str">
        <f>CHOOSE(1+(Documento_FormEntrada&lt;&gt;""),"",Documento_FormEntrada)</f>
        <v/>
      </c>
      <c r="M6" s="18" t="str">
        <f>CHOOSE(IF(AND(E6&lt;&gt;"",F6=""),1,IF(AND(F6&lt;&gt;"",E6=""),2,IF(AND(E6&lt;&gt;"",F6&lt;&gt;""),3,4))),"Entrada","Salida","Entrada/Salida","")</f>
        <v/>
      </c>
      <c r="N6" s="21"/>
      <c r="O6" s="14">
        <f>SUMIFS(BaseEntrada!D:D,BaseEntrada!A:A,REGISTRAR!B6)-SUMIFS(BaseEntrada!E:E,BaseEntrada!A:A,REGISTRAR!B6)</f>
        <v>0</v>
      </c>
    </row>
    <row r="7" spans="1:15" x14ac:dyDescent="0.25">
      <c r="B7"/>
      <c r="C7"/>
      <c r="D7" s="1"/>
      <c r="E7" s="101" t="s">
        <v>29</v>
      </c>
      <c r="F7" s="101"/>
      <c r="G7" s="3"/>
      <c r="H7" s="101" t="s">
        <v>43</v>
      </c>
      <c r="I7" s="101"/>
      <c r="J7" s="2"/>
      <c r="K7"/>
      <c r="L7" s="1"/>
      <c r="M7" s="1"/>
      <c r="N7"/>
      <c r="O7" s="1"/>
    </row>
    <row r="8" spans="1:15" s="1" customFormat="1" ht="27.6" x14ac:dyDescent="0.25">
      <c r="B8" s="34" t="s">
        <v>5</v>
      </c>
      <c r="C8" s="35" t="s">
        <v>4</v>
      </c>
      <c r="D8" s="36" t="s">
        <v>40</v>
      </c>
      <c r="E8" s="40" t="s">
        <v>13</v>
      </c>
      <c r="F8" s="40" t="s">
        <v>24</v>
      </c>
      <c r="G8" s="37" t="s">
        <v>3</v>
      </c>
      <c r="H8" s="41" t="s">
        <v>13</v>
      </c>
      <c r="I8" s="41" t="s">
        <v>24</v>
      </c>
      <c r="J8" s="38" t="s">
        <v>10</v>
      </c>
      <c r="K8" s="35" t="s">
        <v>7</v>
      </c>
      <c r="L8" s="35" t="s">
        <v>8</v>
      </c>
      <c r="M8" s="37" t="s">
        <v>21</v>
      </c>
      <c r="N8" s="37" t="s">
        <v>22</v>
      </c>
      <c r="O8" s="37" t="s">
        <v>44</v>
      </c>
    </row>
    <row r="9" spans="1:15" x14ac:dyDescent="0.25">
      <c r="D9" s="14"/>
      <c r="G9" s="43"/>
      <c r="H9" s="45"/>
      <c r="I9" s="45"/>
      <c r="J9" s="26"/>
      <c r="K9" s="13"/>
      <c r="L9" s="14"/>
      <c r="M9" s="18"/>
    </row>
    <row r="10" spans="1:15" x14ac:dyDescent="0.25">
      <c r="D10" s="14"/>
      <c r="G10" s="43"/>
      <c r="H10" s="45"/>
      <c r="I10" s="45"/>
      <c r="J10" s="26"/>
      <c r="K10" s="13"/>
      <c r="L10" s="14"/>
      <c r="M10" s="18"/>
    </row>
    <row r="38" spans="4:13" x14ac:dyDescent="0.25">
      <c r="D38" s="14"/>
      <c r="G38" s="43"/>
      <c r="H38" s="45"/>
      <c r="I38" s="45"/>
      <c r="L38" s="14"/>
      <c r="M38" s="18"/>
    </row>
  </sheetData>
  <sheetProtection algorithmName="SHA-512" hashValue="ww8eSjZW2MmR6rxylT+3XbMn/aiyh/npWJgkpf0XbWGV2y61Hn/hdtm9ur0OYKNUCK1Ah7ZhwRWP8WLQaor3Ww==" saltValue="VvnodYftQluj3Eaz6AxXtA==" spinCount="100000" sheet="1" objects="1" scenarios="1" formatCells="0" formatColumns="0" formatRows="0" autoFilter="0" pivotTables="0"/>
  <mergeCells count="2">
    <mergeCell ref="E7:F7"/>
    <mergeCell ref="H7:I7"/>
  </mergeCells>
  <conditionalFormatting sqref="O6">
    <cfRule type="cellIs" dxfId="3" priority="416" operator="lessThan">
      <formula>0</formula>
    </cfRule>
  </conditionalFormatting>
  <conditionalFormatting sqref="O10">
    <cfRule type="cellIs" dxfId="2" priority="33" operator="lessThan">
      <formula>0</formula>
    </cfRule>
  </conditionalFormatting>
  <conditionalFormatting sqref="O38">
    <cfRule type="cellIs" dxfId="1" priority="3" operator="lessThan">
      <formula>0</formula>
    </cfRule>
  </conditionalFormatting>
  <conditionalFormatting sqref="O9">
    <cfRule type="cellIs" dxfId="0" priority="1" operator="lessThan">
      <formula>0</formula>
    </cfRule>
  </conditionalFormatting>
  <pageMargins left="0.7" right="0.7" top="0.75" bottom="0.75" header="0.3" footer="0.3"/>
  <pageSetup scale="86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TextConsulta">
          <controlPr defaultSize="0" autoLine="0" autoPict="0" linkedCell="C3" r:id="rId5">
            <anchor moveWithCells="1">
              <from>
                <xdr:col>2</xdr:col>
                <xdr:colOff>0</xdr:colOff>
                <xdr:row>2</xdr:row>
                <xdr:rowOff>7620</xdr:rowOff>
              </from>
              <to>
                <xdr:col>2</xdr:col>
                <xdr:colOff>784860</xdr:colOff>
                <xdr:row>4</xdr:row>
                <xdr:rowOff>0</xdr:rowOff>
              </to>
            </anchor>
          </controlPr>
        </control>
      </mc:Choice>
      <mc:Fallback>
        <control shapeId="6150" r:id="rId4" name="TextConsulta"/>
      </mc:Fallback>
    </mc:AlternateContent>
    <mc:AlternateContent xmlns:mc="http://schemas.openxmlformats.org/markup-compatibility/2006">
      <mc:Choice Requires="x14">
        <control shapeId="6145" r:id="rId6" name="ComboClientes">
          <controlPr defaultSize="0" autoLine="0" linkedCell="C5" r:id="rId7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2</xdr:col>
                <xdr:colOff>2240280</xdr:colOff>
                <xdr:row>6</xdr:row>
                <xdr:rowOff>15240</xdr:rowOff>
              </to>
            </anchor>
          </controlPr>
        </control>
      </mc:Choice>
      <mc:Fallback>
        <control shapeId="6145" r:id="rId6" name="ComboClient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002060"/>
  </sheetPr>
  <dimension ref="A1:L52"/>
  <sheetViews>
    <sheetView showGridLines="0" zoomScale="110" zoomScaleNormal="110" zoomScaleSheetLayoutView="118" workbookViewId="0">
      <selection activeCell="E6" sqref="E6"/>
    </sheetView>
  </sheetViews>
  <sheetFormatPr baseColWidth="10" defaultColWidth="11" defaultRowHeight="14.4" x14ac:dyDescent="0.25"/>
  <cols>
    <col min="1" max="1" width="12.69921875" style="63" customWidth="1"/>
    <col min="2" max="2" width="14.3984375" style="90" customWidth="1"/>
    <col min="3" max="3" width="39.5" style="91" customWidth="1"/>
    <col min="4" max="4" width="11" style="87" customWidth="1"/>
    <col min="5" max="5" width="9.8984375" style="88" customWidth="1"/>
    <col min="6" max="6" width="8.3984375" style="88" customWidth="1"/>
    <col min="7" max="7" width="9.09765625" style="87" customWidth="1"/>
    <col min="8" max="8" width="0.5" style="78" hidden="1" customWidth="1"/>
    <col min="9" max="9" width="13.5" style="89" hidden="1" customWidth="1"/>
    <col min="10" max="10" width="15.19921875" style="89" hidden="1" customWidth="1"/>
    <col min="11" max="11" width="15" style="89" hidden="1" customWidth="1"/>
    <col min="12" max="12" width="14.69921875" style="89" hidden="1" customWidth="1"/>
    <col min="13" max="13" width="0" style="63" hidden="1" customWidth="1"/>
    <col min="14" max="16384" width="11" style="63"/>
  </cols>
  <sheetData>
    <row r="1" spans="1:12" ht="18.75" customHeight="1" x14ac:dyDescent="0.25">
      <c r="A1" s="105" t="s">
        <v>26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2" spans="1:12" ht="24" customHeight="1" x14ac:dyDescent="0.25">
      <c r="A2" s="106" t="s">
        <v>27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</row>
    <row r="3" spans="1:12" ht="3" customHeight="1" thickBot="1" x14ac:dyDescent="0.3">
      <c r="B3" s="63"/>
      <c r="C3" s="64"/>
      <c r="D3" s="64"/>
      <c r="E3" s="64"/>
      <c r="F3" s="64"/>
      <c r="G3" s="63"/>
      <c r="H3" s="63"/>
      <c r="I3" s="65"/>
      <c r="J3" s="65"/>
      <c r="K3" s="65"/>
      <c r="L3" s="65"/>
    </row>
    <row r="4" spans="1:12" x14ac:dyDescent="0.25">
      <c r="A4" s="103" t="s">
        <v>47</v>
      </c>
      <c r="B4" s="104"/>
      <c r="C4" s="64"/>
      <c r="D4" s="107"/>
      <c r="E4" s="107"/>
      <c r="F4" s="64"/>
      <c r="G4" s="63"/>
      <c r="H4" s="63"/>
      <c r="I4" s="65"/>
      <c r="J4" s="65"/>
      <c r="K4" s="65"/>
      <c r="L4" s="65"/>
    </row>
    <row r="5" spans="1:12" x14ac:dyDescent="0.25">
      <c r="A5" s="66" t="s">
        <v>35</v>
      </c>
      <c r="B5" s="66" t="s">
        <v>36</v>
      </c>
      <c r="C5" s="64"/>
      <c r="D5" s="67"/>
      <c r="E5" s="67"/>
      <c r="F5" s="64"/>
      <c r="G5" s="63"/>
      <c r="H5" s="63"/>
      <c r="I5" s="65"/>
      <c r="J5" s="65"/>
      <c r="K5" s="65"/>
      <c r="L5" s="65"/>
    </row>
    <row r="6" spans="1:12" s="64" customFormat="1" ht="17.25" customHeight="1" x14ac:dyDescent="0.25">
      <c r="A6" s="68">
        <v>44441</v>
      </c>
      <c r="B6" s="68">
        <v>44449</v>
      </c>
      <c r="I6" s="69"/>
      <c r="J6" s="69"/>
      <c r="K6" s="69"/>
      <c r="L6" s="69"/>
    </row>
    <row r="7" spans="1:12" s="64" customFormat="1" ht="5.25" customHeight="1" x14ac:dyDescent="0.25">
      <c r="I7" s="69"/>
      <c r="J7" s="69"/>
      <c r="K7" s="69"/>
      <c r="L7" s="69"/>
    </row>
    <row r="8" spans="1:12" s="64" customFormat="1" hidden="1" x14ac:dyDescent="0.25">
      <c r="A8" s="70" t="s">
        <v>25</v>
      </c>
      <c r="B8" s="70" t="s">
        <v>16</v>
      </c>
      <c r="C8" s="70" t="s">
        <v>17</v>
      </c>
      <c r="D8" s="71" t="s">
        <v>12</v>
      </c>
      <c r="E8" s="71" t="s">
        <v>13</v>
      </c>
      <c r="F8" s="71" t="s">
        <v>14</v>
      </c>
      <c r="G8" s="71" t="s">
        <v>15</v>
      </c>
      <c r="I8" s="72" t="s">
        <v>12</v>
      </c>
      <c r="J8" s="72" t="s">
        <v>13</v>
      </c>
      <c r="K8" s="72" t="s">
        <v>14</v>
      </c>
      <c r="L8" s="72" t="s">
        <v>15</v>
      </c>
    </row>
    <row r="9" spans="1:12" hidden="1" x14ac:dyDescent="0.25">
      <c r="A9" s="73">
        <f>A6</f>
        <v>44441</v>
      </c>
      <c r="B9" s="74">
        <f>+A9-1</f>
        <v>44440</v>
      </c>
      <c r="C9" s="74">
        <f>+B6</f>
        <v>44449</v>
      </c>
      <c r="D9" s="75">
        <f>SUMIFS(BaseEntrada!D:D,BaseEntrada!I:I,"&lt;="&amp;Kardex!$B$9,BaseEntrada!A:A,Kardex!$B9)-SUMIFS(BaseEntrada!E:E,BaseEntrada!I:I,"&lt;="&amp;Kardex!$B$9,BaseEntrada!A:A,Kardex!$B9)</f>
        <v>0</v>
      </c>
      <c r="E9" s="75">
        <f>SUMIFS(BaseEntrada!D:D,BaseEntrada!I:I,"&lt;="&amp;Kardex!$C$9,BaseEntrada!A:A,Kardex!$B9)-SUMIFS(BaseEntrada!D:D,BaseEntrada!I:I,"&lt;="&amp;Kardex!$B$9,BaseEntrada!A:A,Kardex!$B9)</f>
        <v>0</v>
      </c>
      <c r="F9" s="75">
        <f>SUMIFS(BaseEntrada!E:E,BaseEntrada!I:I,"&lt;="&amp;Kardex!$C$9,BaseEntrada!A:A,Kardex!$B9)-SUMIFS(BaseEntrada!E:E,BaseEntrada!I:I,"&lt;="&amp;Kardex!$B$9,BaseEntrada!A:A,Kardex!$B9)</f>
        <v>0</v>
      </c>
      <c r="G9" s="75">
        <f>D9+E9-F9</f>
        <v>0</v>
      </c>
      <c r="H9" s="63"/>
      <c r="I9" s="76">
        <f>SUMIFS(BaseEntrada!G:G,BaseEntrada!I:I,"&lt;="&amp;Kardex!$B$9,BaseEntrada!A:A,Kardex!$B9)-SUMIFS(BaseEntrada!H:H,BaseEntrada!I:I,"&lt;="&amp;Kardex!$B$9,BaseEntrada!A:A,Kardex!$B9)</f>
        <v>0</v>
      </c>
      <c r="J9" s="76">
        <f>SUMIFS(BaseEntrada!G:G,BaseEntrada!I:I,"&lt;="&amp;Kardex!$C$9,BaseEntrada!A:A,Kardex!$B9)-SUMIFS(BaseEntrada!G:G,BaseEntrada!I:I,"&lt;="&amp;Kardex!$B$9,BaseEntrada!A:A,Kardex!$B9)</f>
        <v>0</v>
      </c>
      <c r="K9" s="76">
        <f>SUMIFS(BaseEntrada!H:H,BaseEntrada!I:I,"&lt;="&amp;Kardex!$C$9,BaseEntrada!A:A,Kardex!$B9)-SUMIFS(BaseEntrada!H:H,BaseEntrada!I:I,"&lt;="&amp;Kardex!$B$9,BaseEntrada!A:A,Kardex!$B9)</f>
        <v>0</v>
      </c>
      <c r="L9" s="76">
        <f>I9+J9-K9</f>
        <v>0</v>
      </c>
    </row>
    <row r="10" spans="1:12" ht="11.25" customHeight="1" x14ac:dyDescent="0.25">
      <c r="A10" s="77"/>
      <c r="B10" s="77"/>
      <c r="C10" s="77"/>
      <c r="D10" s="102" t="s">
        <v>30</v>
      </c>
      <c r="E10" s="102"/>
      <c r="F10" s="102"/>
      <c r="G10" s="102"/>
      <c r="I10" s="102" t="s">
        <v>31</v>
      </c>
      <c r="J10" s="102"/>
      <c r="K10" s="102"/>
      <c r="L10" s="102"/>
    </row>
    <row r="11" spans="1:12" s="79" customFormat="1" ht="27.6" x14ac:dyDescent="0.25">
      <c r="B11" s="80" t="s">
        <v>5</v>
      </c>
      <c r="C11" s="80" t="s">
        <v>4</v>
      </c>
      <c r="D11" s="80" t="s">
        <v>51</v>
      </c>
      <c r="E11" s="80" t="s">
        <v>13</v>
      </c>
      <c r="F11" s="80" t="s">
        <v>14</v>
      </c>
      <c r="G11" s="80" t="s">
        <v>52</v>
      </c>
      <c r="H11" s="81"/>
      <c r="I11" s="82" t="s">
        <v>41</v>
      </c>
      <c r="J11" s="82" t="s">
        <v>13</v>
      </c>
      <c r="K11" s="82" t="s">
        <v>14</v>
      </c>
      <c r="L11" s="82" t="s">
        <v>42</v>
      </c>
    </row>
    <row r="12" spans="1:12" x14ac:dyDescent="0.3">
      <c r="B12" s="56" t="s">
        <v>53</v>
      </c>
      <c r="C12" s="83" t="s">
        <v>54</v>
      </c>
      <c r="D12" s="84">
        <f>SUMIFS(BaseEntrada!D:D,BaseEntrada!I:I,"&lt;="&amp;Kardex!$B$9,BaseEntrada!A:A,Kardex!$B12)-SUMIFS(BaseEntrada!E:E,BaseEntrada!I:I,"&lt;="&amp;Kardex!$B$9,BaseEntrada!A:A,Kardex!$B12)</f>
        <v>0</v>
      </c>
      <c r="E12" s="85">
        <f>SUMIFS(BaseEntrada!D:D,BaseEntrada!I:I,"&lt;="&amp;Kardex!$C$9,BaseEntrada!A:A,Kardex!$B12)-SUMIFS(BaseEntrada!D:D,BaseEntrada!I:I,"&lt;="&amp;Kardex!$B$9,BaseEntrada!A:A,Kardex!$B12)</f>
        <v>250</v>
      </c>
      <c r="F12" s="85">
        <f>SUMIFS(BaseEntrada!E:E,BaseEntrada!I:I,"&lt;="&amp;Kardex!$C$9,BaseEntrada!A:A,Kardex!$B12)-SUMIFS(BaseEntrada!E:E,BaseEntrada!I:I,"&lt;="&amp;Kardex!$B$9,BaseEntrada!A:A,Kardex!$B12)</f>
        <v>0</v>
      </c>
      <c r="G12" s="84">
        <f t="shared" ref="G12:G31" si="0">D12+E12-F12</f>
        <v>250</v>
      </c>
      <c r="I12" s="86">
        <f>SUMIFS(BaseEntrada!G:G,BaseEntrada!I:I,"&lt;="&amp;Kardex!$B$9,BaseEntrada!A:A,Kardex!$B12)-SUMIFS(BaseEntrada!H:H,BaseEntrada!I:I,"&lt;="&amp;Kardex!$B$9,BaseEntrada!A:A,Kardex!$B12)</f>
        <v>0</v>
      </c>
      <c r="J12" s="86">
        <f>SUMIFS(BaseEntrada!G:G,BaseEntrada!I:I,"&lt;="&amp;Kardex!$C$9,BaseEntrada!A:A,Kardex!$B12)-SUMIFS(BaseEntrada!G:G,BaseEntrada!I:I,"&lt;="&amp;Kardex!$B$9,BaseEntrada!A:A,Kardex!$B12)</f>
        <v>0</v>
      </c>
      <c r="K12" s="86">
        <f>SUMIFS(BaseEntrada!H:H,BaseEntrada!I:I,"&lt;="&amp;Kardex!$C$9,BaseEntrada!A:A,Kardex!$B12)-SUMIFS(BaseEntrada!H:H,BaseEntrada!I:I,"&lt;="&amp;Kardex!$B$9,BaseEntrada!A:A,Kardex!$B12)</f>
        <v>0</v>
      </c>
      <c r="L12" s="86">
        <f t="shared" ref="L12:L31" si="1">I12+J12-K12</f>
        <v>0</v>
      </c>
    </row>
    <row r="13" spans="1:12" x14ac:dyDescent="0.3">
      <c r="B13" s="56" t="s">
        <v>56</v>
      </c>
      <c r="C13" s="83" t="s">
        <v>57</v>
      </c>
      <c r="D13" s="87">
        <f>SUMIFS(BaseEntrada!D:D,BaseEntrada!I:I,"&lt;="&amp;Kardex!$B$9,BaseEntrada!A:A,Kardex!$B13)-SUMIFS(BaseEntrada!E:E,BaseEntrada!I:I,"&lt;="&amp;Kardex!$B$9,BaseEntrada!A:A,Kardex!$B13)</f>
        <v>0</v>
      </c>
      <c r="E13" s="88">
        <f>SUMIFS(BaseEntrada!D:D,BaseEntrada!I:I,"&lt;="&amp;Kardex!$C$9,BaseEntrada!A:A,Kardex!$B13)-SUMIFS(BaseEntrada!D:D,BaseEntrada!I:I,"&lt;="&amp;Kardex!$B$9,BaseEntrada!A:A,Kardex!$B13)</f>
        <v>125</v>
      </c>
      <c r="F13" s="88">
        <f>SUMIFS(BaseEntrada!E:E,BaseEntrada!I:I,"&lt;="&amp;Kardex!$C$9,BaseEntrada!A:A,Kardex!$B13)-SUMIFS(BaseEntrada!E:E,BaseEntrada!I:I,"&lt;="&amp;Kardex!$B$9,BaseEntrada!A:A,Kardex!$B13)</f>
        <v>0</v>
      </c>
      <c r="G13" s="84">
        <f t="shared" si="0"/>
        <v>125</v>
      </c>
      <c r="I13" s="89">
        <f>SUMIFS(BaseEntrada!G:G,BaseEntrada!I:I,"&lt;="&amp;Kardex!$B$9,BaseEntrada!A:A,Kardex!$B13)-SUMIFS(BaseEntrada!H:H,BaseEntrada!I:I,"&lt;="&amp;Kardex!$B$9,BaseEntrada!A:A,Kardex!$B13)</f>
        <v>0</v>
      </c>
      <c r="J13" s="89">
        <f>SUMIFS(BaseEntrada!G:G,BaseEntrada!I:I,"&lt;="&amp;Kardex!$C$9,BaseEntrada!A:A,Kardex!$B13)-SUMIFS(BaseEntrada!G:G,BaseEntrada!I:I,"&lt;="&amp;Kardex!$B$9,BaseEntrada!A:A,Kardex!$B13)</f>
        <v>0</v>
      </c>
      <c r="K13" s="89">
        <f>SUMIFS(BaseEntrada!H:H,BaseEntrada!I:I,"&lt;="&amp;Kardex!$C$9,BaseEntrada!A:A,Kardex!$B13)-SUMIFS(BaseEntrada!H:H,BaseEntrada!I:I,"&lt;="&amp;Kardex!$B$9,BaseEntrada!A:A,Kardex!$B13)</f>
        <v>0</v>
      </c>
      <c r="L13" s="89">
        <f t="shared" si="1"/>
        <v>0</v>
      </c>
    </row>
    <row r="14" spans="1:12" x14ac:dyDescent="0.3">
      <c r="B14" s="56" t="s">
        <v>58</v>
      </c>
      <c r="C14" s="83" t="s">
        <v>59</v>
      </c>
      <c r="D14" s="87">
        <f>SUMIFS(BaseEntrada!D:D,BaseEntrada!I:I,"&lt;="&amp;Kardex!$B$9,BaseEntrada!A:A,Kardex!$B14)-SUMIFS(BaseEntrada!E:E,BaseEntrada!I:I,"&lt;="&amp;Kardex!$B$9,BaseEntrada!A:A,Kardex!$B14)</f>
        <v>0</v>
      </c>
      <c r="E14" s="88">
        <f>SUMIFS(BaseEntrada!D:D,BaseEntrada!I:I,"&lt;="&amp;Kardex!$C$9,BaseEntrada!A:A,Kardex!$B14)-SUMIFS(BaseEntrada!D:D,BaseEntrada!I:I,"&lt;="&amp;Kardex!$B$9,BaseEntrada!A:A,Kardex!$B14)</f>
        <v>0</v>
      </c>
      <c r="F14" s="88">
        <f>SUMIFS(BaseEntrada!E:E,BaseEntrada!I:I,"&lt;="&amp;Kardex!$C$9,BaseEntrada!A:A,Kardex!$B14)-SUMIFS(BaseEntrada!E:E,BaseEntrada!I:I,"&lt;="&amp;Kardex!$B$9,BaseEntrada!A:A,Kardex!$B14)</f>
        <v>0</v>
      </c>
      <c r="G14" s="87">
        <f t="shared" si="0"/>
        <v>0</v>
      </c>
      <c r="I14" s="89">
        <f>SUMIFS(BaseEntrada!G:G,BaseEntrada!I:I,"&lt;="&amp;Kardex!$B$9,BaseEntrada!A:A,Kardex!$B14)-SUMIFS(BaseEntrada!H:H,BaseEntrada!I:I,"&lt;="&amp;Kardex!$B$9,BaseEntrada!A:A,Kardex!$B14)</f>
        <v>0</v>
      </c>
      <c r="J14" s="89">
        <f>SUMIFS(BaseEntrada!G:G,BaseEntrada!I:I,"&lt;="&amp;Kardex!$C$9,BaseEntrada!A:A,Kardex!$B14)-SUMIFS(BaseEntrada!G:G,BaseEntrada!I:I,"&lt;="&amp;Kardex!$B$9,BaseEntrada!A:A,Kardex!$B14)</f>
        <v>0</v>
      </c>
      <c r="K14" s="89">
        <f>SUMIFS(BaseEntrada!H:H,BaseEntrada!I:I,"&lt;="&amp;Kardex!$C$9,BaseEntrada!A:A,Kardex!$B14)-SUMIFS(BaseEntrada!H:H,BaseEntrada!I:I,"&lt;="&amp;Kardex!$B$9,BaseEntrada!A:A,Kardex!$B14)</f>
        <v>0</v>
      </c>
      <c r="L14" s="89">
        <f t="shared" si="1"/>
        <v>0</v>
      </c>
    </row>
    <row r="15" spans="1:12" x14ac:dyDescent="0.3">
      <c r="B15" s="56" t="s">
        <v>60</v>
      </c>
      <c r="C15" s="83" t="s">
        <v>61</v>
      </c>
      <c r="D15" s="87">
        <f>SUMIFS(BaseEntrada!D:D,BaseEntrada!I:I,"&lt;="&amp;Kardex!$B$9,BaseEntrada!A:A,Kardex!$B15)-SUMIFS(BaseEntrada!E:E,BaseEntrada!I:I,"&lt;="&amp;Kardex!$B$9,BaseEntrada!A:A,Kardex!$B15)</f>
        <v>0</v>
      </c>
      <c r="E15" s="88">
        <f>SUMIFS(BaseEntrada!D:D,BaseEntrada!I:I,"&lt;="&amp;Kardex!$C$9,BaseEntrada!A:A,Kardex!$B15)-SUMIFS(BaseEntrada!D:D,BaseEntrada!I:I,"&lt;="&amp;Kardex!$B$9,BaseEntrada!A:A,Kardex!$B15)</f>
        <v>200</v>
      </c>
      <c r="F15" s="88">
        <f>SUMIFS(BaseEntrada!E:E,BaseEntrada!I:I,"&lt;="&amp;Kardex!$C$9,BaseEntrada!A:A,Kardex!$B15)-SUMIFS(BaseEntrada!E:E,BaseEntrada!I:I,"&lt;="&amp;Kardex!$B$9,BaseEntrada!A:A,Kardex!$B15)</f>
        <v>0</v>
      </c>
      <c r="G15" s="87">
        <f t="shared" si="0"/>
        <v>200</v>
      </c>
      <c r="I15" s="89">
        <f>SUMIFS(BaseEntrada!G:G,BaseEntrada!I:I,"&lt;="&amp;Kardex!$B$9,BaseEntrada!A:A,Kardex!$B15)-SUMIFS(BaseEntrada!H:H,BaseEntrada!I:I,"&lt;="&amp;Kardex!$B$9,BaseEntrada!A:A,Kardex!$B15)</f>
        <v>0</v>
      </c>
      <c r="J15" s="89">
        <f>SUMIFS(BaseEntrada!G:G,BaseEntrada!I:I,"&lt;="&amp;Kardex!$C$9,BaseEntrada!A:A,Kardex!$B15)-SUMIFS(BaseEntrada!G:G,BaseEntrada!I:I,"&lt;="&amp;Kardex!$B$9,BaseEntrada!A:A,Kardex!$B15)</f>
        <v>0</v>
      </c>
      <c r="K15" s="89">
        <f>SUMIFS(BaseEntrada!H:H,BaseEntrada!I:I,"&lt;="&amp;Kardex!$C$9,BaseEntrada!A:A,Kardex!$B15)-SUMIFS(BaseEntrada!H:H,BaseEntrada!I:I,"&lt;="&amp;Kardex!$B$9,BaseEntrada!A:A,Kardex!$B15)</f>
        <v>0</v>
      </c>
      <c r="L15" s="89">
        <f t="shared" si="1"/>
        <v>0</v>
      </c>
    </row>
    <row r="16" spans="1:12" x14ac:dyDescent="0.3">
      <c r="B16" s="56" t="s">
        <v>62</v>
      </c>
      <c r="C16" s="83" t="s">
        <v>63</v>
      </c>
      <c r="D16" s="87">
        <f>SUMIFS(BaseEntrada!D:D,BaseEntrada!I:I,"&lt;="&amp;Kardex!$B$9,BaseEntrada!A:A,Kardex!$B16)-SUMIFS(BaseEntrada!E:E,BaseEntrada!I:I,"&lt;="&amp;Kardex!$B$9,BaseEntrada!A:A,Kardex!$B16)</f>
        <v>0</v>
      </c>
      <c r="E16" s="88">
        <f>SUMIFS(BaseEntrada!D:D,BaseEntrada!I:I,"&lt;="&amp;Kardex!$C$9,BaseEntrada!A:A,Kardex!$B16)-SUMIFS(BaseEntrada!D:D,BaseEntrada!I:I,"&lt;="&amp;Kardex!$B$9,BaseEntrada!A:A,Kardex!$B16)</f>
        <v>300</v>
      </c>
      <c r="F16" s="88">
        <f>SUMIFS(BaseEntrada!E:E,BaseEntrada!I:I,"&lt;="&amp;Kardex!$C$9,BaseEntrada!A:A,Kardex!$B16)-SUMIFS(BaseEntrada!E:E,BaseEntrada!I:I,"&lt;="&amp;Kardex!$B$9,BaseEntrada!A:A,Kardex!$B16)</f>
        <v>0</v>
      </c>
      <c r="G16" s="87">
        <f t="shared" si="0"/>
        <v>300</v>
      </c>
      <c r="I16" s="89">
        <f>SUMIFS(BaseEntrada!G:G,BaseEntrada!I:I,"&lt;="&amp;Kardex!$B$9,BaseEntrada!A:A,Kardex!$B16)-SUMIFS(BaseEntrada!H:H,BaseEntrada!I:I,"&lt;="&amp;Kardex!$B$9,BaseEntrada!A:A,Kardex!$B16)</f>
        <v>0</v>
      </c>
      <c r="J16" s="89">
        <f>SUMIFS(BaseEntrada!G:G,BaseEntrada!I:I,"&lt;="&amp;Kardex!$C$9,BaseEntrada!A:A,Kardex!$B16)-SUMIFS(BaseEntrada!G:G,BaseEntrada!I:I,"&lt;="&amp;Kardex!$B$9,BaseEntrada!A:A,Kardex!$B16)</f>
        <v>0</v>
      </c>
      <c r="K16" s="89">
        <f>SUMIFS(BaseEntrada!H:H,BaseEntrada!I:I,"&lt;="&amp;Kardex!$C$9,BaseEntrada!A:A,Kardex!$B16)-SUMIFS(BaseEntrada!H:H,BaseEntrada!I:I,"&lt;="&amp;Kardex!$B$9,BaseEntrada!A:A,Kardex!$B16)</f>
        <v>0</v>
      </c>
      <c r="L16" s="89">
        <f t="shared" si="1"/>
        <v>0</v>
      </c>
    </row>
    <row r="17" spans="2:12" x14ac:dyDescent="0.3">
      <c r="B17" s="56" t="s">
        <v>64</v>
      </c>
      <c r="C17" s="83" t="s">
        <v>65</v>
      </c>
      <c r="D17" s="87">
        <f>SUMIFS(BaseEntrada!D:D,BaseEntrada!I:I,"&lt;="&amp;Kardex!$B$9,BaseEntrada!A:A,Kardex!$B17)-SUMIFS(BaseEntrada!E:E,BaseEntrada!I:I,"&lt;="&amp;Kardex!$B$9,BaseEntrada!A:A,Kardex!$B17)</f>
        <v>0</v>
      </c>
      <c r="E17" s="88">
        <f>SUMIFS(BaseEntrada!D:D,BaseEntrada!I:I,"&lt;="&amp;Kardex!$C$9,BaseEntrada!A:A,Kardex!$B17)-SUMIFS(BaseEntrada!D:D,BaseEntrada!I:I,"&lt;="&amp;Kardex!$B$9,BaseEntrada!A:A,Kardex!$B17)</f>
        <v>300</v>
      </c>
      <c r="F17" s="88">
        <f>SUMIFS(BaseEntrada!E:E,BaseEntrada!I:I,"&lt;="&amp;Kardex!$C$9,BaseEntrada!A:A,Kardex!$B17)-SUMIFS(BaseEntrada!E:E,BaseEntrada!I:I,"&lt;="&amp;Kardex!$B$9,BaseEntrada!A:A,Kardex!$B17)</f>
        <v>0</v>
      </c>
      <c r="G17" s="87">
        <f t="shared" si="0"/>
        <v>300</v>
      </c>
      <c r="I17" s="89">
        <f>SUMIFS(BaseEntrada!G:G,BaseEntrada!I:I,"&lt;="&amp;Kardex!$B$9,BaseEntrada!A:A,Kardex!$B17)-SUMIFS(BaseEntrada!H:H,BaseEntrada!I:I,"&lt;="&amp;Kardex!$B$9,BaseEntrada!A:A,Kardex!$B17)</f>
        <v>0</v>
      </c>
      <c r="J17" s="89">
        <f>SUMIFS(BaseEntrada!G:G,BaseEntrada!I:I,"&lt;="&amp;Kardex!$C$9,BaseEntrada!A:A,Kardex!$B17)-SUMIFS(BaseEntrada!G:G,BaseEntrada!I:I,"&lt;="&amp;Kardex!$B$9,BaseEntrada!A:A,Kardex!$B17)</f>
        <v>0</v>
      </c>
      <c r="K17" s="89">
        <f>SUMIFS(BaseEntrada!H:H,BaseEntrada!I:I,"&lt;="&amp;Kardex!$C$9,BaseEntrada!A:A,Kardex!$B17)-SUMIFS(BaseEntrada!H:H,BaseEntrada!I:I,"&lt;="&amp;Kardex!$B$9,BaseEntrada!A:A,Kardex!$B17)</f>
        <v>0</v>
      </c>
      <c r="L17" s="89">
        <f t="shared" si="1"/>
        <v>0</v>
      </c>
    </row>
    <row r="18" spans="2:12" x14ac:dyDescent="0.3">
      <c r="B18" s="56" t="s">
        <v>66</v>
      </c>
      <c r="C18" s="83" t="s">
        <v>67</v>
      </c>
      <c r="D18" s="87">
        <f>SUMIFS(BaseEntrada!D:D,BaseEntrada!I:I,"&lt;="&amp;Kardex!$B$9,BaseEntrada!A:A,Kardex!$B18)-SUMIFS(BaseEntrada!E:E,BaseEntrada!I:I,"&lt;="&amp;Kardex!$B$9,BaseEntrada!A:A,Kardex!$B18)</f>
        <v>0</v>
      </c>
      <c r="E18" s="88">
        <f>SUMIFS(BaseEntrada!D:D,BaseEntrada!I:I,"&lt;="&amp;Kardex!$C$9,BaseEntrada!A:A,Kardex!$B18)-SUMIFS(BaseEntrada!D:D,BaseEntrada!I:I,"&lt;="&amp;Kardex!$B$9,BaseEntrada!A:A,Kardex!$B18)</f>
        <v>100</v>
      </c>
      <c r="F18" s="88">
        <f>SUMIFS(BaseEntrada!E:E,BaseEntrada!I:I,"&lt;="&amp;Kardex!$C$9,BaseEntrada!A:A,Kardex!$B18)-SUMIFS(BaseEntrada!E:E,BaseEntrada!I:I,"&lt;="&amp;Kardex!$B$9,BaseEntrada!A:A,Kardex!$B18)</f>
        <v>0</v>
      </c>
      <c r="G18" s="87">
        <f t="shared" si="0"/>
        <v>100</v>
      </c>
      <c r="I18" s="89">
        <f>SUMIFS(BaseEntrada!G:G,BaseEntrada!I:I,"&lt;="&amp;Kardex!$B$9,BaseEntrada!A:A,Kardex!$B18)-SUMIFS(BaseEntrada!H:H,BaseEntrada!I:I,"&lt;="&amp;Kardex!$B$9,BaseEntrada!A:A,Kardex!$B18)</f>
        <v>0</v>
      </c>
      <c r="J18" s="89">
        <f>SUMIFS(BaseEntrada!G:G,BaseEntrada!I:I,"&lt;="&amp;Kardex!$C$9,BaseEntrada!A:A,Kardex!$B18)-SUMIFS(BaseEntrada!G:G,BaseEntrada!I:I,"&lt;="&amp;Kardex!$B$9,BaseEntrada!A:A,Kardex!$B18)</f>
        <v>0</v>
      </c>
      <c r="K18" s="89">
        <f>SUMIFS(BaseEntrada!H:H,BaseEntrada!I:I,"&lt;="&amp;Kardex!$C$9,BaseEntrada!A:A,Kardex!$B18)-SUMIFS(BaseEntrada!H:H,BaseEntrada!I:I,"&lt;="&amp;Kardex!$B$9,BaseEntrada!A:A,Kardex!$B18)</f>
        <v>0</v>
      </c>
      <c r="L18" s="89">
        <f t="shared" si="1"/>
        <v>0</v>
      </c>
    </row>
    <row r="19" spans="2:12" x14ac:dyDescent="0.3">
      <c r="B19" s="56" t="s">
        <v>68</v>
      </c>
      <c r="C19" s="83" t="s">
        <v>69</v>
      </c>
      <c r="D19" s="87">
        <f>SUMIFS(BaseEntrada!D:D,BaseEntrada!I:I,"&lt;="&amp;Kardex!$B$9,BaseEntrada!A:A,Kardex!$B19)-SUMIFS(BaseEntrada!E:E,BaseEntrada!I:I,"&lt;="&amp;Kardex!$B$9,BaseEntrada!A:A,Kardex!$B19)</f>
        <v>0</v>
      </c>
      <c r="E19" s="88">
        <f>SUMIFS(BaseEntrada!D:D,BaseEntrada!I:I,"&lt;="&amp;Kardex!$C$9,BaseEntrada!A:A,Kardex!$B19)-SUMIFS(BaseEntrada!D:D,BaseEntrada!I:I,"&lt;="&amp;Kardex!$B$9,BaseEntrada!A:A,Kardex!$B19)</f>
        <v>300</v>
      </c>
      <c r="F19" s="88">
        <f>SUMIFS(BaseEntrada!E:E,BaseEntrada!I:I,"&lt;="&amp;Kardex!$C$9,BaseEntrada!A:A,Kardex!$B19)-SUMIFS(BaseEntrada!E:E,BaseEntrada!I:I,"&lt;="&amp;Kardex!$B$9,BaseEntrada!A:A,Kardex!$B19)</f>
        <v>0</v>
      </c>
      <c r="G19" s="87">
        <f t="shared" si="0"/>
        <v>300</v>
      </c>
      <c r="I19" s="89">
        <f>SUMIFS(BaseEntrada!G:G,BaseEntrada!I:I,"&lt;="&amp;Kardex!$B$9,BaseEntrada!A:A,Kardex!$B19)-SUMIFS(BaseEntrada!H:H,BaseEntrada!I:I,"&lt;="&amp;Kardex!$B$9,BaseEntrada!A:A,Kardex!$B19)</f>
        <v>0</v>
      </c>
      <c r="J19" s="89">
        <f>SUMIFS(BaseEntrada!G:G,BaseEntrada!I:I,"&lt;="&amp;Kardex!$C$9,BaseEntrada!A:A,Kardex!$B19)-SUMIFS(BaseEntrada!G:G,BaseEntrada!I:I,"&lt;="&amp;Kardex!$B$9,BaseEntrada!A:A,Kardex!$B19)</f>
        <v>0</v>
      </c>
      <c r="K19" s="89">
        <f>SUMIFS(BaseEntrada!H:H,BaseEntrada!I:I,"&lt;="&amp;Kardex!$C$9,BaseEntrada!A:A,Kardex!$B19)-SUMIFS(BaseEntrada!H:H,BaseEntrada!I:I,"&lt;="&amp;Kardex!$B$9,BaseEntrada!A:A,Kardex!$B19)</f>
        <v>0</v>
      </c>
      <c r="L19" s="89">
        <f t="shared" si="1"/>
        <v>0</v>
      </c>
    </row>
    <row r="20" spans="2:12" x14ac:dyDescent="0.3">
      <c r="B20" s="56" t="s">
        <v>70</v>
      </c>
      <c r="C20" s="83" t="s">
        <v>71</v>
      </c>
      <c r="D20" s="87">
        <f>SUMIFS(BaseEntrada!D:D,BaseEntrada!I:I,"&lt;="&amp;Kardex!$B$9,BaseEntrada!A:A,Kardex!$B20)-SUMIFS(BaseEntrada!E:E,BaseEntrada!I:I,"&lt;="&amp;Kardex!$B$9,BaseEntrada!A:A,Kardex!$B20)</f>
        <v>0</v>
      </c>
      <c r="E20" s="88">
        <f>SUMIFS(BaseEntrada!D:D,BaseEntrada!I:I,"&lt;="&amp;Kardex!$C$9,BaseEntrada!A:A,Kardex!$B20)-SUMIFS(BaseEntrada!D:D,BaseEntrada!I:I,"&lt;="&amp;Kardex!$B$9,BaseEntrada!A:A,Kardex!$B20)</f>
        <v>0</v>
      </c>
      <c r="F20" s="88">
        <f>SUMIFS(BaseEntrada!E:E,BaseEntrada!I:I,"&lt;="&amp;Kardex!$C$9,BaseEntrada!A:A,Kardex!$B20)-SUMIFS(BaseEntrada!E:E,BaseEntrada!I:I,"&lt;="&amp;Kardex!$B$9,BaseEntrada!A:A,Kardex!$B20)</f>
        <v>0</v>
      </c>
      <c r="G20" s="87">
        <f t="shared" si="0"/>
        <v>0</v>
      </c>
      <c r="I20" s="89">
        <f>SUMIFS(BaseEntrada!G:G,BaseEntrada!I:I,"&lt;="&amp;Kardex!$B$9,BaseEntrada!A:A,Kardex!$B20)-SUMIFS(BaseEntrada!H:H,BaseEntrada!I:I,"&lt;="&amp;Kardex!$B$9,BaseEntrada!A:A,Kardex!$B20)</f>
        <v>0</v>
      </c>
      <c r="J20" s="89">
        <f>SUMIFS(BaseEntrada!G:G,BaseEntrada!I:I,"&lt;="&amp;Kardex!$C$9,BaseEntrada!A:A,Kardex!$B20)-SUMIFS(BaseEntrada!G:G,BaseEntrada!I:I,"&lt;="&amp;Kardex!$B$9,BaseEntrada!A:A,Kardex!$B20)</f>
        <v>0</v>
      </c>
      <c r="K20" s="89">
        <f>SUMIFS(BaseEntrada!H:H,BaseEntrada!I:I,"&lt;="&amp;Kardex!$C$9,BaseEntrada!A:A,Kardex!$B20)-SUMIFS(BaseEntrada!H:H,BaseEntrada!I:I,"&lt;="&amp;Kardex!$B$9,BaseEntrada!A:A,Kardex!$B20)</f>
        <v>0</v>
      </c>
      <c r="L20" s="89">
        <f t="shared" si="1"/>
        <v>0</v>
      </c>
    </row>
    <row r="21" spans="2:12" x14ac:dyDescent="0.3">
      <c r="B21" s="56" t="s">
        <v>72</v>
      </c>
      <c r="C21" s="83" t="s">
        <v>73</v>
      </c>
      <c r="D21" s="87">
        <f>SUMIFS(BaseEntrada!D:D,BaseEntrada!I:I,"&lt;="&amp;Kardex!$B$9,BaseEntrada!A:A,Kardex!$B21)-SUMIFS(BaseEntrada!E:E,BaseEntrada!I:I,"&lt;="&amp;Kardex!$B$9,BaseEntrada!A:A,Kardex!$B21)</f>
        <v>0</v>
      </c>
      <c r="E21" s="88">
        <f>SUMIFS(BaseEntrada!D:D,BaseEntrada!I:I,"&lt;="&amp;Kardex!$C$9,BaseEntrada!A:A,Kardex!$B21)-SUMIFS(BaseEntrada!D:D,BaseEntrada!I:I,"&lt;="&amp;Kardex!$B$9,BaseEntrada!A:A,Kardex!$B21)</f>
        <v>300</v>
      </c>
      <c r="F21" s="88">
        <f>SUMIFS(BaseEntrada!E:E,BaseEntrada!I:I,"&lt;="&amp;Kardex!$C$9,BaseEntrada!A:A,Kardex!$B21)-SUMIFS(BaseEntrada!E:E,BaseEntrada!I:I,"&lt;="&amp;Kardex!$B$9,BaseEntrada!A:A,Kardex!$B21)</f>
        <v>0</v>
      </c>
      <c r="G21" s="87">
        <f t="shared" si="0"/>
        <v>300</v>
      </c>
      <c r="I21" s="89">
        <f>SUMIFS(BaseEntrada!G:G,BaseEntrada!I:I,"&lt;="&amp;Kardex!$B$9,BaseEntrada!A:A,Kardex!$B21)-SUMIFS(BaseEntrada!H:H,BaseEntrada!I:I,"&lt;="&amp;Kardex!$B$9,BaseEntrada!A:A,Kardex!$B21)</f>
        <v>0</v>
      </c>
      <c r="J21" s="89">
        <f>SUMIFS(BaseEntrada!G:G,BaseEntrada!I:I,"&lt;="&amp;Kardex!$C$9,BaseEntrada!A:A,Kardex!$B21)-SUMIFS(BaseEntrada!G:G,BaseEntrada!I:I,"&lt;="&amp;Kardex!$B$9,BaseEntrada!A:A,Kardex!$B21)</f>
        <v>0</v>
      </c>
      <c r="K21" s="89">
        <f>SUMIFS(BaseEntrada!H:H,BaseEntrada!I:I,"&lt;="&amp;Kardex!$C$9,BaseEntrada!A:A,Kardex!$B21)-SUMIFS(BaseEntrada!H:H,BaseEntrada!I:I,"&lt;="&amp;Kardex!$B$9,BaseEntrada!A:A,Kardex!$B21)</f>
        <v>0</v>
      </c>
      <c r="L21" s="89">
        <f t="shared" si="1"/>
        <v>0</v>
      </c>
    </row>
    <row r="22" spans="2:12" x14ac:dyDescent="0.3">
      <c r="B22" s="56" t="s">
        <v>74</v>
      </c>
      <c r="C22" s="83" t="s">
        <v>75</v>
      </c>
      <c r="D22" s="87">
        <f>SUMIFS(BaseEntrada!D:D,BaseEntrada!I:I,"&lt;="&amp;Kardex!$B$9,BaseEntrada!A:A,Kardex!$B22)-SUMIFS(BaseEntrada!E:E,BaseEntrada!I:I,"&lt;="&amp;Kardex!$B$9,BaseEntrada!A:A,Kardex!$B22)</f>
        <v>0</v>
      </c>
      <c r="E22" s="88">
        <f>SUMIFS(BaseEntrada!D:D,BaseEntrada!I:I,"&lt;="&amp;Kardex!$C$9,BaseEntrada!A:A,Kardex!$B22)-SUMIFS(BaseEntrada!D:D,BaseEntrada!I:I,"&lt;="&amp;Kardex!$B$9,BaseEntrada!A:A,Kardex!$B22)</f>
        <v>75</v>
      </c>
      <c r="F22" s="88">
        <f>SUMIFS(BaseEntrada!E:E,BaseEntrada!I:I,"&lt;="&amp;Kardex!$C$9,BaseEntrada!A:A,Kardex!$B22)-SUMIFS(BaseEntrada!E:E,BaseEntrada!I:I,"&lt;="&amp;Kardex!$B$9,BaseEntrada!A:A,Kardex!$B22)</f>
        <v>0</v>
      </c>
      <c r="G22" s="87">
        <f t="shared" si="0"/>
        <v>75</v>
      </c>
      <c r="I22" s="89">
        <f>SUMIFS(BaseEntrada!G:G,BaseEntrada!I:I,"&lt;="&amp;Kardex!$B$9,BaseEntrada!A:A,Kardex!$B22)-SUMIFS(BaseEntrada!H:H,BaseEntrada!I:I,"&lt;="&amp;Kardex!$B$9,BaseEntrada!A:A,Kardex!$B22)</f>
        <v>0</v>
      </c>
      <c r="J22" s="89">
        <f>SUMIFS(BaseEntrada!G:G,BaseEntrada!I:I,"&lt;="&amp;Kardex!$C$9,BaseEntrada!A:A,Kardex!$B22)-SUMIFS(BaseEntrada!G:G,BaseEntrada!I:I,"&lt;="&amp;Kardex!$B$9,BaseEntrada!A:A,Kardex!$B22)</f>
        <v>0</v>
      </c>
      <c r="K22" s="89">
        <f>SUMIFS(BaseEntrada!H:H,BaseEntrada!I:I,"&lt;="&amp;Kardex!$C$9,BaseEntrada!A:A,Kardex!$B22)-SUMIFS(BaseEntrada!H:H,BaseEntrada!I:I,"&lt;="&amp;Kardex!$B$9,BaseEntrada!A:A,Kardex!$B22)</f>
        <v>0</v>
      </c>
      <c r="L22" s="89">
        <f t="shared" si="1"/>
        <v>0</v>
      </c>
    </row>
    <row r="23" spans="2:12" x14ac:dyDescent="0.3">
      <c r="B23" s="56" t="s">
        <v>76</v>
      </c>
      <c r="C23" s="83" t="s">
        <v>77</v>
      </c>
      <c r="D23" s="87">
        <f>SUMIFS(BaseEntrada!D:D,BaseEntrada!I:I,"&lt;="&amp;Kardex!$B$9,BaseEntrada!A:A,Kardex!$B23)-SUMIFS(BaseEntrada!E:E,BaseEntrada!I:I,"&lt;="&amp;Kardex!$B$9,BaseEntrada!A:A,Kardex!$B23)</f>
        <v>0</v>
      </c>
      <c r="E23" s="88">
        <f>SUMIFS(BaseEntrada!D:D,BaseEntrada!I:I,"&lt;="&amp;Kardex!$C$9,BaseEntrada!A:A,Kardex!$B23)-SUMIFS(BaseEntrada!D:D,BaseEntrada!I:I,"&lt;="&amp;Kardex!$B$9,BaseEntrada!A:A,Kardex!$B23)</f>
        <v>125</v>
      </c>
      <c r="F23" s="88">
        <f>SUMIFS(BaseEntrada!E:E,BaseEntrada!I:I,"&lt;="&amp;Kardex!$C$9,BaseEntrada!A:A,Kardex!$B23)-SUMIFS(BaseEntrada!E:E,BaseEntrada!I:I,"&lt;="&amp;Kardex!$B$9,BaseEntrada!A:A,Kardex!$B23)</f>
        <v>0</v>
      </c>
      <c r="G23" s="87">
        <f t="shared" si="0"/>
        <v>125</v>
      </c>
      <c r="I23" s="89">
        <f>SUMIFS(BaseEntrada!G:G,BaseEntrada!I:I,"&lt;="&amp;Kardex!$B$9,BaseEntrada!A:A,Kardex!$B23)-SUMIFS(BaseEntrada!H:H,BaseEntrada!I:I,"&lt;="&amp;Kardex!$B$9,BaseEntrada!A:A,Kardex!$B23)</f>
        <v>0</v>
      </c>
      <c r="J23" s="89">
        <f>SUMIFS(BaseEntrada!G:G,BaseEntrada!I:I,"&lt;="&amp;Kardex!$C$9,BaseEntrada!A:A,Kardex!$B23)-SUMIFS(BaseEntrada!G:G,BaseEntrada!I:I,"&lt;="&amp;Kardex!$B$9,BaseEntrada!A:A,Kardex!$B23)</f>
        <v>0</v>
      </c>
      <c r="K23" s="89">
        <f>SUMIFS(BaseEntrada!H:H,BaseEntrada!I:I,"&lt;="&amp;Kardex!$C$9,BaseEntrada!A:A,Kardex!$B23)-SUMIFS(BaseEntrada!H:H,BaseEntrada!I:I,"&lt;="&amp;Kardex!$B$9,BaseEntrada!A:A,Kardex!$B23)</f>
        <v>0</v>
      </c>
      <c r="L23" s="89">
        <f t="shared" si="1"/>
        <v>0</v>
      </c>
    </row>
    <row r="24" spans="2:12" x14ac:dyDescent="0.3">
      <c r="B24" s="56" t="s">
        <v>78</v>
      </c>
      <c r="C24" s="83" t="s">
        <v>79</v>
      </c>
      <c r="D24" s="87">
        <f>SUMIFS(BaseEntrada!D:D,BaseEntrada!I:I,"&lt;="&amp;Kardex!$B$9,BaseEntrada!A:A,Kardex!$B24)-SUMIFS(BaseEntrada!E:E,BaseEntrada!I:I,"&lt;="&amp;Kardex!$B$9,BaseEntrada!A:A,Kardex!$B24)</f>
        <v>0</v>
      </c>
      <c r="E24" s="88">
        <f>SUMIFS(BaseEntrada!D:D,BaseEntrada!I:I,"&lt;="&amp;Kardex!$C$9,BaseEntrada!A:A,Kardex!$B24)-SUMIFS(BaseEntrada!D:D,BaseEntrada!I:I,"&lt;="&amp;Kardex!$B$9,BaseEntrada!A:A,Kardex!$B24)</f>
        <v>0</v>
      </c>
      <c r="F24" s="88">
        <f>SUMIFS(BaseEntrada!E:E,BaseEntrada!I:I,"&lt;="&amp;Kardex!$C$9,BaseEntrada!A:A,Kardex!$B24)-SUMIFS(BaseEntrada!E:E,BaseEntrada!I:I,"&lt;="&amp;Kardex!$B$9,BaseEntrada!A:A,Kardex!$B24)</f>
        <v>0</v>
      </c>
      <c r="G24" s="87">
        <f t="shared" si="0"/>
        <v>0</v>
      </c>
      <c r="I24" s="89">
        <f>SUMIFS(BaseEntrada!G:G,BaseEntrada!I:I,"&lt;="&amp;Kardex!$B$9,BaseEntrada!A:A,Kardex!$B24)-SUMIFS(BaseEntrada!H:H,BaseEntrada!I:I,"&lt;="&amp;Kardex!$B$9,BaseEntrada!A:A,Kardex!$B24)</f>
        <v>0</v>
      </c>
      <c r="J24" s="89">
        <f>SUMIFS(BaseEntrada!G:G,BaseEntrada!I:I,"&lt;="&amp;Kardex!$C$9,BaseEntrada!A:A,Kardex!$B24)-SUMIFS(BaseEntrada!G:G,BaseEntrada!I:I,"&lt;="&amp;Kardex!$B$9,BaseEntrada!A:A,Kardex!$B24)</f>
        <v>0</v>
      </c>
      <c r="K24" s="89">
        <f>SUMIFS(BaseEntrada!H:H,BaseEntrada!I:I,"&lt;="&amp;Kardex!$C$9,BaseEntrada!A:A,Kardex!$B24)-SUMIFS(BaseEntrada!H:H,BaseEntrada!I:I,"&lt;="&amp;Kardex!$B$9,BaseEntrada!A:A,Kardex!$B24)</f>
        <v>0</v>
      </c>
      <c r="L24" s="89">
        <f t="shared" si="1"/>
        <v>0</v>
      </c>
    </row>
    <row r="25" spans="2:12" x14ac:dyDescent="0.3">
      <c r="B25" s="56" t="s">
        <v>80</v>
      </c>
      <c r="C25" s="83" t="s">
        <v>81</v>
      </c>
      <c r="D25" s="87">
        <f>SUMIFS(BaseEntrada!D:D,BaseEntrada!I:I,"&lt;="&amp;Kardex!$B$9,BaseEntrada!A:A,Kardex!$B25)-SUMIFS(BaseEntrada!E:E,BaseEntrada!I:I,"&lt;="&amp;Kardex!$B$9,BaseEntrada!A:A,Kardex!$B25)</f>
        <v>0</v>
      </c>
      <c r="E25" s="88">
        <f>SUMIFS(BaseEntrada!D:D,BaseEntrada!I:I,"&lt;="&amp;Kardex!$C$9,BaseEntrada!A:A,Kardex!$B25)-SUMIFS(BaseEntrada!D:D,BaseEntrada!I:I,"&lt;="&amp;Kardex!$B$9,BaseEntrada!A:A,Kardex!$B25)</f>
        <v>100</v>
      </c>
      <c r="F25" s="88">
        <f>SUMIFS(BaseEntrada!E:E,BaseEntrada!I:I,"&lt;="&amp;Kardex!$C$9,BaseEntrada!A:A,Kardex!$B25)-SUMIFS(BaseEntrada!E:E,BaseEntrada!I:I,"&lt;="&amp;Kardex!$B$9,BaseEntrada!A:A,Kardex!$B25)</f>
        <v>0</v>
      </c>
      <c r="G25" s="87">
        <f t="shared" si="0"/>
        <v>100</v>
      </c>
      <c r="I25" s="89">
        <f>SUMIFS(BaseEntrada!G:G,BaseEntrada!I:I,"&lt;="&amp;Kardex!$B$9,BaseEntrada!A:A,Kardex!$B25)-SUMIFS(BaseEntrada!H:H,BaseEntrada!I:I,"&lt;="&amp;Kardex!$B$9,BaseEntrada!A:A,Kardex!$B25)</f>
        <v>0</v>
      </c>
      <c r="J25" s="89">
        <f>SUMIFS(BaseEntrada!G:G,BaseEntrada!I:I,"&lt;="&amp;Kardex!$C$9,BaseEntrada!A:A,Kardex!$B25)-SUMIFS(BaseEntrada!G:G,BaseEntrada!I:I,"&lt;="&amp;Kardex!$B$9,BaseEntrada!A:A,Kardex!$B25)</f>
        <v>0</v>
      </c>
      <c r="K25" s="89">
        <f>SUMIFS(BaseEntrada!H:H,BaseEntrada!I:I,"&lt;="&amp;Kardex!$C$9,BaseEntrada!A:A,Kardex!$B25)-SUMIFS(BaseEntrada!H:H,BaseEntrada!I:I,"&lt;="&amp;Kardex!$B$9,BaseEntrada!A:A,Kardex!$B25)</f>
        <v>0</v>
      </c>
      <c r="L25" s="89">
        <f t="shared" si="1"/>
        <v>0</v>
      </c>
    </row>
    <row r="26" spans="2:12" x14ac:dyDescent="0.3">
      <c r="B26" s="56" t="s">
        <v>82</v>
      </c>
      <c r="C26" s="83" t="s">
        <v>83</v>
      </c>
      <c r="D26" s="87">
        <f>SUMIFS(BaseEntrada!D:D,BaseEntrada!I:I,"&lt;="&amp;Kardex!$B$9,BaseEntrada!A:A,Kardex!$B26)-SUMIFS(BaseEntrada!E:E,BaseEntrada!I:I,"&lt;="&amp;Kardex!$B$9,BaseEntrada!A:A,Kardex!$B26)</f>
        <v>0</v>
      </c>
      <c r="E26" s="88">
        <f>SUMIFS(BaseEntrada!D:D,BaseEntrada!I:I,"&lt;="&amp;Kardex!$C$9,BaseEntrada!A:A,Kardex!$B26)-SUMIFS(BaseEntrada!D:D,BaseEntrada!I:I,"&lt;="&amp;Kardex!$B$9,BaseEntrada!A:A,Kardex!$B26)</f>
        <v>100</v>
      </c>
      <c r="F26" s="88">
        <f>SUMIFS(BaseEntrada!E:E,BaseEntrada!I:I,"&lt;="&amp;Kardex!$C$9,BaseEntrada!A:A,Kardex!$B26)-SUMIFS(BaseEntrada!E:E,BaseEntrada!I:I,"&lt;="&amp;Kardex!$B$9,BaseEntrada!A:A,Kardex!$B26)</f>
        <v>0</v>
      </c>
      <c r="G26" s="87">
        <f t="shared" si="0"/>
        <v>100</v>
      </c>
      <c r="I26" s="89">
        <f>SUMIFS(BaseEntrada!G:G,BaseEntrada!I:I,"&lt;="&amp;Kardex!$B$9,BaseEntrada!A:A,Kardex!$B26)-SUMIFS(BaseEntrada!H:H,BaseEntrada!I:I,"&lt;="&amp;Kardex!$B$9,BaseEntrada!A:A,Kardex!$B26)</f>
        <v>0</v>
      </c>
      <c r="J26" s="89">
        <f>SUMIFS(BaseEntrada!G:G,BaseEntrada!I:I,"&lt;="&amp;Kardex!$C$9,BaseEntrada!A:A,Kardex!$B26)-SUMIFS(BaseEntrada!G:G,BaseEntrada!I:I,"&lt;="&amp;Kardex!$B$9,BaseEntrada!A:A,Kardex!$B26)</f>
        <v>0</v>
      </c>
      <c r="K26" s="89">
        <f>SUMIFS(BaseEntrada!H:H,BaseEntrada!I:I,"&lt;="&amp;Kardex!$C$9,BaseEntrada!A:A,Kardex!$B26)-SUMIFS(BaseEntrada!H:H,BaseEntrada!I:I,"&lt;="&amp;Kardex!$B$9,BaseEntrada!A:A,Kardex!$B26)</f>
        <v>0</v>
      </c>
      <c r="L26" s="89">
        <f t="shared" si="1"/>
        <v>0</v>
      </c>
    </row>
    <row r="27" spans="2:12" x14ac:dyDescent="0.3">
      <c r="B27" s="56" t="s">
        <v>84</v>
      </c>
      <c r="C27" s="83" t="s">
        <v>85</v>
      </c>
      <c r="D27" s="87">
        <f>SUMIFS(BaseEntrada!D:D,BaseEntrada!I:I,"&lt;="&amp;Kardex!$B$9,BaseEntrada!A:A,Kardex!$B27)-SUMIFS(BaseEntrada!E:E,BaseEntrada!I:I,"&lt;="&amp;Kardex!$B$9,BaseEntrada!A:A,Kardex!$B27)</f>
        <v>0</v>
      </c>
      <c r="E27" s="88">
        <f>SUMIFS(BaseEntrada!D:D,BaseEntrada!I:I,"&lt;="&amp;Kardex!$C$9,BaseEntrada!A:A,Kardex!$B27)-SUMIFS(BaseEntrada!D:D,BaseEntrada!I:I,"&lt;="&amp;Kardex!$B$9,BaseEntrada!A:A,Kardex!$B27)</f>
        <v>0</v>
      </c>
      <c r="F27" s="88">
        <f>SUMIFS(BaseEntrada!E:E,BaseEntrada!I:I,"&lt;="&amp;Kardex!$C$9,BaseEntrada!A:A,Kardex!$B27)-SUMIFS(BaseEntrada!E:E,BaseEntrada!I:I,"&lt;="&amp;Kardex!$B$9,BaseEntrada!A:A,Kardex!$B27)</f>
        <v>0</v>
      </c>
      <c r="G27" s="87">
        <f t="shared" si="0"/>
        <v>0</v>
      </c>
      <c r="I27" s="89">
        <f>SUMIFS(BaseEntrada!G:G,BaseEntrada!I:I,"&lt;="&amp;Kardex!$B$9,BaseEntrada!A:A,Kardex!$B27)-SUMIFS(BaseEntrada!H:H,BaseEntrada!I:I,"&lt;="&amp;Kardex!$B$9,BaseEntrada!A:A,Kardex!$B27)</f>
        <v>0</v>
      </c>
      <c r="J27" s="89">
        <f>SUMIFS(BaseEntrada!G:G,BaseEntrada!I:I,"&lt;="&amp;Kardex!$C$9,BaseEntrada!A:A,Kardex!$B27)-SUMIFS(BaseEntrada!G:G,BaseEntrada!I:I,"&lt;="&amp;Kardex!$B$9,BaseEntrada!A:A,Kardex!$B27)</f>
        <v>0</v>
      </c>
      <c r="K27" s="89">
        <f>SUMIFS(BaseEntrada!H:H,BaseEntrada!I:I,"&lt;="&amp;Kardex!$C$9,BaseEntrada!A:A,Kardex!$B27)-SUMIFS(BaseEntrada!H:H,BaseEntrada!I:I,"&lt;="&amp;Kardex!$B$9,BaseEntrada!A:A,Kardex!$B27)</f>
        <v>0</v>
      </c>
      <c r="L27" s="89">
        <f t="shared" si="1"/>
        <v>0</v>
      </c>
    </row>
    <row r="28" spans="2:12" x14ac:dyDescent="0.3">
      <c r="B28" s="56" t="s">
        <v>86</v>
      </c>
      <c r="C28" s="83" t="s">
        <v>87</v>
      </c>
      <c r="D28" s="87">
        <f>SUMIFS(BaseEntrada!D:D,BaseEntrada!I:I,"&lt;="&amp;Kardex!$B$9,BaseEntrada!A:A,Kardex!$B28)-SUMIFS(BaseEntrada!E:E,BaseEntrada!I:I,"&lt;="&amp;Kardex!$B$9,BaseEntrada!A:A,Kardex!$B28)</f>
        <v>0</v>
      </c>
      <c r="E28" s="88">
        <f>SUMIFS(BaseEntrada!D:D,BaseEntrada!I:I,"&lt;="&amp;Kardex!$C$9,BaseEntrada!A:A,Kardex!$B28)-SUMIFS(BaseEntrada!D:D,BaseEntrada!I:I,"&lt;="&amp;Kardex!$B$9,BaseEntrada!A:A,Kardex!$B28)</f>
        <v>0</v>
      </c>
      <c r="F28" s="88">
        <f>SUMIFS(BaseEntrada!E:E,BaseEntrada!I:I,"&lt;="&amp;Kardex!$C$9,BaseEntrada!A:A,Kardex!$B28)-SUMIFS(BaseEntrada!E:E,BaseEntrada!I:I,"&lt;="&amp;Kardex!$B$9,BaseEntrada!A:A,Kardex!$B28)</f>
        <v>0</v>
      </c>
      <c r="G28" s="87">
        <f t="shared" si="0"/>
        <v>0</v>
      </c>
      <c r="I28" s="89">
        <f>SUMIFS(BaseEntrada!G:G,BaseEntrada!I:I,"&lt;="&amp;Kardex!$B$9,BaseEntrada!A:A,Kardex!$B28)-SUMIFS(BaseEntrada!H:H,BaseEntrada!I:I,"&lt;="&amp;Kardex!$B$9,BaseEntrada!A:A,Kardex!$B28)</f>
        <v>0</v>
      </c>
      <c r="J28" s="89">
        <f>SUMIFS(BaseEntrada!G:G,BaseEntrada!I:I,"&lt;="&amp;Kardex!$C$9,BaseEntrada!A:A,Kardex!$B28)-SUMIFS(BaseEntrada!G:G,BaseEntrada!I:I,"&lt;="&amp;Kardex!$B$9,BaseEntrada!A:A,Kardex!$B28)</f>
        <v>0</v>
      </c>
      <c r="K28" s="89">
        <f>SUMIFS(BaseEntrada!H:H,BaseEntrada!I:I,"&lt;="&amp;Kardex!$C$9,BaseEntrada!A:A,Kardex!$B28)-SUMIFS(BaseEntrada!H:H,BaseEntrada!I:I,"&lt;="&amp;Kardex!$B$9,BaseEntrada!A:A,Kardex!$B28)</f>
        <v>0</v>
      </c>
      <c r="L28" s="89">
        <f t="shared" si="1"/>
        <v>0</v>
      </c>
    </row>
    <row r="29" spans="2:12" x14ac:dyDescent="0.3">
      <c r="B29" s="56" t="s">
        <v>88</v>
      </c>
      <c r="C29" s="83" t="s">
        <v>89</v>
      </c>
      <c r="D29" s="87">
        <f>SUMIFS(BaseEntrada!D:D,BaseEntrada!I:I,"&lt;="&amp;Kardex!$B$9,BaseEntrada!A:A,Kardex!$B29)-SUMIFS(BaseEntrada!E:E,BaseEntrada!I:I,"&lt;="&amp;Kardex!$B$9,BaseEntrada!A:A,Kardex!$B29)</f>
        <v>0</v>
      </c>
      <c r="E29" s="88">
        <f>SUMIFS(BaseEntrada!D:D,BaseEntrada!I:I,"&lt;="&amp;Kardex!$C$9,BaseEntrada!A:A,Kardex!$B29)-SUMIFS(BaseEntrada!D:D,BaseEntrada!I:I,"&lt;="&amp;Kardex!$B$9,BaseEntrada!A:A,Kardex!$B29)</f>
        <v>0</v>
      </c>
      <c r="F29" s="88">
        <f>SUMIFS(BaseEntrada!E:E,BaseEntrada!I:I,"&lt;="&amp;Kardex!$C$9,BaseEntrada!A:A,Kardex!$B29)-SUMIFS(BaseEntrada!E:E,BaseEntrada!I:I,"&lt;="&amp;Kardex!$B$9,BaseEntrada!A:A,Kardex!$B29)</f>
        <v>0</v>
      </c>
      <c r="G29" s="87">
        <f t="shared" si="0"/>
        <v>0</v>
      </c>
      <c r="I29" s="89">
        <f>SUMIFS(BaseEntrada!G:G,BaseEntrada!I:I,"&lt;="&amp;Kardex!$B$9,BaseEntrada!A:A,Kardex!$B29)-SUMIFS(BaseEntrada!H:H,BaseEntrada!I:I,"&lt;="&amp;Kardex!$B$9,BaseEntrada!A:A,Kardex!$B29)</f>
        <v>0</v>
      </c>
      <c r="J29" s="89">
        <f>SUMIFS(BaseEntrada!G:G,BaseEntrada!I:I,"&lt;="&amp;Kardex!$C$9,BaseEntrada!A:A,Kardex!$B29)-SUMIFS(BaseEntrada!G:G,BaseEntrada!I:I,"&lt;="&amp;Kardex!$B$9,BaseEntrada!A:A,Kardex!$B29)</f>
        <v>0</v>
      </c>
      <c r="K29" s="89">
        <f>SUMIFS(BaseEntrada!H:H,BaseEntrada!I:I,"&lt;="&amp;Kardex!$C$9,BaseEntrada!A:A,Kardex!$B29)-SUMIFS(BaseEntrada!H:H,BaseEntrada!I:I,"&lt;="&amp;Kardex!$B$9,BaseEntrada!A:A,Kardex!$B29)</f>
        <v>0</v>
      </c>
      <c r="L29" s="89">
        <f t="shared" si="1"/>
        <v>0</v>
      </c>
    </row>
    <row r="30" spans="2:12" x14ac:dyDescent="0.3">
      <c r="B30" s="56" t="s">
        <v>90</v>
      </c>
      <c r="C30" s="83" t="s">
        <v>91</v>
      </c>
      <c r="D30" s="87">
        <f>SUMIFS(BaseEntrada!D:D,BaseEntrada!I:I,"&lt;="&amp;Kardex!$B$9,BaseEntrada!A:A,Kardex!$B30)-SUMIFS(BaseEntrada!E:E,BaseEntrada!I:I,"&lt;="&amp;Kardex!$B$9,BaseEntrada!A:A,Kardex!$B30)</f>
        <v>0</v>
      </c>
      <c r="E30" s="88">
        <f>SUMIFS(BaseEntrada!D:D,BaseEntrada!I:I,"&lt;="&amp;Kardex!$C$9,BaseEntrada!A:A,Kardex!$B30)-SUMIFS(BaseEntrada!D:D,BaseEntrada!I:I,"&lt;="&amp;Kardex!$B$9,BaseEntrada!A:A,Kardex!$B30)</f>
        <v>0</v>
      </c>
      <c r="F30" s="88">
        <f>SUMIFS(BaseEntrada!E:E,BaseEntrada!I:I,"&lt;="&amp;Kardex!$C$9,BaseEntrada!A:A,Kardex!$B30)-SUMIFS(BaseEntrada!E:E,BaseEntrada!I:I,"&lt;="&amp;Kardex!$B$9,BaseEntrada!A:A,Kardex!$B30)</f>
        <v>0</v>
      </c>
      <c r="G30" s="87">
        <f t="shared" si="0"/>
        <v>0</v>
      </c>
      <c r="I30" s="89">
        <f>SUMIFS(BaseEntrada!G:G,BaseEntrada!I:I,"&lt;="&amp;Kardex!$B$9,BaseEntrada!A:A,Kardex!$B30)-SUMIFS(BaseEntrada!H:H,BaseEntrada!I:I,"&lt;="&amp;Kardex!$B$9,BaseEntrada!A:A,Kardex!$B30)</f>
        <v>0</v>
      </c>
      <c r="J30" s="89">
        <f>SUMIFS(BaseEntrada!G:G,BaseEntrada!I:I,"&lt;="&amp;Kardex!$C$9,BaseEntrada!A:A,Kardex!$B30)-SUMIFS(BaseEntrada!G:G,BaseEntrada!I:I,"&lt;="&amp;Kardex!$B$9,BaseEntrada!A:A,Kardex!$B30)</f>
        <v>0</v>
      </c>
      <c r="K30" s="89">
        <f>SUMIFS(BaseEntrada!H:H,BaseEntrada!I:I,"&lt;="&amp;Kardex!$C$9,BaseEntrada!A:A,Kardex!$B30)-SUMIFS(BaseEntrada!H:H,BaseEntrada!I:I,"&lt;="&amp;Kardex!$B$9,BaseEntrada!A:A,Kardex!$B30)</f>
        <v>0</v>
      </c>
      <c r="L30" s="89">
        <f t="shared" si="1"/>
        <v>0</v>
      </c>
    </row>
    <row r="31" spans="2:12" x14ac:dyDescent="0.3">
      <c r="B31" s="56" t="s">
        <v>92</v>
      </c>
      <c r="C31" s="83" t="s">
        <v>93</v>
      </c>
      <c r="D31" s="87">
        <f>SUMIFS(BaseEntrada!D:D,BaseEntrada!I:I,"&lt;="&amp;Kardex!$B$9,BaseEntrada!A:A,Kardex!$B31)-SUMIFS(BaseEntrada!E:E,BaseEntrada!I:I,"&lt;="&amp;Kardex!$B$9,BaseEntrada!A:A,Kardex!$B31)</f>
        <v>0</v>
      </c>
      <c r="E31" s="88">
        <f>SUMIFS(BaseEntrada!D:D,BaseEntrada!I:I,"&lt;="&amp;Kardex!$C$9,BaseEntrada!A:A,Kardex!$B31)-SUMIFS(BaseEntrada!D:D,BaseEntrada!I:I,"&lt;="&amp;Kardex!$B$9,BaseEntrada!A:A,Kardex!$B31)</f>
        <v>0</v>
      </c>
      <c r="F31" s="88">
        <f>SUMIFS(BaseEntrada!E:E,BaseEntrada!I:I,"&lt;="&amp;Kardex!$C$9,BaseEntrada!A:A,Kardex!$B31)-SUMIFS(BaseEntrada!E:E,BaseEntrada!I:I,"&lt;="&amp;Kardex!$B$9,BaseEntrada!A:A,Kardex!$B31)</f>
        <v>0</v>
      </c>
      <c r="G31" s="87">
        <f t="shared" si="0"/>
        <v>0</v>
      </c>
      <c r="I31" s="89">
        <f>SUMIFS(BaseEntrada!G:G,BaseEntrada!I:I,"&lt;="&amp;Kardex!$B$9,BaseEntrada!A:A,Kardex!$B31)-SUMIFS(BaseEntrada!H:H,BaseEntrada!I:I,"&lt;="&amp;Kardex!$B$9,BaseEntrada!A:A,Kardex!$B31)</f>
        <v>0</v>
      </c>
      <c r="J31" s="89">
        <f>SUMIFS(BaseEntrada!G:G,BaseEntrada!I:I,"&lt;="&amp;Kardex!$C$9,BaseEntrada!A:A,Kardex!$B31)-SUMIFS(BaseEntrada!G:G,BaseEntrada!I:I,"&lt;="&amp;Kardex!$B$9,BaseEntrada!A:A,Kardex!$B31)</f>
        <v>0</v>
      </c>
      <c r="K31" s="89">
        <f>SUMIFS(BaseEntrada!H:H,BaseEntrada!I:I,"&lt;="&amp;Kardex!$C$9,BaseEntrada!A:A,Kardex!$B31)-SUMIFS(BaseEntrada!H:H,BaseEntrada!I:I,"&lt;="&amp;Kardex!$B$9,BaseEntrada!A:A,Kardex!$B31)</f>
        <v>0</v>
      </c>
      <c r="L31" s="89">
        <f t="shared" si="1"/>
        <v>0</v>
      </c>
    </row>
    <row r="32" spans="2:12" x14ac:dyDescent="0.3">
      <c r="B32" s="56"/>
      <c r="C32" s="83"/>
    </row>
    <row r="33" spans="2:3" x14ac:dyDescent="0.3">
      <c r="B33" s="56"/>
      <c r="C33" s="83"/>
    </row>
    <row r="34" spans="2:3" x14ac:dyDescent="0.3">
      <c r="B34" s="56"/>
      <c r="C34" s="83"/>
    </row>
    <row r="35" spans="2:3" x14ac:dyDescent="0.3">
      <c r="B35" s="56"/>
      <c r="C35" s="83"/>
    </row>
    <row r="36" spans="2:3" x14ac:dyDescent="0.3">
      <c r="B36" s="56"/>
      <c r="C36" s="83"/>
    </row>
    <row r="37" spans="2:3" x14ac:dyDescent="0.3">
      <c r="B37" s="56"/>
      <c r="C37" s="83"/>
    </row>
    <row r="38" spans="2:3" x14ac:dyDescent="0.3">
      <c r="B38" s="56"/>
      <c r="C38" s="83"/>
    </row>
    <row r="39" spans="2:3" x14ac:dyDescent="0.3">
      <c r="B39" s="56"/>
      <c r="C39" s="83"/>
    </row>
    <row r="40" spans="2:3" x14ac:dyDescent="0.3">
      <c r="B40" s="56"/>
      <c r="C40" s="83"/>
    </row>
    <row r="41" spans="2:3" x14ac:dyDescent="0.3">
      <c r="B41" s="56"/>
      <c r="C41" s="83"/>
    </row>
    <row r="42" spans="2:3" x14ac:dyDescent="0.3">
      <c r="B42" s="56"/>
      <c r="C42" s="83"/>
    </row>
    <row r="43" spans="2:3" x14ac:dyDescent="0.3">
      <c r="B43" s="56"/>
      <c r="C43" s="83"/>
    </row>
    <row r="44" spans="2:3" x14ac:dyDescent="0.3">
      <c r="B44" s="56"/>
      <c r="C44" s="83"/>
    </row>
    <row r="45" spans="2:3" x14ac:dyDescent="0.3">
      <c r="B45" s="56"/>
      <c r="C45" s="83"/>
    </row>
    <row r="46" spans="2:3" x14ac:dyDescent="0.3">
      <c r="B46" s="56"/>
      <c r="C46" s="83"/>
    </row>
    <row r="47" spans="2:3" x14ac:dyDescent="0.3">
      <c r="B47" s="56"/>
      <c r="C47" s="83"/>
    </row>
    <row r="48" spans="2:3" x14ac:dyDescent="0.3">
      <c r="B48" s="56"/>
      <c r="C48" s="83"/>
    </row>
    <row r="49" spans="2:3" x14ac:dyDescent="0.3">
      <c r="B49" s="56"/>
      <c r="C49" s="83"/>
    </row>
    <row r="50" spans="2:3" x14ac:dyDescent="0.3">
      <c r="B50" s="56"/>
      <c r="C50" s="83"/>
    </row>
    <row r="51" spans="2:3" x14ac:dyDescent="0.3">
      <c r="B51" s="56"/>
      <c r="C51" s="83"/>
    </row>
    <row r="52" spans="2:3" x14ac:dyDescent="0.3">
      <c r="B52" s="56"/>
      <c r="C52" s="83"/>
    </row>
  </sheetData>
  <sheetProtection algorithmName="SHA-512" hashValue="w6REIRCirp3SQStRh21W1neURrqM5DFMhtiDpVz4rAViEAUIi7tYpofPIbOt+YtyUz1HOQj+I3Dz76rmRn0sww==" saltValue="1blvsHAUfOu/KbutNR/F6Q==" spinCount="100000" sheet="1" objects="1" scenarios="1" formatCells="0" autoFilter="0"/>
  <mergeCells count="6">
    <mergeCell ref="D10:G10"/>
    <mergeCell ref="I10:L10"/>
    <mergeCell ref="A4:B4"/>
    <mergeCell ref="A1:L1"/>
    <mergeCell ref="A2:L2"/>
    <mergeCell ref="D4:E4"/>
  </mergeCells>
  <pageMargins left="0.7" right="0.38" top="0.47" bottom="0.75" header="0.3" footer="0.3"/>
  <pageSetup paperSize="128" scale="67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002060"/>
    <pageSetUpPr fitToPage="1"/>
  </sheetPr>
  <dimension ref="A1:M43"/>
  <sheetViews>
    <sheetView showGridLines="0" zoomScaleNormal="100" zoomScaleSheetLayoutView="98" workbookViewId="0">
      <pane ySplit="8" topLeftCell="A9" activePane="bottomLeft" state="frozen"/>
      <selection pane="bottomLeft" activeCell="D10" sqref="D10"/>
    </sheetView>
  </sheetViews>
  <sheetFormatPr baseColWidth="10" defaultColWidth="11" defaultRowHeight="14.4" x14ac:dyDescent="0.3"/>
  <cols>
    <col min="1" max="1" width="11" style="83"/>
    <col min="2" max="2" width="25.5" style="83" customWidth="1"/>
    <col min="3" max="3" width="5.69921875" style="56" customWidth="1"/>
    <col min="4" max="4" width="11" style="83" customWidth="1"/>
    <col min="5" max="5" width="10.8984375" style="83" customWidth="1"/>
    <col min="6" max="6" width="11" style="83" customWidth="1"/>
    <col min="7" max="7" width="36.19921875" style="83" customWidth="1"/>
    <col min="8" max="8" width="13" style="83" hidden="1" customWidth="1"/>
    <col min="9" max="9" width="16" style="83" hidden="1" customWidth="1"/>
    <col min="10" max="10" width="29.8984375" style="83" customWidth="1"/>
    <col min="11" max="11" width="12.69921875" style="83" hidden="1" customWidth="1"/>
    <col min="12" max="12" width="15.3984375" style="83" hidden="1" customWidth="1"/>
    <col min="13" max="13" width="42.59765625" style="83" hidden="1" customWidth="1"/>
    <col min="14" max="16384" width="11" style="93"/>
  </cols>
  <sheetData>
    <row r="1" spans="1:13" ht="18" x14ac:dyDescent="0.35">
      <c r="A1" s="92" t="s">
        <v>33</v>
      </c>
      <c r="B1" s="93"/>
      <c r="C1" s="94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13" x14ac:dyDescent="0.3">
      <c r="A2" s="95" t="s">
        <v>34</v>
      </c>
      <c r="B2" s="93"/>
      <c r="C2" s="94"/>
      <c r="D2" s="93"/>
      <c r="E2" s="93"/>
      <c r="F2" s="93"/>
      <c r="G2" s="93"/>
      <c r="H2" s="93"/>
      <c r="I2" s="93"/>
      <c r="J2" s="93"/>
      <c r="K2" s="93"/>
      <c r="L2" s="93"/>
      <c r="M2" s="93"/>
    </row>
    <row r="3" spans="1:13" ht="15" thickBot="1" x14ac:dyDescent="0.35">
      <c r="A3" s="93"/>
      <c r="B3" s="93"/>
      <c r="C3" s="94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x14ac:dyDescent="0.3">
      <c r="A4" s="108" t="s">
        <v>28</v>
      </c>
      <c r="B4" s="109"/>
      <c r="C4" s="94"/>
      <c r="D4" s="108" t="s">
        <v>32</v>
      </c>
      <c r="E4" s="109"/>
      <c r="F4" s="93"/>
      <c r="G4" s="93"/>
      <c r="H4" s="93"/>
      <c r="I4" s="93"/>
      <c r="J4" s="93"/>
      <c r="K4" s="93"/>
      <c r="L4" s="93"/>
      <c r="M4" s="93"/>
    </row>
    <row r="5" spans="1:13" x14ac:dyDescent="0.3">
      <c r="A5" s="66" t="s">
        <v>0</v>
      </c>
      <c r="B5" s="66" t="s">
        <v>1</v>
      </c>
      <c r="C5" s="94"/>
      <c r="D5" s="66" t="s">
        <v>35</v>
      </c>
      <c r="E5" s="66" t="s">
        <v>36</v>
      </c>
      <c r="F5" s="93"/>
      <c r="G5" s="93"/>
      <c r="H5" s="93"/>
      <c r="I5" s="93"/>
      <c r="J5" s="93"/>
      <c r="K5" s="93"/>
      <c r="L5" s="93"/>
      <c r="M5" s="93"/>
    </row>
    <row r="6" spans="1:13" x14ac:dyDescent="0.3">
      <c r="A6" s="96">
        <v>12551</v>
      </c>
      <c r="B6" s="97" t="str">
        <f>IFERROR(VLOOKUP(A6,Productos!A:D,2,0),"")</f>
        <v/>
      </c>
      <c r="C6" s="94"/>
      <c r="D6" s="68">
        <v>43306</v>
      </c>
      <c r="E6" s="68">
        <v>43723</v>
      </c>
      <c r="F6" s="93"/>
      <c r="G6" s="93"/>
      <c r="H6" s="93"/>
      <c r="I6" s="93"/>
      <c r="J6" s="93"/>
      <c r="K6" s="93"/>
      <c r="L6" s="93"/>
      <c r="M6" s="93"/>
    </row>
    <row r="7" spans="1:13" ht="11.25" customHeight="1" x14ac:dyDescent="0.3">
      <c r="A7" s="98"/>
      <c r="B7" s="93"/>
      <c r="C7" s="94"/>
      <c r="D7" s="110"/>
      <c r="E7" s="110"/>
      <c r="F7" s="93"/>
      <c r="G7" s="93"/>
      <c r="H7" s="93"/>
      <c r="I7" s="93"/>
      <c r="J7" s="93"/>
      <c r="K7" s="93"/>
      <c r="L7" s="93"/>
      <c r="M7" s="93"/>
    </row>
    <row r="8" spans="1:13" s="99" customFormat="1" x14ac:dyDescent="0.25">
      <c r="A8" s="50" t="s">
        <v>5</v>
      </c>
      <c r="B8" s="51" t="s">
        <v>4</v>
      </c>
      <c r="C8" s="52" t="s">
        <v>40</v>
      </c>
      <c r="D8" s="50" t="s">
        <v>37</v>
      </c>
      <c r="E8" s="50" t="s">
        <v>38</v>
      </c>
      <c r="F8" s="54" t="s">
        <v>10</v>
      </c>
      <c r="G8" s="51" t="s">
        <v>48</v>
      </c>
      <c r="H8" s="51" t="s">
        <v>8</v>
      </c>
      <c r="I8" s="53" t="s">
        <v>21</v>
      </c>
      <c r="J8" s="53" t="s">
        <v>22</v>
      </c>
      <c r="K8" s="51"/>
      <c r="L8" s="53"/>
      <c r="M8" s="53"/>
    </row>
    <row r="9" spans="1:13" x14ac:dyDescent="0.3">
      <c r="A9" s="56"/>
      <c r="B9" s="57"/>
      <c r="C9" s="58"/>
      <c r="D9" s="56"/>
      <c r="E9" s="56"/>
      <c r="F9" s="60"/>
      <c r="G9" s="57"/>
      <c r="H9" s="58"/>
      <c r="I9" s="58"/>
      <c r="J9" s="57"/>
      <c r="K9" s="58"/>
      <c r="L9" s="58"/>
      <c r="M9" s="57"/>
    </row>
    <row r="10" spans="1:13" x14ac:dyDescent="0.3">
      <c r="A10" s="56"/>
      <c r="B10" s="57"/>
      <c r="C10" s="58"/>
      <c r="D10" s="56"/>
      <c r="E10" s="56"/>
      <c r="F10" s="60"/>
      <c r="G10" s="57"/>
      <c r="H10" s="58"/>
      <c r="I10" s="58"/>
      <c r="J10" s="57"/>
      <c r="K10" s="58"/>
      <c r="L10" s="58"/>
      <c r="M10" s="57"/>
    </row>
    <row r="11" spans="1:13" x14ac:dyDescent="0.3">
      <c r="A11" s="56"/>
      <c r="B11" s="57"/>
      <c r="C11" s="58"/>
      <c r="D11" s="56"/>
      <c r="E11" s="56"/>
      <c r="F11" s="60"/>
      <c r="G11" s="57"/>
      <c r="H11" s="58"/>
      <c r="I11" s="58"/>
      <c r="J11" s="57"/>
      <c r="K11" s="58"/>
      <c r="L11" s="58"/>
      <c r="M11" s="57"/>
    </row>
    <row r="12" spans="1:13" x14ac:dyDescent="0.3">
      <c r="A12" s="56"/>
      <c r="B12" s="57"/>
      <c r="C12" s="58"/>
      <c r="D12" s="56"/>
      <c r="E12" s="56"/>
      <c r="F12" s="60"/>
      <c r="G12" s="57"/>
      <c r="H12" s="58"/>
      <c r="I12" s="58"/>
      <c r="J12" s="57"/>
      <c r="K12" s="58"/>
      <c r="L12" s="58"/>
      <c r="M12" s="57"/>
    </row>
    <row r="13" spans="1:13" x14ac:dyDescent="0.3">
      <c r="A13" s="56"/>
      <c r="B13" s="57"/>
      <c r="C13" s="58"/>
      <c r="D13" s="56"/>
      <c r="E13" s="56"/>
      <c r="F13" s="60"/>
      <c r="G13" s="57"/>
      <c r="H13" s="58"/>
      <c r="I13" s="58"/>
      <c r="J13" s="57"/>
      <c r="K13" s="58"/>
      <c r="L13" s="58"/>
      <c r="M13" s="57"/>
    </row>
    <row r="14" spans="1:13" x14ac:dyDescent="0.3">
      <c r="A14" s="56"/>
      <c r="B14" s="57"/>
      <c r="C14" s="58"/>
      <c r="D14" s="56"/>
      <c r="E14" s="56"/>
      <c r="F14" s="59"/>
      <c r="G14" s="59"/>
      <c r="H14" s="59"/>
      <c r="I14" s="60"/>
      <c r="J14" s="57"/>
      <c r="K14" s="58"/>
      <c r="L14" s="58"/>
      <c r="M14" s="57"/>
    </row>
    <row r="15" spans="1:13" x14ac:dyDescent="0.3">
      <c r="A15" s="56"/>
      <c r="B15" s="57"/>
      <c r="C15" s="58"/>
      <c r="D15" s="56"/>
      <c r="E15" s="56"/>
      <c r="F15" s="59"/>
      <c r="G15" s="59"/>
      <c r="H15" s="59"/>
      <c r="I15" s="60"/>
      <c r="J15" s="57"/>
      <c r="K15" s="58"/>
      <c r="L15" s="58"/>
      <c r="M15" s="57"/>
    </row>
    <row r="16" spans="1:13" x14ac:dyDescent="0.3">
      <c r="A16" s="56"/>
      <c r="B16" s="57"/>
      <c r="C16" s="58"/>
      <c r="D16" s="56"/>
      <c r="E16" s="56"/>
      <c r="F16" s="59"/>
      <c r="G16" s="59"/>
      <c r="H16" s="59"/>
      <c r="I16" s="60"/>
      <c r="J16" s="57"/>
      <c r="K16" s="58"/>
      <c r="L16" s="58"/>
      <c r="M16" s="57"/>
    </row>
    <row r="17" spans="1:13" x14ac:dyDescent="0.3">
      <c r="A17" s="56"/>
      <c r="B17" s="57"/>
      <c r="C17" s="58"/>
      <c r="D17" s="56"/>
      <c r="E17" s="56"/>
      <c r="F17" s="59"/>
      <c r="G17" s="59"/>
      <c r="H17" s="59"/>
      <c r="I17" s="60"/>
      <c r="J17" s="57"/>
      <c r="K17" s="58"/>
      <c r="L17" s="58"/>
      <c r="M17" s="57"/>
    </row>
    <row r="18" spans="1:13" x14ac:dyDescent="0.3">
      <c r="A18" s="56"/>
      <c r="B18" s="57"/>
      <c r="C18" s="58"/>
      <c r="D18" s="56"/>
      <c r="E18" s="56"/>
      <c r="F18" s="59"/>
      <c r="G18" s="59"/>
      <c r="H18" s="59"/>
      <c r="I18" s="60"/>
      <c r="J18" s="57"/>
      <c r="K18" s="58"/>
      <c r="L18" s="58"/>
      <c r="M18" s="57"/>
    </row>
    <row r="19" spans="1:13" x14ac:dyDescent="0.3">
      <c r="A19" s="56"/>
      <c r="B19" s="57"/>
      <c r="C19" s="58"/>
      <c r="D19" s="56"/>
      <c r="E19" s="56"/>
      <c r="F19" s="59"/>
      <c r="G19" s="59"/>
      <c r="H19" s="59"/>
      <c r="I19" s="60"/>
      <c r="J19" s="57"/>
      <c r="K19" s="58"/>
      <c r="L19" s="58"/>
      <c r="M19" s="57"/>
    </row>
    <row r="20" spans="1:13" x14ac:dyDescent="0.3">
      <c r="A20" s="56"/>
      <c r="B20" s="57"/>
      <c r="C20" s="58"/>
      <c r="D20" s="56"/>
      <c r="E20" s="56"/>
      <c r="F20" s="59"/>
      <c r="G20" s="59"/>
      <c r="H20" s="59"/>
      <c r="I20" s="60"/>
      <c r="J20" s="57"/>
      <c r="K20" s="58"/>
      <c r="L20" s="58"/>
      <c r="M20" s="57"/>
    </row>
    <row r="21" spans="1:13" x14ac:dyDescent="0.3">
      <c r="A21" s="56"/>
      <c r="B21" s="57"/>
      <c r="C21" s="58"/>
      <c r="D21" s="56"/>
      <c r="E21" s="56"/>
      <c r="F21" s="59"/>
      <c r="G21" s="59"/>
      <c r="H21" s="59"/>
      <c r="I21" s="60"/>
      <c r="J21" s="57"/>
      <c r="K21" s="58"/>
      <c r="L21" s="58"/>
      <c r="M21" s="57"/>
    </row>
    <row r="22" spans="1:13" x14ac:dyDescent="0.3">
      <c r="A22" s="56"/>
      <c r="B22" s="57"/>
      <c r="C22" s="58"/>
      <c r="D22" s="56"/>
      <c r="E22" s="56"/>
      <c r="F22" s="59"/>
      <c r="G22" s="59"/>
      <c r="H22" s="59"/>
      <c r="I22" s="60"/>
      <c r="J22" s="57"/>
      <c r="K22" s="58"/>
      <c r="L22" s="58"/>
      <c r="M22" s="57"/>
    </row>
    <row r="23" spans="1:13" x14ac:dyDescent="0.3">
      <c r="A23" s="56"/>
      <c r="B23" s="57"/>
      <c r="C23" s="58"/>
      <c r="D23" s="56"/>
      <c r="E23" s="56"/>
      <c r="F23" s="59"/>
      <c r="G23" s="59"/>
      <c r="H23" s="59"/>
      <c r="I23" s="60"/>
      <c r="J23" s="57"/>
      <c r="K23" s="58"/>
      <c r="L23" s="58"/>
      <c r="M23" s="57"/>
    </row>
    <row r="24" spans="1:13" x14ac:dyDescent="0.3">
      <c r="A24" s="56"/>
      <c r="B24" s="57"/>
      <c r="C24" s="58"/>
      <c r="D24" s="56"/>
      <c r="E24" s="56"/>
      <c r="F24" s="59"/>
      <c r="G24" s="59"/>
      <c r="H24" s="59"/>
      <c r="I24" s="60"/>
      <c r="J24" s="57"/>
      <c r="K24" s="58"/>
      <c r="L24" s="58"/>
      <c r="M24" s="57"/>
    </row>
    <row r="25" spans="1:13" x14ac:dyDescent="0.3">
      <c r="A25" s="56"/>
      <c r="B25" s="57"/>
      <c r="C25" s="58"/>
      <c r="D25" s="56"/>
      <c r="E25" s="56"/>
      <c r="F25" s="59"/>
      <c r="G25" s="59"/>
      <c r="H25" s="59"/>
      <c r="I25" s="60"/>
      <c r="J25" s="57"/>
      <c r="K25" s="58"/>
      <c r="L25" s="58"/>
      <c r="M25" s="57"/>
    </row>
    <row r="26" spans="1:13" x14ac:dyDescent="0.3">
      <c r="A26" s="56"/>
      <c r="B26" s="57"/>
      <c r="C26" s="58"/>
      <c r="D26" s="56"/>
      <c r="E26" s="56"/>
      <c r="F26" s="59"/>
      <c r="G26" s="59"/>
      <c r="H26" s="59"/>
      <c r="I26" s="60"/>
      <c r="J26" s="57"/>
      <c r="K26" s="58"/>
      <c r="L26" s="58"/>
      <c r="M26" s="57"/>
    </row>
    <row r="27" spans="1:13" x14ac:dyDescent="0.3">
      <c r="A27" s="56"/>
      <c r="B27" s="57"/>
      <c r="C27" s="58"/>
      <c r="D27" s="56"/>
      <c r="E27" s="56"/>
      <c r="F27" s="59"/>
      <c r="G27" s="59"/>
      <c r="H27" s="59"/>
      <c r="I27" s="60"/>
      <c r="J27" s="57"/>
      <c r="K27" s="58"/>
      <c r="L27" s="58"/>
      <c r="M27" s="57"/>
    </row>
    <row r="28" spans="1:13" x14ac:dyDescent="0.3">
      <c r="A28" s="56"/>
      <c r="B28" s="57"/>
      <c r="C28" s="58"/>
      <c r="D28" s="56"/>
      <c r="E28" s="56"/>
      <c r="F28" s="59"/>
      <c r="G28" s="59"/>
      <c r="H28" s="59"/>
      <c r="I28" s="60"/>
      <c r="J28" s="57"/>
      <c r="K28" s="58"/>
      <c r="L28" s="58"/>
      <c r="M28" s="57"/>
    </row>
    <row r="29" spans="1:13" x14ac:dyDescent="0.3">
      <c r="A29" s="56"/>
      <c r="B29" s="57"/>
      <c r="C29" s="58"/>
      <c r="D29" s="56"/>
      <c r="E29" s="56"/>
      <c r="F29" s="59"/>
      <c r="G29" s="59"/>
      <c r="H29" s="59"/>
      <c r="I29" s="60"/>
      <c r="J29" s="57"/>
      <c r="K29" s="58"/>
      <c r="L29" s="58"/>
      <c r="M29" s="57"/>
    </row>
    <row r="30" spans="1:13" x14ac:dyDescent="0.3">
      <c r="A30" s="56"/>
      <c r="B30" s="57"/>
      <c r="C30" s="58"/>
      <c r="D30" s="56"/>
      <c r="E30" s="56"/>
      <c r="F30" s="59"/>
      <c r="G30" s="59"/>
      <c r="H30" s="59"/>
      <c r="I30" s="60"/>
      <c r="J30" s="57"/>
      <c r="K30" s="58"/>
      <c r="L30" s="58"/>
      <c r="M30" s="57"/>
    </row>
    <row r="31" spans="1:13" x14ac:dyDescent="0.3">
      <c r="A31" s="56"/>
      <c r="B31" s="57"/>
      <c r="C31" s="58"/>
      <c r="D31" s="56"/>
      <c r="E31" s="56"/>
      <c r="F31" s="59"/>
      <c r="G31" s="59"/>
      <c r="H31" s="59"/>
      <c r="I31" s="60"/>
      <c r="J31" s="57"/>
      <c r="K31" s="58"/>
      <c r="L31" s="58"/>
      <c r="M31" s="57"/>
    </row>
    <row r="32" spans="1:13" x14ac:dyDescent="0.3">
      <c r="A32" s="56"/>
      <c r="B32" s="57"/>
      <c r="C32" s="58"/>
      <c r="D32" s="56"/>
      <c r="E32" s="56"/>
      <c r="F32" s="59"/>
      <c r="G32" s="59"/>
      <c r="H32" s="59"/>
      <c r="I32" s="60"/>
      <c r="J32" s="57"/>
      <c r="K32" s="58"/>
      <c r="L32" s="58"/>
      <c r="M32" s="57"/>
    </row>
    <row r="33" spans="1:13" x14ac:dyDescent="0.3">
      <c r="A33" s="56"/>
      <c r="B33" s="57"/>
      <c r="C33" s="58"/>
      <c r="D33" s="56"/>
      <c r="E33" s="56"/>
      <c r="F33" s="59"/>
      <c r="G33" s="59"/>
      <c r="H33" s="59"/>
      <c r="I33" s="60"/>
      <c r="J33" s="57"/>
      <c r="K33" s="58"/>
      <c r="L33" s="58"/>
      <c r="M33" s="57"/>
    </row>
    <row r="34" spans="1:13" x14ac:dyDescent="0.3">
      <c r="A34" s="56"/>
      <c r="B34" s="57"/>
      <c r="C34" s="58"/>
      <c r="D34" s="56"/>
      <c r="E34" s="56"/>
      <c r="F34" s="59"/>
      <c r="G34" s="59"/>
      <c r="H34" s="59"/>
      <c r="I34" s="60"/>
      <c r="J34" s="57"/>
      <c r="K34" s="58"/>
      <c r="L34" s="58"/>
      <c r="M34" s="57"/>
    </row>
    <row r="35" spans="1:13" x14ac:dyDescent="0.3">
      <c r="A35" s="56"/>
      <c r="B35" s="57"/>
      <c r="C35" s="58"/>
      <c r="D35" s="56"/>
      <c r="E35" s="56"/>
      <c r="F35" s="59"/>
      <c r="G35" s="59"/>
      <c r="H35" s="59"/>
      <c r="I35" s="60"/>
      <c r="J35" s="57"/>
      <c r="K35" s="58"/>
      <c r="L35" s="58"/>
      <c r="M35" s="57"/>
    </row>
    <row r="36" spans="1:13" x14ac:dyDescent="0.3">
      <c r="A36" s="56"/>
      <c r="B36" s="57"/>
      <c r="C36" s="58"/>
      <c r="D36" s="56"/>
      <c r="E36" s="56"/>
      <c r="F36" s="59"/>
      <c r="G36" s="59"/>
      <c r="H36" s="59"/>
      <c r="I36" s="60"/>
      <c r="J36" s="57"/>
      <c r="K36" s="58"/>
      <c r="L36" s="58"/>
      <c r="M36" s="57"/>
    </row>
    <row r="37" spans="1:13" x14ac:dyDescent="0.3">
      <c r="A37" s="56"/>
      <c r="B37" s="57"/>
      <c r="C37" s="58"/>
      <c r="D37" s="56"/>
      <c r="E37" s="56"/>
      <c r="F37" s="59"/>
      <c r="G37" s="59"/>
      <c r="H37" s="59"/>
      <c r="I37" s="60"/>
      <c r="J37" s="57"/>
      <c r="K37" s="58"/>
      <c r="L37" s="58"/>
      <c r="M37" s="57"/>
    </row>
    <row r="38" spans="1:13" x14ac:dyDescent="0.3">
      <c r="A38" s="56"/>
      <c r="B38" s="57"/>
      <c r="C38" s="58"/>
      <c r="D38" s="56"/>
      <c r="E38" s="56"/>
      <c r="F38" s="59"/>
      <c r="G38" s="59"/>
      <c r="H38" s="59"/>
      <c r="I38" s="60"/>
      <c r="J38" s="57"/>
      <c r="K38" s="58"/>
      <c r="L38" s="58"/>
      <c r="M38" s="57"/>
    </row>
    <row r="39" spans="1:13" x14ac:dyDescent="0.3">
      <c r="A39" s="56"/>
      <c r="B39" s="57"/>
      <c r="C39" s="58"/>
      <c r="D39" s="56"/>
      <c r="E39" s="56"/>
      <c r="F39" s="59"/>
      <c r="G39" s="59"/>
      <c r="H39" s="59"/>
      <c r="I39" s="60"/>
      <c r="J39" s="57"/>
      <c r="K39" s="58"/>
      <c r="L39" s="58"/>
      <c r="M39" s="57"/>
    </row>
    <row r="40" spans="1:13" x14ac:dyDescent="0.3">
      <c r="A40" s="56"/>
      <c r="B40" s="57"/>
      <c r="C40" s="58"/>
      <c r="D40" s="56"/>
      <c r="E40" s="56"/>
      <c r="F40" s="59"/>
      <c r="G40" s="59"/>
      <c r="H40" s="59"/>
      <c r="I40" s="60"/>
      <c r="J40" s="57"/>
      <c r="K40" s="58"/>
      <c r="L40" s="58"/>
      <c r="M40" s="57"/>
    </row>
    <row r="41" spans="1:13" x14ac:dyDescent="0.3">
      <c r="A41" s="56"/>
      <c r="B41" s="57"/>
      <c r="C41" s="58"/>
      <c r="D41" s="56"/>
      <c r="E41" s="56"/>
      <c r="F41" s="59"/>
      <c r="G41" s="59"/>
      <c r="H41" s="59"/>
      <c r="I41" s="60"/>
      <c r="J41" s="57"/>
      <c r="K41" s="58"/>
      <c r="L41" s="58"/>
      <c r="M41" s="57"/>
    </row>
    <row r="42" spans="1:13" x14ac:dyDescent="0.3">
      <c r="A42" s="56"/>
      <c r="B42" s="57"/>
      <c r="C42" s="58"/>
      <c r="D42" s="56"/>
      <c r="E42" s="56"/>
      <c r="F42" s="59"/>
      <c r="G42" s="59"/>
      <c r="H42" s="59"/>
      <c r="I42" s="60"/>
      <c r="J42" s="57"/>
      <c r="K42" s="58"/>
      <c r="L42" s="58"/>
      <c r="M42" s="57"/>
    </row>
    <row r="43" spans="1:13" x14ac:dyDescent="0.3">
      <c r="A43" s="56"/>
      <c r="B43" s="57"/>
      <c r="C43" s="58"/>
      <c r="D43" s="56"/>
      <c r="E43" s="56"/>
      <c r="F43" s="59"/>
      <c r="G43" s="59"/>
      <c r="H43" s="59"/>
      <c r="I43" s="60"/>
      <c r="J43" s="57"/>
      <c r="K43" s="58"/>
      <c r="L43" s="58"/>
      <c r="M43" s="57"/>
    </row>
  </sheetData>
  <sheetProtection algorithmName="SHA-512" hashValue="78ipYeNkEPHTdigHBoNnFuAxIrBJwuCV/9JiTn4GmkIwtIpY0t0K7VLNOA4ggtxfpVntb2WYpLGpvFkFT9MLvA==" saltValue="3Ba//pWg/XsrAfEFaV146A==" spinCount="100000" sheet="1" objects="1" scenarios="1" formatCells="0" formatColumns="0" formatRows="0" autoFilter="0" pivotTables="0"/>
  <mergeCells count="3">
    <mergeCell ref="D4:E4"/>
    <mergeCell ref="A4:B4"/>
    <mergeCell ref="D7:E7"/>
  </mergeCells>
  <pageMargins left="0.2" right="0.2" top="0.47" bottom="0.32" header="0.31496062992125984" footer="0.31496062992125984"/>
  <pageSetup scale="63" fitToHeight="100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boBox1">
          <controlPr defaultSize="0" autoLine="0" autoPict="0" r:id="rId5">
            <anchor moveWithCells="1">
              <from>
                <xdr:col>6</xdr:col>
                <xdr:colOff>114300</xdr:colOff>
                <xdr:row>4</xdr:row>
                <xdr:rowOff>182880</xdr:rowOff>
              </from>
              <to>
                <xdr:col>6</xdr:col>
                <xdr:colOff>2712720</xdr:colOff>
                <xdr:row>6</xdr:row>
                <xdr:rowOff>0</xdr:rowOff>
              </to>
            </anchor>
          </controlPr>
        </control>
      </mc:Choice>
      <mc:Fallback>
        <control shapeId="8195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Home</vt:lpstr>
      <vt:lpstr>Productos</vt:lpstr>
      <vt:lpstr>Clientes</vt:lpstr>
      <vt:lpstr>BaseNombres</vt:lpstr>
      <vt:lpstr>BaseEntrada</vt:lpstr>
      <vt:lpstr>REGISTRAR</vt:lpstr>
      <vt:lpstr>Kardex</vt:lpstr>
      <vt:lpstr>Movimientos</vt:lpstr>
      <vt:lpstr>REGISTRAR!Documento_FormEntrada</vt:lpstr>
      <vt:lpstr>REGISTRAR!Fecha_FormEntrada</vt:lpstr>
      <vt:lpstr>REGISTRAR!Fila_FormEntrada</vt:lpstr>
      <vt:lpstr>REGISTRAR!FormCliente</vt:lpstr>
      <vt:lpstr>REGISTRAR!FormulaEntrada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2019-02-08T04:19:52Z</cp:lastPrinted>
  <dcterms:created xsi:type="dcterms:W3CDTF">2018-05-12T20:41:46Z</dcterms:created>
  <dcterms:modified xsi:type="dcterms:W3CDTF">2021-11-07T03:11:51Z</dcterms:modified>
</cp:coreProperties>
</file>