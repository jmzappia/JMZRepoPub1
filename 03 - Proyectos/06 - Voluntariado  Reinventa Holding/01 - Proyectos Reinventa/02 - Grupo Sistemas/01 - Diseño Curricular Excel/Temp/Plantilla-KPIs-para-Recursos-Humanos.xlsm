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9.xml" ContentType="application/vnd.openxmlformats-officedocument.spreadsheetml.pivotTab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0.xml" ContentType="application/vnd.openxmlformats-officedocument.spreadsheetml.pivotTab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b98e41fc05090364/Ofimatica Empresarial/PLANTILLAS YOUTUBE/INDICADORES RRHH/"/>
    </mc:Choice>
  </mc:AlternateContent>
  <xr:revisionPtr revIDLastSave="442" documentId="13_ncr:1_{E4A12124-AE14-4CC9-AB03-80B0AFA642FE}" xr6:coauthVersionLast="43" xr6:coauthVersionMax="43" xr10:uidLastSave="{1B48AB37-7C6A-4719-86B4-5CE8BC6DC163}"/>
  <bookViews>
    <workbookView xWindow="-120" yWindow="-120" windowWidth="20730" windowHeight="11160" tabRatio="894" xr2:uid="{00000000-000D-0000-FFFF-FFFF00000000}"/>
  </bookViews>
  <sheets>
    <sheet name="Inicio" sheetId="2" r:id="rId1"/>
    <sheet name="Base" sheetId="1" r:id="rId2"/>
    <sheet name="Nempleados" sheetId="4" r:id="rId3"/>
    <sheet name="Planilla" sheetId="5" r:id="rId4"/>
    <sheet name="Sueldos" sheetId="6" r:id="rId5"/>
    <sheet name="Hextras" sheetId="7" r:id="rId6"/>
    <sheet name="Nocturnidad" sheetId="8" r:id="rId7"/>
    <sheet name="Comisiones" sheetId="9" r:id="rId8"/>
    <sheet name="Incapacidades" sheetId="10" r:id="rId9"/>
    <sheet name="Devengos" sheetId="11" r:id="rId10"/>
    <sheet name="Ventas" sheetId="12" r:id="rId11"/>
    <sheet name="IndPlanillaVentas" sheetId="13" r:id="rId12"/>
  </sheets>
  <definedNames>
    <definedName name="_xlnm._FilterDatabase" localSheetId="1" hidden="1">Base!$A$4:$K$4</definedName>
    <definedName name="BaseDatos">OFFSET(Base!$A$4,0,0,COUNTA(Base!$A$4:$A$999978),COUNTA(Base!$4:$4))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<sst xmlns="http://schemas.openxmlformats.org/spreadsheetml/2006/main" count="194" uniqueCount="48">
  <si>
    <t>Ene</t>
  </si>
  <si>
    <t>Feb</t>
  </si>
  <si>
    <t>Abr</t>
  </si>
  <si>
    <t>Nempleados</t>
  </si>
  <si>
    <t>Sueldo</t>
  </si>
  <si>
    <t>Hras Extras</t>
  </si>
  <si>
    <t>Nocturnidad</t>
  </si>
  <si>
    <t>Comisión</t>
  </si>
  <si>
    <t>Incapacidad</t>
  </si>
  <si>
    <t>Devengos</t>
  </si>
  <si>
    <t>Ventas</t>
  </si>
  <si>
    <t>Total general</t>
  </si>
  <si>
    <t>Mes</t>
  </si>
  <si>
    <t/>
  </si>
  <si>
    <t xml:space="preserve">Mes </t>
  </si>
  <si>
    <t xml:space="preserve">  Sueldo</t>
  </si>
  <si>
    <t xml:space="preserve">Hras Extras </t>
  </si>
  <si>
    <t xml:space="preserve">Nocturnidad </t>
  </si>
  <si>
    <t xml:space="preserve">Comisión </t>
  </si>
  <si>
    <t xml:space="preserve">Incapacidad </t>
  </si>
  <si>
    <t xml:space="preserve">Devengos </t>
  </si>
  <si>
    <t>Empleados</t>
  </si>
  <si>
    <t>Año</t>
  </si>
  <si>
    <t xml:space="preserve">Sueldo </t>
  </si>
  <si>
    <t xml:space="preserve">Ventas </t>
  </si>
  <si>
    <t xml:space="preserve"> %Planilla/Ventas </t>
  </si>
  <si>
    <t>May</t>
  </si>
  <si>
    <t>Jun</t>
  </si>
  <si>
    <t>Jul</t>
  </si>
  <si>
    <t>Ago</t>
  </si>
  <si>
    <t>Oct</t>
  </si>
  <si>
    <t>Nov</t>
  </si>
  <si>
    <t>Dic</t>
  </si>
  <si>
    <t>Mar</t>
  </si>
  <si>
    <t>Sep</t>
  </si>
  <si>
    <t>INDICADORES KPIS PARA RECURSOS HUMANOS</t>
  </si>
  <si>
    <t xml:space="preserve">INDICADOR COMPARATIVO DE NÚMERO DE EMPLEADOS </t>
  </si>
  <si>
    <t>INDICADOR DE PAGOS EN PLANILLA</t>
  </si>
  <si>
    <t>INDICADOR COMPARATIVO DE SUELDOS POR MES Y AÑO</t>
  </si>
  <si>
    <t>INDICADOR COMPARATIVO DE HORAS EXTRAS POR MES Y AÑO</t>
  </si>
  <si>
    <t>INDICADOR COMPARATIVO DE NOCTURNIDADES POR MES Y AÑO</t>
  </si>
  <si>
    <t>INDICADOR COMPARATIVO DE COMISIONES POR MES Y AÑO</t>
  </si>
  <si>
    <t>INDICADOR COMPARATIVO DE INCAPACIDADES POR MES Y AÑO</t>
  </si>
  <si>
    <t>INDICADOR COMPARATIVO DE OTROS DEVENGOS POR MES Y AÑO</t>
  </si>
  <si>
    <t>INDICADOR COMPARATIVO DE VENTAS POR MES Y AÑO</t>
  </si>
  <si>
    <t>Indicador Porcentaje de Ventas Tomadas para el Pago de Planilla</t>
  </si>
  <si>
    <t>BASE DE DATOS DE REGISTROS</t>
  </si>
  <si>
    <t>Mes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</si>
</sst>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_);[Red]\(&quot;$&quot;#,##0.00\)"/>
    <numFmt numFmtId="165" formatCode="_(&quot;$&quot;* #,##0.00_);_(&quot;$&quot;* \(#,##0.00\);_(&quot;$&quot;* &quot;-&quot;??_);_(@_)"/>
  </numFmts>
  <fonts count="15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u/>
      <sz val="11"/>
      <color theme="10"/>
      <name val="Century Gothic"/>
      <family val="2"/>
      <scheme val="minor"/>
    </font>
    <font>
      <sz val="11"/>
      <color theme="1"/>
      <name val="Calibri"/>
      <family val="2"/>
    </font>
    <font>
      <b/>
      <sz val="10"/>
      <color theme="0"/>
      <name val="Calibri"/>
      <family val="2"/>
    </font>
    <font>
      <b/>
      <sz val="11"/>
      <color theme="0"/>
      <name val="Calibri"/>
      <family val="2"/>
    </font>
    <font>
      <b/>
      <sz val="25"/>
      <color theme="0"/>
      <name val="Century Gothic"/>
      <family val="2"/>
      <scheme val="minor"/>
    </font>
    <font>
      <b/>
      <sz val="18"/>
      <color theme="4"/>
      <name val="Calibri"/>
      <family val="2"/>
    </font>
    <font>
      <b/>
      <sz val="14"/>
      <color theme="4"/>
      <name val="Century Gothic"/>
      <family val="2"/>
      <scheme val="major"/>
    </font>
    <font>
      <sz val="11"/>
      <color theme="1"/>
      <name val="Century Gothic"/>
      <family val="2"/>
      <scheme val="major"/>
    </font>
    <font>
      <b/>
      <sz val="18"/>
      <color theme="4"/>
      <name val="Century Gothic"/>
      <family val="2"/>
      <scheme val="major"/>
    </font>
    <font>
      <b/>
      <sz val="11"/>
      <color theme="1"/>
      <name val="Century Gothic"/>
      <family val="2"/>
      <scheme val="major"/>
    </font>
    <font>
      <b/>
      <sz val="15"/>
      <color theme="4"/>
      <name val="Century Gothic"/>
      <family val="2"/>
      <scheme val="major"/>
    </font>
    <font>
      <b/>
      <sz val="18"/>
      <color theme="4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FFC000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center"/>
    </xf>
    <xf numFmtId="0" fontId="3" fillId="0" borderId="0" xfId="2"/>
    <xf numFmtId="0" fontId="2" fillId="0" borderId="0" xfId="0" applyFont="1"/>
    <xf numFmtId="0" fontId="0" fillId="0" borderId="0" xfId="0" applyAlignment="1">
      <alignment horizontal="right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44" fontId="4" fillId="0" borderId="0" xfId="1" applyNumberFormat="1" applyFont="1"/>
    <xf numFmtId="0" fontId="4" fillId="0" borderId="0" xfId="0" applyFont="1"/>
    <xf numFmtId="0" fontId="5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44" fontId="6" fillId="2" borderId="0" xfId="1" applyNumberFormat="1" applyFont="1" applyFill="1" applyAlignment="1">
      <alignment horizontal="center" vertical="center" wrapText="1"/>
    </xf>
    <xf numFmtId="0" fontId="0" fillId="0" borderId="1" xfId="0" applyBorder="1"/>
    <xf numFmtId="164" fontId="0" fillId="0" borderId="1" xfId="0" applyNumberFormat="1" applyBorder="1"/>
    <xf numFmtId="0" fontId="9" fillId="0" borderId="0" xfId="0" applyFont="1"/>
    <xf numFmtId="0" fontId="10" fillId="0" borderId="0" xfId="0" applyFont="1"/>
    <xf numFmtId="0" fontId="10" fillId="0" borderId="0" xfId="0" pivotButton="1" applyFont="1"/>
    <xf numFmtId="0" fontId="10" fillId="0" borderId="0" xfId="0" pivotButton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NumberFormat="1" applyFont="1" applyAlignment="1">
      <alignment horizontal="center" vertical="center"/>
    </xf>
    <xf numFmtId="0" fontId="11" fillId="0" borderId="0" xfId="0" applyFont="1"/>
    <xf numFmtId="0" fontId="12" fillId="0" borderId="0" xfId="0" pivotButton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/>
    </xf>
    <xf numFmtId="165" fontId="10" fillId="0" borderId="0" xfId="0" applyNumberFormat="1" applyFont="1"/>
    <xf numFmtId="0" fontId="13" fillId="0" borderId="0" xfId="0" applyFont="1" applyAlignment="1">
      <alignment horizontal="left" vertical="center" readingOrder="1"/>
    </xf>
    <xf numFmtId="0" fontId="11" fillId="0" borderId="0" xfId="0" applyFont="1" applyAlignment="1">
      <alignment horizontal="left" vertical="center" readingOrder="1"/>
    </xf>
    <xf numFmtId="0" fontId="14" fillId="0" borderId="0" xfId="0" applyFont="1"/>
    <xf numFmtId="0" fontId="4" fillId="3" borderId="0" xfId="0" applyFont="1" applyFill="1" applyAlignment="1">
      <alignment horizontal="center"/>
    </xf>
    <xf numFmtId="44" fontId="4" fillId="3" borderId="0" xfId="1" applyNumberFormat="1" applyFont="1" applyFill="1"/>
    <xf numFmtId="0" fontId="4" fillId="3" borderId="0" xfId="0" applyFont="1" applyFill="1"/>
    <xf numFmtId="0" fontId="8" fillId="3" borderId="0" xfId="0" applyFont="1" applyFill="1" applyAlignment="1">
      <alignment horizontal="left"/>
    </xf>
    <xf numFmtId="0" fontId="7" fillId="2" borderId="1" xfId="0" applyFont="1" applyFill="1" applyBorder="1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132">
    <dxf>
      <numFmt numFmtId="14" formatCode="0.00%"/>
    </dxf>
    <dxf>
      <alignment horizontal="center" readingOrder="0"/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numFmt numFmtId="165" formatCode="_(&quot;$&quot;* #,##0.00_);_(&quot;$&quot;* \(#,##0.00\);_(&quot;$&quot;* &quot;-&quot;??_);_(@_)"/>
    </dxf>
    <dxf>
      <alignment horizontal="center" readingOrder="0"/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numFmt numFmtId="165" formatCode="_(&quot;$&quot;* #,##0.00_);_(&quot;$&quot;* \(#,##0.00\);_(&quot;$&quot;* &quot;-&quot;??_);_(@_)"/>
    </dxf>
    <dxf>
      <alignment horizontal="center" readingOrder="0"/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numFmt numFmtId="165" formatCode="_(&quot;$&quot;* #,##0.00_);_(&quot;$&quot;* \(#,##0.00\);_(&quot;$&quot;* &quot;-&quot;??_);_(@_)"/>
    </dxf>
    <dxf>
      <alignment horizontal="center" readingOrder="0"/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numFmt numFmtId="165" formatCode="_(&quot;$&quot;* #,##0.00_);_(&quot;$&quot;* \(#,##0.00\);_(&quot;$&quot;* &quot;-&quot;??_);_(@_)"/>
    </dxf>
    <dxf>
      <alignment horizontal="center" readingOrder="0"/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numFmt numFmtId="165" formatCode="_(&quot;$&quot;* #,##0.00_);_(&quot;$&quot;* \(#,##0.00\);_(&quot;$&quot;* &quot;-&quot;??_);_(@_)"/>
    </dxf>
    <dxf>
      <alignment horizontal="center" readingOrder="0"/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numFmt numFmtId="165" formatCode="_(&quot;$&quot;* #,##0.00_);_(&quot;$&quot;* \(#,##0.00\);_(&quot;$&quot;* &quot;-&quot;??_);_(@_)"/>
    </dxf>
    <dxf>
      <alignment horizontal="center" readingOrder="0"/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numFmt numFmtId="165" formatCode="_(&quot;$&quot;* #,##0.00_);_(&quot;$&quot;* \(#,##0.00\);_(&quot;$&quot;* &quot;-&quot;??_);_(@_)"/>
    </dxf>
    <dxf>
      <alignment horizontal="center" readingOrder="0"/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b/>
      </font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165" formatCode="_(&quot;$&quot;* #,##0.00_);_(&quot;$&quot;* \(#,##0.00\);_(&quot;$&quot;* &quot;-&quot;??_);_(@_)"/>
    </dxf>
    <dxf>
      <numFmt numFmtId="165" formatCode="_(&quot;$&quot;* #,##0.00_);_(&quot;$&quot;* \(#,##0.00\);_(&quot;$&quot;* &quot;-&quot;??_);_(@_)"/>
    </dxf>
    <dxf>
      <numFmt numFmtId="165" formatCode="_(&quot;$&quot;* #,##0.00_);_(&quot;$&quot;* \(#,##0.00\);_(&quot;$&quot;* &quot;-&quot;??_);_(@_)"/>
    </dxf>
    <dxf>
      <numFmt numFmtId="165" formatCode="_(&quot;$&quot;* #,##0.00_);_(&quot;$&quot;* \(#,##0.00\);_(&quot;$&quot;* &quot;-&quot;??_);_(@_)"/>
    </dxf>
    <dxf>
      <alignment horizontal="center" readingOrder="0"/>
    </dxf>
    <dxf>
      <alignment horizontal="center" readingOrder="0"/>
    </dxf>
    <dxf>
      <numFmt numFmtId="165" formatCode="_(&quot;$&quot;* #,##0.00_);_(&quot;$&quot;* \(#,##0.00\);_(&quot;$&quot;* &quot;-&quot;??_);_(@_)"/>
    </dxf>
    <dxf>
      <alignment horizontal="center" readingOrder="0"/>
    </dxf>
    <dxf>
      <font>
        <name val="Century Gothic"/>
        <family val="2"/>
        <scheme val="major"/>
      </font>
    </dxf>
    <dxf>
      <font>
        <name val="Century Gothic"/>
        <family val="2"/>
        <scheme val="major"/>
      </font>
    </dxf>
    <dxf>
      <font>
        <name val="Century Gothic"/>
        <family val="2"/>
        <scheme val="major"/>
      </font>
    </dxf>
    <dxf>
      <font>
        <name val="Century Gothic"/>
        <family val="2"/>
        <scheme val="major"/>
      </font>
    </dxf>
    <dxf>
      <font>
        <name val="Century Gothic"/>
        <family val="2"/>
        <scheme val="major"/>
      </font>
    </dxf>
    <dxf>
      <font>
        <name val="Century Gothic"/>
        <family val="2"/>
        <scheme val="major"/>
      </font>
    </dxf>
    <dxf>
      <font>
        <name val="Century Gothic"/>
        <family val="2"/>
        <scheme val="major"/>
      </font>
    </dxf>
    <dxf>
      <font>
        <name val="Century Gothic"/>
        <family val="2"/>
        <scheme val="major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INDICADORES RRHH.xlsm]Nempleados!Nempleados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Calibri" panose="020F0502020204030204" pitchFamily="34" charset="0"/>
              </a:defRPr>
            </a:pPr>
            <a:r>
              <a:rPr lang="es-SV"/>
              <a:t>Número de Empleados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Calibri" panose="020F050202020403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Nempleados!$B$4:$B$5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Nempleados!$A$6:$A$17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Nempleados!$B$6:$B$17</c:f>
              <c:numCache>
                <c:formatCode>General</c:formatCode>
                <c:ptCount val="12"/>
                <c:pt idx="0">
                  <c:v>115</c:v>
                </c:pt>
                <c:pt idx="1">
                  <c:v>119</c:v>
                </c:pt>
                <c:pt idx="2">
                  <c:v>125</c:v>
                </c:pt>
                <c:pt idx="3">
                  <c:v>126</c:v>
                </c:pt>
                <c:pt idx="4">
                  <c:v>123</c:v>
                </c:pt>
                <c:pt idx="5">
                  <c:v>128</c:v>
                </c:pt>
                <c:pt idx="6">
                  <c:v>129</c:v>
                </c:pt>
                <c:pt idx="7">
                  <c:v>130</c:v>
                </c:pt>
                <c:pt idx="8">
                  <c:v>145</c:v>
                </c:pt>
                <c:pt idx="9">
                  <c:v>143</c:v>
                </c:pt>
                <c:pt idx="10">
                  <c:v>150</c:v>
                </c:pt>
                <c:pt idx="11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2-4C61-A0DD-DC036C0243AE}"/>
            </c:ext>
          </c:extLst>
        </c:ser>
        <c:ser>
          <c:idx val="1"/>
          <c:order val="1"/>
          <c:tx>
            <c:strRef>
              <c:f>Nempleados!$C$4:$C$5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Nempleados!$A$6:$A$17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Nempleados!$C$6:$C$17</c:f>
              <c:numCache>
                <c:formatCode>General</c:formatCode>
                <c:ptCount val="12"/>
                <c:pt idx="0">
                  <c:v>158</c:v>
                </c:pt>
                <c:pt idx="1">
                  <c:v>159</c:v>
                </c:pt>
                <c:pt idx="2">
                  <c:v>165</c:v>
                </c:pt>
                <c:pt idx="3">
                  <c:v>160</c:v>
                </c:pt>
                <c:pt idx="4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92-4C61-A0DD-DC036C0243AE}"/>
            </c:ext>
          </c:extLst>
        </c:ser>
        <c:ser>
          <c:idx val="2"/>
          <c:order val="2"/>
          <c:tx>
            <c:strRef>
              <c:f>Nempleados!$D$4:$D$5</c:f>
              <c:strCache>
                <c:ptCount val="1"/>
                <c:pt idx="0">
                  <c:v>2021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Nempleados!$A$6:$A$17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Nempleados!$D$6:$D$17</c:f>
              <c:numCache>
                <c:formatCode>General</c:formatCode>
                <c:ptCount val="12"/>
                <c:pt idx="0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22-4B54-9485-4FF86A379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14304"/>
        <c:axId val="541412280"/>
      </c:lineChart>
      <c:catAx>
        <c:axId val="37601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541412280"/>
        <c:crosses val="autoZero"/>
        <c:auto val="1"/>
        <c:lblAlgn val="ctr"/>
        <c:lblOffset val="100"/>
        <c:noMultiLvlLbl val="0"/>
      </c:catAx>
      <c:valAx>
        <c:axId val="541412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376014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+mj-lt"/>
          <a:cs typeface="Calibri" panose="020F0502020204030204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INDICADORES RRHH.xlsm]Sueldos!Sueldos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Calibri" panose="020F0502020204030204" pitchFamily="34" charset="0"/>
              </a:defRPr>
            </a:pPr>
            <a:r>
              <a:rPr lang="es-SV"/>
              <a:t>REPORTE DE SUELDOS POR MES Y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Calibri" panose="020F050202020403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Sueldos!$B$4:$B$5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Sueldos!$A$6:$A$18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Sueldos!$B$6:$B$18</c:f>
              <c:numCache>
                <c:formatCode>_("$"* #,##0.00_);_("$"* \(#,##0.00\);_("$"* "-"??_);_(@_)</c:formatCode>
                <c:ptCount val="12"/>
                <c:pt idx="0">
                  <c:v>20325.2</c:v>
                </c:pt>
                <c:pt idx="1">
                  <c:v>23500</c:v>
                </c:pt>
                <c:pt idx="2">
                  <c:v>25230.25</c:v>
                </c:pt>
                <c:pt idx="3">
                  <c:v>25551.200000000001</c:v>
                </c:pt>
                <c:pt idx="4">
                  <c:v>24225.23</c:v>
                </c:pt>
                <c:pt idx="5">
                  <c:v>23525.23</c:v>
                </c:pt>
                <c:pt idx="6">
                  <c:v>25452.23</c:v>
                </c:pt>
                <c:pt idx="7">
                  <c:v>25952.23</c:v>
                </c:pt>
                <c:pt idx="8">
                  <c:v>26452.3</c:v>
                </c:pt>
                <c:pt idx="9">
                  <c:v>26750.23</c:v>
                </c:pt>
                <c:pt idx="10">
                  <c:v>27450.23</c:v>
                </c:pt>
                <c:pt idx="11">
                  <c:v>27152.23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90-45BE-8ACE-57E6AF97AE7A}"/>
            </c:ext>
          </c:extLst>
        </c:ser>
        <c:ser>
          <c:idx val="1"/>
          <c:order val="1"/>
          <c:tx>
            <c:strRef>
              <c:f>Sueldos!$C$4:$C$5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Sueldos!$A$6:$A$18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Sueldos!$C$6:$C$18</c:f>
              <c:numCache>
                <c:formatCode>_("$"* #,##0.00_);_("$"* \(#,##0.00\);_("$"* "-"??_);_(@_)</c:formatCode>
                <c:ptCount val="12"/>
                <c:pt idx="0">
                  <c:v>27845.23</c:v>
                </c:pt>
                <c:pt idx="1">
                  <c:v>27996.23</c:v>
                </c:pt>
                <c:pt idx="2">
                  <c:v>28452.23</c:v>
                </c:pt>
                <c:pt idx="3">
                  <c:v>27541.65</c:v>
                </c:pt>
                <c:pt idx="4">
                  <c:v>28225.65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0-45BE-8ACE-57E6AF97AE7A}"/>
            </c:ext>
          </c:extLst>
        </c:ser>
        <c:ser>
          <c:idx val="2"/>
          <c:order val="2"/>
          <c:tx>
            <c:strRef>
              <c:f>Sueldos!$D$4:$D$5</c:f>
              <c:strCache>
                <c:ptCount val="1"/>
                <c:pt idx="0">
                  <c:v>2021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Sueldos!$A$6:$A$18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Sueldos!$D$6:$D$18</c:f>
              <c:numCache>
                <c:formatCode>_("$"* #,##0.00_);_("$"* \(#,##0.00\);_("$"* "-"??_);_(@_)</c:formatCode>
                <c:ptCount val="12"/>
                <c:pt idx="0">
                  <c:v>28453.23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13-4A88-85C1-276299C13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631320"/>
        <c:axId val="377171040"/>
      </c:lineChart>
      <c:catAx>
        <c:axId val="37563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377171040"/>
        <c:crosses val="autoZero"/>
        <c:auto val="1"/>
        <c:lblAlgn val="ctr"/>
        <c:lblOffset val="100"/>
        <c:noMultiLvlLbl val="0"/>
      </c:catAx>
      <c:valAx>
        <c:axId val="37717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3756313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+mj-lt"/>
          <a:cs typeface="Calibri" panose="020F0502020204030204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INDICADORES RRHH.xlsm]Hextras!Hextras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Calibri" panose="020F0502020204030204" pitchFamily="34" charset="0"/>
              </a:defRPr>
            </a:pPr>
            <a:r>
              <a:rPr lang="es-SV"/>
              <a:t>REPORTE DE HORAS EXTRAS POR MES Y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Calibri" panose="020F050202020403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Hextras!$B$4:$B$5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Hextras!$A$6:$A$18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Hextras!$B$6:$B$18</c:f>
              <c:numCache>
                <c:formatCode>_("$"* #,##0.00_);_("$"* \(#,##0.00\);_("$"* "-"??_);_(@_)</c:formatCode>
                <c:ptCount val="12"/>
                <c:pt idx="0">
                  <c:v>1325.2</c:v>
                </c:pt>
                <c:pt idx="1">
                  <c:v>1500</c:v>
                </c:pt>
                <c:pt idx="2">
                  <c:v>1625.3</c:v>
                </c:pt>
                <c:pt idx="3">
                  <c:v>1723.2</c:v>
                </c:pt>
                <c:pt idx="4">
                  <c:v>1550.2</c:v>
                </c:pt>
                <c:pt idx="5">
                  <c:v>1440.5</c:v>
                </c:pt>
                <c:pt idx="6">
                  <c:v>1652.2</c:v>
                </c:pt>
                <c:pt idx="7">
                  <c:v>1752.23</c:v>
                </c:pt>
                <c:pt idx="8">
                  <c:v>745.23</c:v>
                </c:pt>
                <c:pt idx="9">
                  <c:v>1552.45</c:v>
                </c:pt>
                <c:pt idx="10">
                  <c:v>1650.23</c:v>
                </c:pt>
                <c:pt idx="11">
                  <c:v>1558.23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D-4AD2-80A5-152A22AEF601}"/>
            </c:ext>
          </c:extLst>
        </c:ser>
        <c:ser>
          <c:idx val="1"/>
          <c:order val="1"/>
          <c:tx>
            <c:strRef>
              <c:f>Hextras!$C$4:$C$5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Hextras!$A$6:$A$18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Hextras!$C$6:$C$18</c:f>
              <c:numCache>
                <c:formatCode>_("$"* #,##0.00_);_("$"* \(#,##0.00\);_("$"* "-"??_);_(@_)</c:formatCode>
                <c:ptCount val="12"/>
                <c:pt idx="0">
                  <c:v>1652.5</c:v>
                </c:pt>
                <c:pt idx="1">
                  <c:v>1554.23</c:v>
                </c:pt>
                <c:pt idx="2">
                  <c:v>1554.58</c:v>
                </c:pt>
                <c:pt idx="3">
                  <c:v>1563.23</c:v>
                </c:pt>
                <c:pt idx="4">
                  <c:v>1425.65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DD-4AD2-80A5-152A22AEF601}"/>
            </c:ext>
          </c:extLst>
        </c:ser>
        <c:ser>
          <c:idx val="2"/>
          <c:order val="2"/>
          <c:tx>
            <c:strRef>
              <c:f>Hextras!$D$4:$D$5</c:f>
              <c:strCache>
                <c:ptCount val="1"/>
                <c:pt idx="0">
                  <c:v>2021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Hextras!$A$6:$A$18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Hextras!$D$6:$D$18</c:f>
              <c:numCache>
                <c:formatCode>_("$"* #,##0.00_);_("$"* \(#,##0.00\);_("$"* "-"??_);_(@_)</c:formatCode>
                <c:ptCount val="12"/>
                <c:pt idx="0">
                  <c:v>1553.55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FE-4629-9640-7ABA95649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645208"/>
        <c:axId val="380645600"/>
      </c:lineChart>
      <c:catAx>
        <c:axId val="380645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380645600"/>
        <c:crosses val="autoZero"/>
        <c:auto val="1"/>
        <c:lblAlgn val="ctr"/>
        <c:lblOffset val="100"/>
        <c:noMultiLvlLbl val="0"/>
      </c:catAx>
      <c:valAx>
        <c:axId val="38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3806452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+mj-lt"/>
          <a:cs typeface="Calibri" panose="020F0502020204030204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INDICADORES RRHH.xlsm]Nocturnidad!Nocturnidad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Calibri" panose="020F0502020204030204" pitchFamily="34" charset="0"/>
              </a:defRPr>
            </a:pPr>
            <a:r>
              <a:rPr lang="es-SV"/>
              <a:t>REPORTE DE NOCTURNIDADES POR MES Y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Calibri" panose="020F050202020403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Nocturnidad!$B$4:$B$5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Nocturnidad!$A$6:$A$18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Nocturnidad!$B$6:$B$18</c:f>
              <c:numCache>
                <c:formatCode>_("$"* #,##0.00_);_("$"* \(#,##0.00\);_("$"* "-"??_);_(@_)</c:formatCode>
                <c:ptCount val="12"/>
                <c:pt idx="0">
                  <c:v>435.3</c:v>
                </c:pt>
                <c:pt idx="1">
                  <c:v>500</c:v>
                </c:pt>
                <c:pt idx="2">
                  <c:v>635.45000000000005</c:v>
                </c:pt>
                <c:pt idx="3">
                  <c:v>645.52</c:v>
                </c:pt>
                <c:pt idx="4">
                  <c:v>440.23</c:v>
                </c:pt>
                <c:pt idx="5">
                  <c:v>323.5</c:v>
                </c:pt>
                <c:pt idx="6">
                  <c:v>725.23</c:v>
                </c:pt>
                <c:pt idx="7">
                  <c:v>650.23</c:v>
                </c:pt>
                <c:pt idx="8">
                  <c:v>650.23</c:v>
                </c:pt>
                <c:pt idx="9">
                  <c:v>725.23</c:v>
                </c:pt>
                <c:pt idx="10">
                  <c:v>995.23</c:v>
                </c:pt>
                <c:pt idx="11">
                  <c:v>996.75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D-4B01-8026-DF342389306B}"/>
            </c:ext>
          </c:extLst>
        </c:ser>
        <c:ser>
          <c:idx val="1"/>
          <c:order val="1"/>
          <c:tx>
            <c:strRef>
              <c:f>Nocturnidad!$C$4:$C$5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Nocturnidad!$A$6:$A$18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Nocturnidad!$C$6:$C$18</c:f>
              <c:numCache>
                <c:formatCode>_("$"* #,##0.00_);_("$"* \(#,##0.00\);_("$"* "-"??_);_(@_)</c:formatCode>
                <c:ptCount val="12"/>
                <c:pt idx="0">
                  <c:v>1150.23</c:v>
                </c:pt>
                <c:pt idx="1">
                  <c:v>1095.45</c:v>
                </c:pt>
                <c:pt idx="2">
                  <c:v>1145.25</c:v>
                </c:pt>
                <c:pt idx="3">
                  <c:v>1050.25</c:v>
                </c:pt>
                <c:pt idx="4">
                  <c:v>999.88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FD-4B01-8026-DF342389306B}"/>
            </c:ext>
          </c:extLst>
        </c:ser>
        <c:ser>
          <c:idx val="2"/>
          <c:order val="2"/>
          <c:tx>
            <c:strRef>
              <c:f>Nocturnidad!$D$4:$D$5</c:f>
              <c:strCache>
                <c:ptCount val="1"/>
                <c:pt idx="0">
                  <c:v>2021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Nocturnidad!$A$6:$A$18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Nocturnidad!$D$6:$D$18</c:f>
              <c:numCache>
                <c:formatCode>_("$"* #,##0.00_);_("$"* \(#,##0.00\);_("$"* "-"??_);_(@_)</c:formatCode>
                <c:ptCount val="12"/>
                <c:pt idx="0">
                  <c:v>996.78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B5-4E06-A2B2-71E3FC92A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76576"/>
        <c:axId val="541412672"/>
      </c:lineChart>
      <c:catAx>
        <c:axId val="535576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541412672"/>
        <c:crosses val="autoZero"/>
        <c:auto val="1"/>
        <c:lblAlgn val="ctr"/>
        <c:lblOffset val="100"/>
        <c:noMultiLvlLbl val="0"/>
      </c:catAx>
      <c:valAx>
        <c:axId val="54141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535576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+mj-lt"/>
          <a:cs typeface="Calibri" panose="020F0502020204030204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INDICADORES RRHH.xlsm]Comisiones!Comisiones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Calibri" panose="020F0502020204030204" pitchFamily="34" charset="0"/>
              </a:defRPr>
            </a:pPr>
            <a:r>
              <a:rPr lang="es-SV"/>
              <a:t>REPORTE DE COMISIONES POR MES Y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Calibri" panose="020F050202020403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Comisiones!$B$4:$B$5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Comisiones!$A$6:$A$18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Comisiones!$B$6:$B$18</c:f>
              <c:numCache>
                <c:formatCode>_("$"* #,##0.00_);_("$"* \(#,##0.00\);_("$"* "-"??_);_(@_)</c:formatCode>
                <c:ptCount val="12"/>
                <c:pt idx="0">
                  <c:v>1735.89</c:v>
                </c:pt>
                <c:pt idx="1">
                  <c:v>1800</c:v>
                </c:pt>
                <c:pt idx="2">
                  <c:v>1840.6</c:v>
                </c:pt>
                <c:pt idx="3">
                  <c:v>1895.25</c:v>
                </c:pt>
                <c:pt idx="4">
                  <c:v>1750.96</c:v>
                </c:pt>
                <c:pt idx="5">
                  <c:v>1895.4</c:v>
                </c:pt>
                <c:pt idx="6">
                  <c:v>1995.23</c:v>
                </c:pt>
                <c:pt idx="7">
                  <c:v>2300.25</c:v>
                </c:pt>
                <c:pt idx="8">
                  <c:v>4200.2299999999996</c:v>
                </c:pt>
                <c:pt idx="9">
                  <c:v>3300.23</c:v>
                </c:pt>
                <c:pt idx="10">
                  <c:v>4500.2299999999996</c:v>
                </c:pt>
                <c:pt idx="11">
                  <c:v>3885.45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AF0-B766-232681CB45DD}"/>
            </c:ext>
          </c:extLst>
        </c:ser>
        <c:ser>
          <c:idx val="1"/>
          <c:order val="1"/>
          <c:tx>
            <c:strRef>
              <c:f>Comisiones!$C$4:$C$5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Comisiones!$A$6:$A$18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Comisiones!$C$6:$C$18</c:f>
              <c:numCache>
                <c:formatCode>_("$"* #,##0.00_);_("$"* \(#,##0.00\);_("$"* "-"??_);_(@_)</c:formatCode>
                <c:ptCount val="12"/>
                <c:pt idx="0">
                  <c:v>4852.2299999999996</c:v>
                </c:pt>
                <c:pt idx="1">
                  <c:v>4974.2299999999996</c:v>
                </c:pt>
                <c:pt idx="2">
                  <c:v>4587.2299999999996</c:v>
                </c:pt>
                <c:pt idx="3">
                  <c:v>4223.25</c:v>
                </c:pt>
                <c:pt idx="4">
                  <c:v>4150.2299999999996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AF0-B766-232681CB45DD}"/>
            </c:ext>
          </c:extLst>
        </c:ser>
        <c:ser>
          <c:idx val="2"/>
          <c:order val="2"/>
          <c:tx>
            <c:strRef>
              <c:f>Comisiones!$D$4:$D$5</c:f>
              <c:strCache>
                <c:ptCount val="1"/>
                <c:pt idx="0">
                  <c:v>2021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Comisiones!$A$6:$A$18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Comisiones!$D$6:$D$18</c:f>
              <c:numCache>
                <c:formatCode>_("$"* #,##0.00_);_("$"* \(#,##0.00\);_("$"* "-"??_);_(@_)</c:formatCode>
                <c:ptCount val="12"/>
                <c:pt idx="0">
                  <c:v>4588.58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5E-4FE8-B7AC-801C750E0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877040"/>
        <c:axId val="375627736"/>
      </c:lineChart>
      <c:catAx>
        <c:axId val="38087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375627736"/>
        <c:crosses val="autoZero"/>
        <c:auto val="1"/>
        <c:lblAlgn val="ctr"/>
        <c:lblOffset val="100"/>
        <c:noMultiLvlLbl val="0"/>
      </c:catAx>
      <c:valAx>
        <c:axId val="37562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380877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+mj-lt"/>
          <a:cs typeface="Calibri" panose="020F0502020204030204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INDICADORES RRHH.xlsm]Incapacidades!Incapacidades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Calibri" panose="020F0502020204030204" pitchFamily="34" charset="0"/>
              </a:defRPr>
            </a:pPr>
            <a:r>
              <a:rPr lang="es-SV"/>
              <a:t>REPORTE DE INCAPACIDADES POR MES Y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Calibri" panose="020F050202020403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Incapacidades!$B$4:$B$5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Incapacidades!$A$6:$A$18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Incapacidades!$B$6:$B$18</c:f>
              <c:numCache>
                <c:formatCode>_("$"* #,##0.00_);_("$"* \(#,##0.00\);_("$"* "-"??_);_(@_)</c:formatCode>
                <c:ptCount val="12"/>
                <c:pt idx="0">
                  <c:v>950.45</c:v>
                </c:pt>
                <c:pt idx="1">
                  <c:v>1000</c:v>
                </c:pt>
                <c:pt idx="2">
                  <c:v>1150.1400000000001</c:v>
                </c:pt>
                <c:pt idx="3">
                  <c:v>1251.2</c:v>
                </c:pt>
                <c:pt idx="4">
                  <c:v>1095.2</c:v>
                </c:pt>
                <c:pt idx="5">
                  <c:v>1232.2</c:v>
                </c:pt>
                <c:pt idx="6">
                  <c:v>1551.23</c:v>
                </c:pt>
                <c:pt idx="7">
                  <c:v>1652.23</c:v>
                </c:pt>
                <c:pt idx="8">
                  <c:v>1110.5</c:v>
                </c:pt>
                <c:pt idx="9">
                  <c:v>1023.5</c:v>
                </c:pt>
                <c:pt idx="10">
                  <c:v>1200.25</c:v>
                </c:pt>
                <c:pt idx="11">
                  <c:v>1543.6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F-4D2F-9BD3-E9DA7789D6CA}"/>
            </c:ext>
          </c:extLst>
        </c:ser>
        <c:ser>
          <c:idx val="1"/>
          <c:order val="1"/>
          <c:tx>
            <c:strRef>
              <c:f>Incapacidades!$C$4:$C$5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Incapacidades!$A$6:$A$18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Incapacidades!$C$6:$C$18</c:f>
              <c:numCache>
                <c:formatCode>_("$"* #,##0.00_);_("$"* \(#,##0.00\);_("$"* "-"??_);_(@_)</c:formatCode>
                <c:ptCount val="12"/>
                <c:pt idx="0">
                  <c:v>1222.45</c:v>
                </c:pt>
                <c:pt idx="1">
                  <c:v>1852.5</c:v>
                </c:pt>
                <c:pt idx="2">
                  <c:v>1456.74</c:v>
                </c:pt>
                <c:pt idx="3">
                  <c:v>1225.98</c:v>
                </c:pt>
                <c:pt idx="4">
                  <c:v>1223.8499999999999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F-4D2F-9BD3-E9DA7789D6CA}"/>
            </c:ext>
          </c:extLst>
        </c:ser>
        <c:ser>
          <c:idx val="2"/>
          <c:order val="2"/>
          <c:tx>
            <c:strRef>
              <c:f>Incapacidades!$D$4:$D$5</c:f>
              <c:strCache>
                <c:ptCount val="1"/>
                <c:pt idx="0">
                  <c:v>2021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Incapacidades!$A$6:$A$18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Incapacidades!$D$6:$D$18</c:f>
              <c:numCache>
                <c:formatCode>_("$"* #,##0.00_);_("$"* \(#,##0.00\);_("$"* "-"??_);_(@_)</c:formatCode>
                <c:ptCount val="12"/>
                <c:pt idx="0">
                  <c:v>1555.23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C-446D-BBD6-CB4C7EF95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170648"/>
        <c:axId val="541550008"/>
      </c:lineChart>
      <c:catAx>
        <c:axId val="377170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541550008"/>
        <c:crosses val="autoZero"/>
        <c:auto val="1"/>
        <c:lblAlgn val="ctr"/>
        <c:lblOffset val="100"/>
        <c:noMultiLvlLbl val="0"/>
      </c:catAx>
      <c:valAx>
        <c:axId val="54155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377170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+mj-lt"/>
          <a:cs typeface="Calibri" panose="020F0502020204030204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INDICADORES RRHH.xlsm]Devengos!Devengos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Calibri" panose="020F0502020204030204" pitchFamily="34" charset="0"/>
              </a:defRPr>
            </a:pPr>
            <a:r>
              <a:rPr lang="es-SV"/>
              <a:t>REPORTE DE OTROS DEVENGOS POR MES Y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Calibri" panose="020F050202020403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Devengos!$B$4:$B$5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Devengos!$A$6:$A$18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Devengos!$B$6:$B$18</c:f>
              <c:numCache>
                <c:formatCode>_("$"* #,##0.00_);_("$"* \(#,##0.00\);_("$"* "-"??_);_(@_)</c:formatCode>
                <c:ptCount val="12"/>
                <c:pt idx="0">
                  <c:v>1250.23</c:v>
                </c:pt>
                <c:pt idx="1">
                  <c:v>1500</c:v>
                </c:pt>
                <c:pt idx="2">
                  <c:v>1651.23</c:v>
                </c:pt>
                <c:pt idx="3">
                  <c:v>1715.25</c:v>
                </c:pt>
                <c:pt idx="4">
                  <c:v>1552.23</c:v>
                </c:pt>
                <c:pt idx="5">
                  <c:v>1453.2</c:v>
                </c:pt>
                <c:pt idx="6">
                  <c:v>1553.23</c:v>
                </c:pt>
                <c:pt idx="7">
                  <c:v>1223.5</c:v>
                </c:pt>
                <c:pt idx="8">
                  <c:v>1123.5</c:v>
                </c:pt>
                <c:pt idx="9">
                  <c:v>1252.25</c:v>
                </c:pt>
                <c:pt idx="10">
                  <c:v>1352.56</c:v>
                </c:pt>
                <c:pt idx="11">
                  <c:v>1852.4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18-40C3-AE94-75D26EC71B77}"/>
            </c:ext>
          </c:extLst>
        </c:ser>
        <c:ser>
          <c:idx val="1"/>
          <c:order val="1"/>
          <c:tx>
            <c:strRef>
              <c:f>Devengos!$C$4:$C$5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Devengos!$A$6:$A$18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Devengos!$C$6:$C$18</c:f>
              <c:numCache>
                <c:formatCode>_("$"* #,##0.00_);_("$"* \(#,##0.00\);_("$"* "-"??_);_(@_)</c:formatCode>
                <c:ptCount val="12"/>
                <c:pt idx="0">
                  <c:v>1741.52</c:v>
                </c:pt>
                <c:pt idx="1">
                  <c:v>1945.6</c:v>
                </c:pt>
                <c:pt idx="2">
                  <c:v>1845.65</c:v>
                </c:pt>
                <c:pt idx="3">
                  <c:v>1743.25</c:v>
                </c:pt>
                <c:pt idx="4">
                  <c:v>1785.45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18-40C3-AE94-75D26EC71B77}"/>
            </c:ext>
          </c:extLst>
        </c:ser>
        <c:ser>
          <c:idx val="2"/>
          <c:order val="2"/>
          <c:tx>
            <c:strRef>
              <c:f>Devengos!$D$4:$D$5</c:f>
              <c:strCache>
                <c:ptCount val="1"/>
                <c:pt idx="0">
                  <c:v>2021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Devengos!$A$6:$A$18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Devengos!$D$6:$D$18</c:f>
              <c:numCache>
                <c:formatCode>_("$"* #,##0.00_);_("$"* \(#,##0.00\);_("$"* "-"??_);_(@_)</c:formatCode>
                <c:ptCount val="12"/>
                <c:pt idx="0">
                  <c:v>1945.23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9-4307-9086-89277D3A4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2760"/>
        <c:axId val="645873152"/>
      </c:lineChart>
      <c:catAx>
        <c:axId val="64587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645873152"/>
        <c:crosses val="autoZero"/>
        <c:auto val="1"/>
        <c:lblAlgn val="ctr"/>
        <c:lblOffset val="100"/>
        <c:noMultiLvlLbl val="0"/>
      </c:catAx>
      <c:valAx>
        <c:axId val="64587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64587276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+mj-lt"/>
          <a:cs typeface="Calibri" panose="020F0502020204030204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INDICADORES RRHH.xlsm]Ventas!Ventas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Calibri" panose="020F0502020204030204" pitchFamily="34" charset="0"/>
              </a:defRPr>
            </a:pPr>
            <a:r>
              <a:rPr lang="es-SV"/>
              <a:t>REPORTE DE VENTAS POR MES Y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Calibri" panose="020F050202020403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j-lt"/>
                  <a:ea typeface="+mn-ea"/>
                  <a:cs typeface="Calibri" panose="020F0502020204030204" pitchFamily="34" charset="0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Ventas!$B$4:$B$5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Ventas!$A$6:$A$18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Ventas!$B$6:$B$18</c:f>
              <c:numCache>
                <c:formatCode>_("$"* #,##0.00_);_("$"* \(#,##0.00\);_("$"* "-"??_);_(@_)</c:formatCode>
                <c:ptCount val="12"/>
                <c:pt idx="0">
                  <c:v>435735.6</c:v>
                </c:pt>
                <c:pt idx="1">
                  <c:v>500000</c:v>
                </c:pt>
                <c:pt idx="2">
                  <c:v>551725.23</c:v>
                </c:pt>
                <c:pt idx="3">
                  <c:v>552750.5</c:v>
                </c:pt>
                <c:pt idx="4">
                  <c:v>540333.31999999995</c:v>
                </c:pt>
                <c:pt idx="5">
                  <c:v>535225.23</c:v>
                </c:pt>
                <c:pt idx="6">
                  <c:v>550223.31999999995</c:v>
                </c:pt>
                <c:pt idx="7">
                  <c:v>525453.25</c:v>
                </c:pt>
                <c:pt idx="8">
                  <c:v>540456.23</c:v>
                </c:pt>
                <c:pt idx="9">
                  <c:v>550950.23</c:v>
                </c:pt>
                <c:pt idx="10">
                  <c:v>555952.23</c:v>
                </c:pt>
                <c:pt idx="11">
                  <c:v>552453.96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B5-4798-B10D-E13E92B17DBB}"/>
            </c:ext>
          </c:extLst>
        </c:ser>
        <c:ser>
          <c:idx val="1"/>
          <c:order val="1"/>
          <c:tx>
            <c:strRef>
              <c:f>Ventas!$C$4:$C$5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Ventas!$A$6:$A$18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Ventas!$C$6:$C$18</c:f>
              <c:numCache>
                <c:formatCode>_("$"* #,##0.00_);_("$"* \(#,##0.00\);_("$"* "-"??_);_(@_)</c:formatCode>
                <c:ptCount val="12"/>
                <c:pt idx="0">
                  <c:v>556741.56000000006</c:v>
                </c:pt>
                <c:pt idx="1">
                  <c:v>557852.23</c:v>
                </c:pt>
                <c:pt idx="2">
                  <c:v>558785.23</c:v>
                </c:pt>
                <c:pt idx="3">
                  <c:v>557550.85</c:v>
                </c:pt>
                <c:pt idx="4">
                  <c:v>555452.23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B5-4798-B10D-E13E92B17DBB}"/>
            </c:ext>
          </c:extLst>
        </c:ser>
        <c:ser>
          <c:idx val="2"/>
          <c:order val="2"/>
          <c:tx>
            <c:strRef>
              <c:f>Ventas!$D$4:$D$5</c:f>
              <c:strCache>
                <c:ptCount val="1"/>
                <c:pt idx="0">
                  <c:v>2021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Ventas!$A$6:$A$18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Ventas!$D$6:$D$18</c:f>
              <c:numCache>
                <c:formatCode>_("$"* #,##0.00_);_("$"* \(#,##0.00\);_("$"* "-"??_);_(@_)</c:formatCode>
                <c:ptCount val="12"/>
                <c:pt idx="0">
                  <c:v>555625.23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C9-447D-9C91-74E81F2FC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877432"/>
        <c:axId val="234042696"/>
      </c:lineChart>
      <c:catAx>
        <c:axId val="380877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234042696"/>
        <c:crosses val="autoZero"/>
        <c:auto val="1"/>
        <c:lblAlgn val="ctr"/>
        <c:lblOffset val="100"/>
        <c:noMultiLvlLbl val="0"/>
      </c:catAx>
      <c:valAx>
        <c:axId val="23404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  <c:crossAx val="3808774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n-ea"/>
                <a:cs typeface="Calibri" panose="020F0502020204030204" pitchFamily="34" charset="0"/>
              </a:defRPr>
            </a:pPr>
            <a:endParaRPr lang="es-419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+mj-lt"/>
          <a:cs typeface="Calibri" panose="020F0502020204030204" pitchFamily="34" charset="0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INDICADORES RRHH.xlsm]IndPlanillaVentas!IndPlanillaVentas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SV"/>
              <a:t>Porcentaje</a:t>
            </a:r>
            <a:r>
              <a:rPr lang="es-SV" baseline="0"/>
              <a:t> que representa el pago de planilla en las ventas</a:t>
            </a:r>
            <a:endParaRPr lang="es-SV"/>
          </a:p>
        </c:rich>
      </c:tx>
      <c:layout>
        <c:manualLayout>
          <c:xMode val="edge"/>
          <c:yMode val="edge"/>
          <c:x val="0.11693115283666465"/>
          <c:y val="2.17983651226158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IndPlanillaVentas!$B$4:$B$5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IndPlanillaVentas!$A$6:$A$17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IndPlanillaVentas!$B$6:$B$17</c:f>
              <c:numCache>
                <c:formatCode>0.00%</c:formatCode>
                <c:ptCount val="12"/>
                <c:pt idx="0">
                  <c:v>5.9720321222319225E-2</c:v>
                </c:pt>
                <c:pt idx="1">
                  <c:v>5.96E-2</c:v>
                </c:pt>
                <c:pt idx="2">
                  <c:v>5.8240892844432721E-2</c:v>
                </c:pt>
                <c:pt idx="3">
                  <c:v>5.930635974096813E-2</c:v>
                </c:pt>
                <c:pt idx="4">
                  <c:v>5.6657712687420425E-2</c:v>
                </c:pt>
                <c:pt idx="5">
                  <c:v>5.5808336987402486E-2</c:v>
                </c:pt>
                <c:pt idx="6">
                  <c:v>5.9847245296691533E-2</c:v>
                </c:pt>
                <c:pt idx="7">
                  <c:v>6.3812851095696899E-2</c:v>
                </c:pt>
                <c:pt idx="8">
                  <c:v>6.3431575208227314E-2</c:v>
                </c:pt>
                <c:pt idx="9">
                  <c:v>6.2807651427970179E-2</c:v>
                </c:pt>
                <c:pt idx="10">
                  <c:v>6.6820003581962426E-2</c:v>
                </c:pt>
                <c:pt idx="11">
                  <c:v>6.695338015135234E-2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31-4FBD-B11F-CF80E04E3659}"/>
            </c:ext>
          </c:extLst>
        </c:ser>
        <c:ser>
          <c:idx val="1"/>
          <c:order val="1"/>
          <c:tx>
            <c:strRef>
              <c:f>IndPlanillaVentas!$C$4:$C$5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IndPlanillaVentas!$A$6:$A$17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IndPlanillaVentas!$C$6:$C$17</c:f>
              <c:numCache>
                <c:formatCode>0.00%</c:formatCode>
                <c:ptCount val="12"/>
                <c:pt idx="0">
                  <c:v>6.9087998388336583E-2</c:v>
                </c:pt>
                <c:pt idx="1">
                  <c:v>7.0660719595940308E-2</c:v>
                </c:pt>
                <c:pt idx="2">
                  <c:v>6.986884746398897E-2</c:v>
                </c:pt>
                <c:pt idx="3">
                  <c:v>6.6985118935788568E-2</c:v>
                </c:pt>
                <c:pt idx="4">
                  <c:v>6.807193842754039E-2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31-4FBD-B11F-CF80E04E3659}"/>
            </c:ext>
          </c:extLst>
        </c:ser>
        <c:ser>
          <c:idx val="2"/>
          <c:order val="2"/>
          <c:tx>
            <c:strRef>
              <c:f>IndPlanillaVentas!$D$4:$D$5</c:f>
              <c:strCache>
                <c:ptCount val="1"/>
                <c:pt idx="0">
                  <c:v>2021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IndPlanillaVentas!$A$6:$A$17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IndPlanillaVentas!$D$6:$D$17</c:f>
              <c:numCache>
                <c:formatCode>0.00%</c:formatCode>
                <c:ptCount val="12"/>
                <c:pt idx="0">
                  <c:v>7.0357856139830088E-2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E-4417-ACE4-7FC47EFE7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90712"/>
        <c:axId val="645875504"/>
      </c:lineChart>
      <c:catAx>
        <c:axId val="540590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645875504"/>
        <c:crosses val="autoZero"/>
        <c:auto val="1"/>
        <c:lblAlgn val="ctr"/>
        <c:lblOffset val="100"/>
        <c:noMultiLvlLbl val="0"/>
      </c:catAx>
      <c:valAx>
        <c:axId val="64587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5405907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Incapacidades!A1"/><Relationship Id="rId18" Type="http://schemas.openxmlformats.org/officeDocument/2006/relationships/image" Target="../media/image9.png"/><Relationship Id="rId3" Type="http://schemas.openxmlformats.org/officeDocument/2006/relationships/hyperlink" Target="#Planilla!A1"/><Relationship Id="rId21" Type="http://schemas.openxmlformats.org/officeDocument/2006/relationships/image" Target="../media/image11.png"/><Relationship Id="rId7" Type="http://schemas.openxmlformats.org/officeDocument/2006/relationships/hyperlink" Target="#Sueldos!A1"/><Relationship Id="rId12" Type="http://schemas.openxmlformats.org/officeDocument/2006/relationships/image" Target="../media/image6.png"/><Relationship Id="rId17" Type="http://schemas.openxmlformats.org/officeDocument/2006/relationships/hyperlink" Target="#IndPlanillaVentas!A1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Nempleados!A1"/><Relationship Id="rId6" Type="http://schemas.openxmlformats.org/officeDocument/2006/relationships/image" Target="../media/image3.png"/><Relationship Id="rId11" Type="http://schemas.openxmlformats.org/officeDocument/2006/relationships/hyperlink" Target="#Comisiones!A1"/><Relationship Id="rId24" Type="http://schemas.openxmlformats.org/officeDocument/2006/relationships/image" Target="../media/image13.png"/><Relationship Id="rId5" Type="http://schemas.openxmlformats.org/officeDocument/2006/relationships/hyperlink" Target="#Hextras!A1"/><Relationship Id="rId15" Type="http://schemas.openxmlformats.org/officeDocument/2006/relationships/hyperlink" Target="#Ventas!A1"/><Relationship Id="rId23" Type="http://schemas.openxmlformats.org/officeDocument/2006/relationships/image" Target="../media/image12.png"/><Relationship Id="rId10" Type="http://schemas.openxmlformats.org/officeDocument/2006/relationships/image" Target="../media/image5.png"/><Relationship Id="rId19" Type="http://schemas.openxmlformats.org/officeDocument/2006/relationships/hyperlink" Target="#Base!A1"/><Relationship Id="rId4" Type="http://schemas.openxmlformats.org/officeDocument/2006/relationships/image" Target="../media/image2.png"/><Relationship Id="rId9" Type="http://schemas.openxmlformats.org/officeDocument/2006/relationships/hyperlink" Target="#Nocturnidad!A1"/><Relationship Id="rId14" Type="http://schemas.openxmlformats.org/officeDocument/2006/relationships/image" Target="../media/image7.png"/><Relationship Id="rId22" Type="http://schemas.openxmlformats.org/officeDocument/2006/relationships/hyperlink" Target="#Deveng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jp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hyperlink" Target="#Inicio!A1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jpg"/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hyperlink" Target="#Inicio!A1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hyperlink" Target="#Inicio!A1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hyperlink" Target="#Inicio!A1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hyperlink" Target="#Inicio!A1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hyperlink" Target="#Inicio!A1"/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hyperlink" Target="#Inicio!A1"/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hyperlink" Target="#Inicio!A1"/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hyperlink" Target="#Inicio!A1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5</xdr:row>
      <xdr:rowOff>19050</xdr:rowOff>
    </xdr:from>
    <xdr:to>
      <xdr:col>4</xdr:col>
      <xdr:colOff>51906</xdr:colOff>
      <xdr:row>10</xdr:row>
      <xdr:rowOff>1613</xdr:rowOff>
    </xdr:to>
    <xdr:pic>
      <xdr:nvPicPr>
        <xdr:cNvPr id="25" name="Imagen 24">
          <a:hlinkClick xmlns:r="http://schemas.openxmlformats.org/officeDocument/2006/relationships" r:id="rId1" tooltip="Numero de Empleados"/>
          <a:extLst>
            <a:ext uri="{FF2B5EF4-FFF2-40B4-BE49-F238E27FC236}">
              <a16:creationId xmlns:a16="http://schemas.microsoft.com/office/drawing/2014/main" id="{6EC063AB-4A0F-4EA6-BE00-E9E200CA3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0" y="1095375"/>
          <a:ext cx="1042506" cy="1030313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476250</xdr:colOff>
      <xdr:row>5</xdr:row>
      <xdr:rowOff>57150</xdr:rowOff>
    </xdr:from>
    <xdr:to>
      <xdr:col>5</xdr:col>
      <xdr:colOff>424502</xdr:colOff>
      <xdr:row>10</xdr:row>
      <xdr:rowOff>27520</xdr:rowOff>
    </xdr:to>
    <xdr:pic>
      <xdr:nvPicPr>
        <xdr:cNvPr id="26" name="Imagen 25">
          <a:hlinkClick xmlns:r="http://schemas.openxmlformats.org/officeDocument/2006/relationships" r:id="rId3" tooltip="Planilla"/>
          <a:extLst>
            <a:ext uri="{FF2B5EF4-FFF2-40B4-BE49-F238E27FC236}">
              <a16:creationId xmlns:a16="http://schemas.microsoft.com/office/drawing/2014/main" id="{458BA368-168E-4B26-ACE9-10A7C9AB2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90850" y="1133475"/>
          <a:ext cx="786452" cy="1018120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5</xdr:row>
      <xdr:rowOff>0</xdr:rowOff>
    </xdr:from>
    <xdr:to>
      <xdr:col>8</xdr:col>
      <xdr:colOff>541123</xdr:colOff>
      <xdr:row>9</xdr:row>
      <xdr:rowOff>179920</xdr:rowOff>
    </xdr:to>
    <xdr:pic>
      <xdr:nvPicPr>
        <xdr:cNvPr id="27" name="Imagen 26">
          <a:hlinkClick xmlns:r="http://schemas.openxmlformats.org/officeDocument/2006/relationships" r:id="rId5" tooltip="Horas Extras"/>
          <a:extLst>
            <a:ext uri="{FF2B5EF4-FFF2-40B4-BE49-F238E27FC236}">
              <a16:creationId xmlns:a16="http://schemas.microsoft.com/office/drawing/2014/main" id="{079F557E-44A5-46D6-BBF0-B4B618A9D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19700" y="1076325"/>
          <a:ext cx="1188823" cy="1018120"/>
        </a:xfrm>
        <a:prstGeom prst="rect">
          <a:avLst/>
        </a:prstGeom>
      </xdr:spPr>
    </xdr:pic>
    <xdr:clientData/>
  </xdr:twoCellAnchor>
  <xdr:twoCellAnchor editAs="oneCell">
    <xdr:from>
      <xdr:col>5</xdr:col>
      <xdr:colOff>828675</xdr:colOff>
      <xdr:row>5</xdr:row>
      <xdr:rowOff>0</xdr:rowOff>
    </xdr:from>
    <xdr:to>
      <xdr:col>7</xdr:col>
      <xdr:colOff>42368</xdr:colOff>
      <xdr:row>10</xdr:row>
      <xdr:rowOff>853</xdr:rowOff>
    </xdr:to>
    <xdr:pic>
      <xdr:nvPicPr>
        <xdr:cNvPr id="28" name="Imagen 27">
          <a:hlinkClick xmlns:r="http://schemas.openxmlformats.org/officeDocument/2006/relationships" r:id="rId7" tooltip="Sueldos"/>
          <a:extLst>
            <a:ext uri="{FF2B5EF4-FFF2-40B4-BE49-F238E27FC236}">
              <a16:creationId xmlns:a16="http://schemas.microsoft.com/office/drawing/2014/main" id="{8CD580E6-5D93-4D41-B24B-159C0F5A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81475" y="1076325"/>
          <a:ext cx="890093" cy="1048603"/>
        </a:xfrm>
        <a:prstGeom prst="rect">
          <a:avLst/>
        </a:prstGeom>
      </xdr:spPr>
    </xdr:pic>
    <xdr:clientData/>
  </xdr:twoCellAnchor>
  <xdr:twoCellAnchor editAs="oneCell">
    <xdr:from>
      <xdr:col>8</xdr:col>
      <xdr:colOff>676275</xdr:colOff>
      <xdr:row>4</xdr:row>
      <xdr:rowOff>190500</xdr:rowOff>
    </xdr:from>
    <xdr:to>
      <xdr:col>10</xdr:col>
      <xdr:colOff>328918</xdr:colOff>
      <xdr:row>10</xdr:row>
      <xdr:rowOff>853</xdr:rowOff>
    </xdr:to>
    <xdr:pic>
      <xdr:nvPicPr>
        <xdr:cNvPr id="29" name="Imagen 28">
          <a:hlinkClick xmlns:r="http://schemas.openxmlformats.org/officeDocument/2006/relationships" r:id="rId9" tooltip="Nocturnidad"/>
          <a:extLst>
            <a:ext uri="{FF2B5EF4-FFF2-40B4-BE49-F238E27FC236}">
              <a16:creationId xmlns:a16="http://schemas.microsoft.com/office/drawing/2014/main" id="{699854C2-92DC-47A7-91FA-9D658A40B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543675" y="1028700"/>
          <a:ext cx="1329043" cy="104860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152400</xdr:rowOff>
    </xdr:from>
    <xdr:to>
      <xdr:col>2</xdr:col>
      <xdr:colOff>490843</xdr:colOff>
      <xdr:row>16</xdr:row>
      <xdr:rowOff>191353</xdr:rowOff>
    </xdr:to>
    <xdr:pic>
      <xdr:nvPicPr>
        <xdr:cNvPr id="30" name="Imagen 29">
          <a:hlinkClick xmlns:r="http://schemas.openxmlformats.org/officeDocument/2006/relationships" r:id="rId11" tooltip="Comisiones"/>
          <a:extLst>
            <a:ext uri="{FF2B5EF4-FFF2-40B4-BE49-F238E27FC236}">
              <a16:creationId xmlns:a16="http://schemas.microsoft.com/office/drawing/2014/main" id="{5E218A3D-C362-407A-B1B1-20A7B3324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2486025"/>
          <a:ext cx="1329043" cy="1048603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457200</xdr:colOff>
      <xdr:row>11</xdr:row>
      <xdr:rowOff>152400</xdr:rowOff>
    </xdr:from>
    <xdr:to>
      <xdr:col>4</xdr:col>
      <xdr:colOff>115940</xdr:colOff>
      <xdr:row>16</xdr:row>
      <xdr:rowOff>191353</xdr:rowOff>
    </xdr:to>
    <xdr:pic>
      <xdr:nvPicPr>
        <xdr:cNvPr id="31" name="Imagen 30">
          <a:hlinkClick xmlns:r="http://schemas.openxmlformats.org/officeDocument/2006/relationships" r:id="rId13" tooltip="Incapacidades"/>
          <a:extLst>
            <a:ext uri="{FF2B5EF4-FFF2-40B4-BE49-F238E27FC236}">
              <a16:creationId xmlns:a16="http://schemas.microsoft.com/office/drawing/2014/main" id="{0821B2AD-F76F-4CBF-B228-BCD1C5F73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95400" y="2486025"/>
          <a:ext cx="1335140" cy="1048603"/>
        </a:xfrm>
        <a:prstGeom prst="rect">
          <a:avLst/>
        </a:prstGeom>
      </xdr:spPr>
    </xdr:pic>
    <xdr:clientData/>
  </xdr:twoCellAnchor>
  <xdr:twoCellAnchor editAs="oneCell">
    <xdr:from>
      <xdr:col>5</xdr:col>
      <xdr:colOff>800100</xdr:colOff>
      <xdr:row>11</xdr:row>
      <xdr:rowOff>171450</xdr:rowOff>
    </xdr:from>
    <xdr:to>
      <xdr:col>7</xdr:col>
      <xdr:colOff>343006</xdr:colOff>
      <xdr:row>17</xdr:row>
      <xdr:rowOff>853</xdr:rowOff>
    </xdr:to>
    <xdr:pic>
      <xdr:nvPicPr>
        <xdr:cNvPr id="33" name="Imagen 32">
          <a:hlinkClick xmlns:r="http://schemas.openxmlformats.org/officeDocument/2006/relationships" r:id="rId15" tooltip="Ventas"/>
          <a:extLst>
            <a:ext uri="{FF2B5EF4-FFF2-40B4-BE49-F238E27FC236}">
              <a16:creationId xmlns:a16="http://schemas.microsoft.com/office/drawing/2014/main" id="{6B5787D3-57E8-483E-AE2B-9E08CC2E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52900" y="2505075"/>
          <a:ext cx="1219306" cy="1048603"/>
        </a:xfrm>
        <a:prstGeom prst="rect">
          <a:avLst/>
        </a:prstGeom>
      </xdr:spPr>
    </xdr:pic>
    <xdr:clientData/>
  </xdr:twoCellAnchor>
  <xdr:twoCellAnchor editAs="oneCell">
    <xdr:from>
      <xdr:col>7</xdr:col>
      <xdr:colOff>438150</xdr:colOff>
      <xdr:row>11</xdr:row>
      <xdr:rowOff>171450</xdr:rowOff>
    </xdr:from>
    <xdr:to>
      <xdr:col>8</xdr:col>
      <xdr:colOff>819256</xdr:colOff>
      <xdr:row>18</xdr:row>
      <xdr:rowOff>48878</xdr:rowOff>
    </xdr:to>
    <xdr:pic>
      <xdr:nvPicPr>
        <xdr:cNvPr id="34" name="Imagen 33">
          <a:hlinkClick xmlns:r="http://schemas.openxmlformats.org/officeDocument/2006/relationships" r:id="rId17" tooltip="Planilla vs Ventas"/>
          <a:extLst>
            <a:ext uri="{FF2B5EF4-FFF2-40B4-BE49-F238E27FC236}">
              <a16:creationId xmlns:a16="http://schemas.microsoft.com/office/drawing/2014/main" id="{191834FE-22B4-4DFD-B4AF-8F0DB950A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467350" y="2505075"/>
          <a:ext cx="1219306" cy="1268078"/>
        </a:xfrm>
        <a:prstGeom prst="rect">
          <a:avLst/>
        </a:prstGeom>
      </xdr:spPr>
    </xdr:pic>
    <xdr:clientData/>
  </xdr:twoCellAnchor>
  <xdr:twoCellAnchor editAs="oneCell">
    <xdr:from>
      <xdr:col>9</xdr:col>
      <xdr:colOff>209550</xdr:colOff>
      <xdr:row>11</xdr:row>
      <xdr:rowOff>133350</xdr:rowOff>
    </xdr:from>
    <xdr:to>
      <xdr:col>10</xdr:col>
      <xdr:colOff>121223</xdr:colOff>
      <xdr:row>16</xdr:row>
      <xdr:rowOff>147917</xdr:rowOff>
    </xdr:to>
    <xdr:pic>
      <xdr:nvPicPr>
        <xdr:cNvPr id="50" name="Imagen 49">
          <a:hlinkClick xmlns:r="http://schemas.openxmlformats.org/officeDocument/2006/relationships" r:id="rId19" tooltip="Base"/>
          <a:extLst>
            <a:ext uri="{FF2B5EF4-FFF2-40B4-BE49-F238E27FC236}">
              <a16:creationId xmlns:a16="http://schemas.microsoft.com/office/drawing/2014/main" id="{2ADD8DF5-DDB0-4143-A9FE-1C5A83FCB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915150" y="2466975"/>
          <a:ext cx="749873" cy="1024217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5</xdr:row>
      <xdr:rowOff>9525</xdr:rowOff>
    </xdr:from>
    <xdr:to>
      <xdr:col>2</xdr:col>
      <xdr:colOff>419953</xdr:colOff>
      <xdr:row>10</xdr:row>
      <xdr:rowOff>4281</xdr:rowOff>
    </xdr:to>
    <xdr:pic macro="[0]!Formulario">
      <xdr:nvPicPr>
        <xdr:cNvPr id="53" name="Imagen 52">
          <a:extLst>
            <a:ext uri="{FF2B5EF4-FFF2-40B4-BE49-F238E27FC236}">
              <a16:creationId xmlns:a16="http://schemas.microsoft.com/office/drawing/2014/main" id="{D4BCC743-CB1C-4DA3-923F-E1080808F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9550" y="1085850"/>
          <a:ext cx="1048603" cy="1042506"/>
        </a:xfrm>
        <a:prstGeom prst="rect">
          <a:avLst/>
        </a:prstGeom>
      </xdr:spPr>
    </xdr:pic>
    <xdr:clientData/>
  </xdr:twoCellAnchor>
  <xdr:twoCellAnchor editAs="oneCell">
    <xdr:from>
      <xdr:col>4</xdr:col>
      <xdr:colOff>209550</xdr:colOff>
      <xdr:row>11</xdr:row>
      <xdr:rowOff>152400</xdr:rowOff>
    </xdr:from>
    <xdr:to>
      <xdr:col>5</xdr:col>
      <xdr:colOff>816227</xdr:colOff>
      <xdr:row>16</xdr:row>
      <xdr:rowOff>197449</xdr:rowOff>
    </xdr:to>
    <xdr:pic>
      <xdr:nvPicPr>
        <xdr:cNvPr id="59" name="Imagen 58">
          <a:hlinkClick xmlns:r="http://schemas.openxmlformats.org/officeDocument/2006/relationships" r:id="rId22" tooltip="Otros Devengos"/>
          <a:extLst>
            <a:ext uri="{FF2B5EF4-FFF2-40B4-BE49-F238E27FC236}">
              <a16:creationId xmlns:a16="http://schemas.microsoft.com/office/drawing/2014/main" id="{10EA0220-3D5E-4409-AC7F-F5BB4FBC8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333750" y="2524125"/>
          <a:ext cx="1444877" cy="1054699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666750</xdr:colOff>
      <xdr:row>0</xdr:row>
      <xdr:rowOff>28575</xdr:rowOff>
    </xdr:from>
    <xdr:to>
      <xdr:col>7</xdr:col>
      <xdr:colOff>114300</xdr:colOff>
      <xdr:row>2</xdr:row>
      <xdr:rowOff>152706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BD8FE510-16DA-4C2A-A633-44E9BCC6D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0950" y="28575"/>
          <a:ext cx="1962150" cy="619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923925</xdr:colOff>
      <xdr:row>0</xdr:row>
      <xdr:rowOff>0</xdr:rowOff>
    </xdr:from>
    <xdr:to>
      <xdr:col>5</xdr:col>
      <xdr:colOff>243751</xdr:colOff>
      <xdr:row>2</xdr:row>
      <xdr:rowOff>66675</xdr:rowOff>
    </xdr:to>
    <xdr:pic>
      <xdr:nvPicPr>
        <xdr:cNvPr id="8" name="Imagen 7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4697051E-5118-4A51-A503-C3FAA8C55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1875" y="0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18</xdr:row>
      <xdr:rowOff>9525</xdr:rowOff>
    </xdr:from>
    <xdr:to>
      <xdr:col>9</xdr:col>
      <xdr:colOff>314326</xdr:colOff>
      <xdr:row>31</xdr:row>
      <xdr:rowOff>28575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352425</xdr:colOff>
      <xdr:row>5</xdr:row>
      <xdr:rowOff>76200</xdr:rowOff>
    </xdr:from>
    <xdr:to>
      <xdr:col>6</xdr:col>
      <xdr:colOff>739051</xdr:colOff>
      <xdr:row>7</xdr:row>
      <xdr:rowOff>152400</xdr:rowOff>
    </xdr:to>
    <xdr:pic>
      <xdr:nvPicPr>
        <xdr:cNvPr id="7" name="Imagen 6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390B0BD7-64FE-4D5B-8A32-56C3FF326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5" y="847725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0</xdr:row>
      <xdr:rowOff>114300</xdr:rowOff>
    </xdr:from>
    <xdr:to>
      <xdr:col>6</xdr:col>
      <xdr:colOff>586651</xdr:colOff>
      <xdr:row>2</xdr:row>
      <xdr:rowOff>180975</xdr:rowOff>
    </xdr:to>
    <xdr:pic>
      <xdr:nvPicPr>
        <xdr:cNvPr id="6" name="Imagen 5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5FCB197F-3DAF-4979-A980-D8C13F6F5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0" y="114300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19</xdr:row>
      <xdr:rowOff>76199</xdr:rowOff>
    </xdr:from>
    <xdr:to>
      <xdr:col>10</xdr:col>
      <xdr:colOff>695325</xdr:colOff>
      <xdr:row>33</xdr:row>
      <xdr:rowOff>200024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19050</xdr:colOff>
      <xdr:row>2</xdr:row>
      <xdr:rowOff>104775</xdr:rowOff>
    </xdr:from>
    <xdr:to>
      <xdr:col>9</xdr:col>
      <xdr:colOff>405676</xdr:colOff>
      <xdr:row>5</xdr:row>
      <xdr:rowOff>180975</xdr:rowOff>
    </xdr:to>
    <xdr:pic>
      <xdr:nvPicPr>
        <xdr:cNvPr id="6" name="Imagen 5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E6A01D7E-15F0-4E61-8A15-5CFEF48F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33400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76200</xdr:rowOff>
    </xdr:from>
    <xdr:to>
      <xdr:col>10</xdr:col>
      <xdr:colOff>219075</xdr:colOff>
      <xdr:row>36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304800</xdr:colOff>
      <xdr:row>4</xdr:row>
      <xdr:rowOff>19050</xdr:rowOff>
    </xdr:from>
    <xdr:to>
      <xdr:col>7</xdr:col>
      <xdr:colOff>691426</xdr:colOff>
      <xdr:row>6</xdr:row>
      <xdr:rowOff>95250</xdr:rowOff>
    </xdr:to>
    <xdr:pic>
      <xdr:nvPicPr>
        <xdr:cNvPr id="6" name="Imagen 5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5D44AAF2-315E-4C48-9AC0-CA86DE197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447675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18</xdr:row>
      <xdr:rowOff>190499</xdr:rowOff>
    </xdr:from>
    <xdr:to>
      <xdr:col>12</xdr:col>
      <xdr:colOff>495300</xdr:colOff>
      <xdr:row>34</xdr:row>
      <xdr:rowOff>180975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276225</xdr:colOff>
      <xdr:row>4</xdr:row>
      <xdr:rowOff>152400</xdr:rowOff>
    </xdr:from>
    <xdr:to>
      <xdr:col>7</xdr:col>
      <xdr:colOff>662851</xdr:colOff>
      <xdr:row>7</xdr:row>
      <xdr:rowOff>19050</xdr:rowOff>
    </xdr:to>
    <xdr:pic>
      <xdr:nvPicPr>
        <xdr:cNvPr id="6" name="Imagen 5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CB8E3968-2329-45F8-80B4-B3C131B53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590550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47623</xdr:colOff>
      <xdr:row>19</xdr:row>
      <xdr:rowOff>28575</xdr:rowOff>
    </xdr:from>
    <xdr:to>
      <xdr:col>11</xdr:col>
      <xdr:colOff>771524</xdr:colOff>
      <xdr:row>35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142875</xdr:colOff>
      <xdr:row>5</xdr:row>
      <xdr:rowOff>47625</xdr:rowOff>
    </xdr:from>
    <xdr:to>
      <xdr:col>7</xdr:col>
      <xdr:colOff>529501</xdr:colOff>
      <xdr:row>7</xdr:row>
      <xdr:rowOff>123825</xdr:rowOff>
    </xdr:to>
    <xdr:pic>
      <xdr:nvPicPr>
        <xdr:cNvPr id="6" name="Imagen 5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DC35BA32-7F80-4188-A61B-E48F76F7F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5550" y="676275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18</xdr:row>
      <xdr:rowOff>133349</xdr:rowOff>
    </xdr:from>
    <xdr:to>
      <xdr:col>11</xdr:col>
      <xdr:colOff>666749</xdr:colOff>
      <xdr:row>37</xdr:row>
      <xdr:rowOff>123824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142875</xdr:colOff>
      <xdr:row>4</xdr:row>
      <xdr:rowOff>95250</xdr:rowOff>
    </xdr:from>
    <xdr:to>
      <xdr:col>7</xdr:col>
      <xdr:colOff>529501</xdr:colOff>
      <xdr:row>6</xdr:row>
      <xdr:rowOff>171450</xdr:rowOff>
    </xdr:to>
    <xdr:pic>
      <xdr:nvPicPr>
        <xdr:cNvPr id="6" name="Imagen 5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89525A42-258C-4433-865D-173312539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6975" y="523875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180974</xdr:rowOff>
    </xdr:from>
    <xdr:to>
      <xdr:col>11</xdr:col>
      <xdr:colOff>228601</xdr:colOff>
      <xdr:row>32</xdr:row>
      <xdr:rowOff>133349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133350</xdr:colOff>
      <xdr:row>2</xdr:row>
      <xdr:rowOff>152400</xdr:rowOff>
    </xdr:from>
    <xdr:to>
      <xdr:col>7</xdr:col>
      <xdr:colOff>519976</xdr:colOff>
      <xdr:row>6</xdr:row>
      <xdr:rowOff>28575</xdr:rowOff>
    </xdr:to>
    <xdr:pic>
      <xdr:nvPicPr>
        <xdr:cNvPr id="6" name="Imagen 5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E46B3E08-F4D6-49B6-881D-74F9E560B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638175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18</xdr:row>
      <xdr:rowOff>142875</xdr:rowOff>
    </xdr:from>
    <xdr:to>
      <xdr:col>11</xdr:col>
      <xdr:colOff>581025</xdr:colOff>
      <xdr:row>34</xdr:row>
      <xdr:rowOff>142875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371475</xdr:colOff>
      <xdr:row>6</xdr:row>
      <xdr:rowOff>123825</xdr:rowOff>
    </xdr:from>
    <xdr:to>
      <xdr:col>7</xdr:col>
      <xdr:colOff>758101</xdr:colOff>
      <xdr:row>8</xdr:row>
      <xdr:rowOff>200025</xdr:rowOff>
    </xdr:to>
    <xdr:pic>
      <xdr:nvPicPr>
        <xdr:cNvPr id="6" name="Imagen 5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D13EC89E-679D-4B54-813D-F763DDCF6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0" y="971550"/>
          <a:ext cx="386626" cy="495300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9524</xdr:rowOff>
    </xdr:from>
    <xdr:to>
      <xdr:col>13</xdr:col>
      <xdr:colOff>819150</xdr:colOff>
      <xdr:row>35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8</xdr:row>
      <xdr:rowOff>0</xdr:rowOff>
    </xdr:from>
    <xdr:to>
      <xdr:col>8</xdr:col>
      <xdr:colOff>386626</xdr:colOff>
      <xdr:row>10</xdr:row>
      <xdr:rowOff>76200</xdr:rowOff>
    </xdr:to>
    <xdr:pic>
      <xdr:nvPicPr>
        <xdr:cNvPr id="6" name="Imagen 5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9B1F83C2-535E-46D2-B347-3A7E7D0D0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800" y="1295400"/>
          <a:ext cx="386626" cy="4953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Torres" refreshedDate="44290.963138310188" missingItemsLimit="0" createdVersion="5" refreshedVersion="6" minRefreshableVersion="3" recordCount="18" xr:uid="{00000000-000A-0000-FFFF-FFFF05020000}">
  <cacheSource type="worksheet">
    <worksheetSource name="BaseDatos"/>
  </cacheSource>
  <cacheFields count="12">
    <cacheField name="Año" numFmtId="0">
      <sharedItems containsSemiMixedTypes="0" containsString="0" containsNumber="1" containsInteger="1" minValue="2019" maxValue="2021" count="3">
        <n v="2019"/>
        <n v="2020"/>
        <n v="2021"/>
      </sharedItems>
    </cacheField>
    <cacheField name="Mes" numFmtId="0">
      <sharedItems count="12">
        <s v="Ene"/>
        <s v="Feb"/>
        <s v="Mar"/>
        <s v="Abr"/>
        <s v="May"/>
        <s v="Jun"/>
        <s v="Jul"/>
        <s v="Ago"/>
        <s v="Sep"/>
        <s v="Oct"/>
        <s v="Nov"/>
        <s v="Dic"/>
      </sharedItems>
    </cacheField>
    <cacheField name="Nempleados" numFmtId="0">
      <sharedItems containsSemiMixedTypes="0" containsString="0" containsNumber="1" containsInteger="1" minValue="115" maxValue="165" count="17">
        <n v="115"/>
        <n v="119"/>
        <n v="125"/>
        <n v="126"/>
        <n v="123"/>
        <n v="128"/>
        <n v="129"/>
        <n v="130"/>
        <n v="145"/>
        <n v="143"/>
        <n v="150"/>
        <n v="152"/>
        <n v="158"/>
        <n v="159"/>
        <n v="165"/>
        <n v="160"/>
        <n v="140"/>
      </sharedItems>
    </cacheField>
    <cacheField name="Sueldo" numFmtId="44">
      <sharedItems containsSemiMixedTypes="0" containsString="0" containsNumber="1" minValue="20325.2" maxValue="28453.23"/>
    </cacheField>
    <cacheField name="Hras Extras" numFmtId="44">
      <sharedItems containsSemiMixedTypes="0" containsString="0" containsNumber="1" minValue="745.23" maxValue="1752.23"/>
    </cacheField>
    <cacheField name="Nocturnidad" numFmtId="44">
      <sharedItems containsSemiMixedTypes="0" containsString="0" containsNumber="1" minValue="323.5" maxValue="1150.23"/>
    </cacheField>
    <cacheField name="Comisión" numFmtId="44">
      <sharedItems containsSemiMixedTypes="0" containsString="0" containsNumber="1" minValue="1735.89" maxValue="4974.2299999999996"/>
    </cacheField>
    <cacheField name="Incapacidad" numFmtId="44">
      <sharedItems containsSemiMixedTypes="0" containsString="0" containsNumber="1" minValue="950.45" maxValue="1852.5"/>
    </cacheField>
    <cacheField name="Devengos" numFmtId="44">
      <sharedItems containsSemiMixedTypes="0" containsString="0" containsNumber="1" minValue="1123.5" maxValue="1945.6"/>
    </cacheField>
    <cacheField name="Ventas" numFmtId="44">
      <sharedItems containsSemiMixedTypes="0" containsString="0" containsNumber="1" minValue="435735.6" maxValue="558785.23"/>
    </cacheField>
    <cacheField name="Mes 2" numFmtId="0">
      <sharedItems containsSemiMixedTypes="0" containsString="0" containsNumber="1" containsInteger="1" minValue="1" maxValue="12"/>
    </cacheField>
    <cacheField name="%Planilla vs Ventas" numFmtId="0" formula="IFERROR((Sueldo+'Hras Extras'+Nocturnidad+Comisión+Incapacidad+Devengos) /Ventas,&quot;&quot;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20325.2"/>
    <n v="1325.2"/>
    <n v="435.3"/>
    <n v="1735.89"/>
    <n v="950.45"/>
    <n v="1250.23"/>
    <n v="435735.6"/>
    <n v="1"/>
  </r>
  <r>
    <x v="0"/>
    <x v="1"/>
    <x v="1"/>
    <n v="23500"/>
    <n v="1500"/>
    <n v="500"/>
    <n v="1800"/>
    <n v="1000"/>
    <n v="1500"/>
    <n v="500000"/>
    <n v="2"/>
  </r>
  <r>
    <x v="0"/>
    <x v="2"/>
    <x v="2"/>
    <n v="25230.25"/>
    <n v="1625.3"/>
    <n v="635.45000000000005"/>
    <n v="1840.6"/>
    <n v="1150.1400000000001"/>
    <n v="1651.23"/>
    <n v="551725.23"/>
    <n v="3"/>
  </r>
  <r>
    <x v="0"/>
    <x v="3"/>
    <x v="3"/>
    <n v="25551.200000000001"/>
    <n v="1723.2"/>
    <n v="645.52"/>
    <n v="1895.25"/>
    <n v="1251.2"/>
    <n v="1715.25"/>
    <n v="552750.5"/>
    <n v="4"/>
  </r>
  <r>
    <x v="0"/>
    <x v="4"/>
    <x v="4"/>
    <n v="24225.23"/>
    <n v="1550.2"/>
    <n v="440.23"/>
    <n v="1750.96"/>
    <n v="1095.2"/>
    <n v="1552.23"/>
    <n v="540333.31999999995"/>
    <n v="5"/>
  </r>
  <r>
    <x v="0"/>
    <x v="5"/>
    <x v="5"/>
    <n v="23525.23"/>
    <n v="1440.5"/>
    <n v="323.5"/>
    <n v="1895.4"/>
    <n v="1232.2"/>
    <n v="1453.2"/>
    <n v="535225.23"/>
    <n v="6"/>
  </r>
  <r>
    <x v="0"/>
    <x v="6"/>
    <x v="6"/>
    <n v="25452.23"/>
    <n v="1652.2"/>
    <n v="725.23"/>
    <n v="1995.23"/>
    <n v="1551.23"/>
    <n v="1553.23"/>
    <n v="550223.31999999995"/>
    <n v="7"/>
  </r>
  <r>
    <x v="0"/>
    <x v="7"/>
    <x v="7"/>
    <n v="25952.23"/>
    <n v="1752.23"/>
    <n v="650.23"/>
    <n v="2300.25"/>
    <n v="1652.23"/>
    <n v="1223.5"/>
    <n v="525453.25"/>
    <n v="8"/>
  </r>
  <r>
    <x v="0"/>
    <x v="8"/>
    <x v="8"/>
    <n v="26452.3"/>
    <n v="745.23"/>
    <n v="650.23"/>
    <n v="4200.2299999999996"/>
    <n v="1110.5"/>
    <n v="1123.5"/>
    <n v="540456.23"/>
    <n v="9"/>
  </r>
  <r>
    <x v="0"/>
    <x v="9"/>
    <x v="9"/>
    <n v="26750.23"/>
    <n v="1552.45"/>
    <n v="725.23"/>
    <n v="3300.23"/>
    <n v="1023.5"/>
    <n v="1252.25"/>
    <n v="550950.23"/>
    <n v="10"/>
  </r>
  <r>
    <x v="0"/>
    <x v="10"/>
    <x v="10"/>
    <n v="27450.23"/>
    <n v="1650.23"/>
    <n v="995.23"/>
    <n v="4500.2299999999996"/>
    <n v="1200.25"/>
    <n v="1352.56"/>
    <n v="555952.23"/>
    <n v="11"/>
  </r>
  <r>
    <x v="0"/>
    <x v="11"/>
    <x v="11"/>
    <n v="27152.23"/>
    <n v="1558.23"/>
    <n v="996.75"/>
    <n v="3885.45"/>
    <n v="1543.6"/>
    <n v="1852.4"/>
    <n v="552453.96"/>
    <n v="12"/>
  </r>
  <r>
    <x v="1"/>
    <x v="0"/>
    <x v="12"/>
    <n v="27845.23"/>
    <n v="1652.5"/>
    <n v="1150.23"/>
    <n v="4852.2299999999996"/>
    <n v="1222.45"/>
    <n v="1741.52"/>
    <n v="556741.56000000006"/>
    <n v="1"/>
  </r>
  <r>
    <x v="1"/>
    <x v="1"/>
    <x v="13"/>
    <n v="27996.23"/>
    <n v="1554.23"/>
    <n v="1095.45"/>
    <n v="4974.2299999999996"/>
    <n v="1852.5"/>
    <n v="1945.6"/>
    <n v="557852.23"/>
    <n v="2"/>
  </r>
  <r>
    <x v="1"/>
    <x v="2"/>
    <x v="14"/>
    <n v="28452.23"/>
    <n v="1554.58"/>
    <n v="1145.25"/>
    <n v="4587.2299999999996"/>
    <n v="1456.74"/>
    <n v="1845.65"/>
    <n v="558785.23"/>
    <n v="3"/>
  </r>
  <r>
    <x v="1"/>
    <x v="3"/>
    <x v="15"/>
    <n v="27541.65"/>
    <n v="1563.23"/>
    <n v="1050.25"/>
    <n v="4223.25"/>
    <n v="1225.98"/>
    <n v="1743.25"/>
    <n v="557550.85"/>
    <n v="4"/>
  </r>
  <r>
    <x v="2"/>
    <x v="0"/>
    <x v="16"/>
    <n v="28453.23"/>
    <n v="1553.55"/>
    <n v="996.78"/>
    <n v="4588.58"/>
    <n v="1555.23"/>
    <n v="1945.23"/>
    <n v="555625.23"/>
    <n v="1"/>
  </r>
  <r>
    <x v="1"/>
    <x v="4"/>
    <x v="12"/>
    <n v="28225.65"/>
    <n v="1425.65"/>
    <n v="999.88"/>
    <n v="4150.2299999999996"/>
    <n v="1223.8499999999999"/>
    <n v="1785.45"/>
    <n v="555452.23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Nempleados" cacheId="0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5" indent="0" outline="1" outlineData="1" multipleFieldFilters="0" chartFormat="5" rowHeaderCaption="Mes" colHeaderCaption="">
  <location ref="A4:D17" firstHeaderRow="1" firstDataRow="2" firstDataCol="1"/>
  <pivotFields count="12">
    <pivotField axis="axisCol" showAll="0" defaultSubtotal="0">
      <items count="3">
        <item x="0"/>
        <item x="1"/>
        <item x="2"/>
      </items>
    </pivotField>
    <pivotField axis="axisRow" showAll="0" nonAutoSortDefault="1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dragToRow="0" dragToCol="0" dragToPage="0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3">
    <i>
      <x/>
    </i>
    <i>
      <x v="1"/>
    </i>
    <i>
      <x v="2"/>
    </i>
  </colItems>
  <dataFields count="1">
    <dataField name="Mes " fld="2" baseField="0" baseItem="0"/>
  </dataFields>
  <formats count="12">
    <format dxfId="131">
      <pivotArea dataOnly="0" outline="0" axis="axisValues" fieldPosition="0"/>
    </format>
    <format dxfId="130">
      <pivotArea dataOnly="0" outline="0" axis="axisValues" fieldPosition="0"/>
    </format>
    <format dxfId="129">
      <pivotArea field="1" type="button" dataOnly="0" labelOnly="1" outline="0" axis="axisRow" fieldPosition="0"/>
    </format>
    <format dxfId="128">
      <pivotArea dataOnly="0" labelOnly="1" fieldPosition="0">
        <references count="1">
          <reference field="0" count="0"/>
        </references>
      </pivotArea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type="origin" dataOnly="0" labelOnly="1" outline="0" fieldPosition="0"/>
    </format>
    <format dxfId="124">
      <pivotArea field="0" type="button" dataOnly="0" labelOnly="1" outline="0" axis="axisCol" fieldPosition="0"/>
    </format>
    <format dxfId="123">
      <pivotArea type="topRight" dataOnly="0" labelOnly="1" outline="0" fieldPosition="0"/>
    </format>
    <format dxfId="122">
      <pivotArea field="1" type="button" dataOnly="0" labelOnly="1" outline="0" axis="axisRow" fieldPosition="0"/>
    </format>
    <format dxfId="121">
      <pivotArea dataOnly="0" labelOnly="1" fieldPosition="0">
        <references count="1">
          <reference field="1" count="0"/>
        </references>
      </pivotArea>
    </format>
    <format dxfId="120">
      <pivotArea dataOnly="0" labelOnly="1" fieldPosition="0">
        <references count="1">
          <reference field="0" count="0"/>
        </references>
      </pivotArea>
    </format>
  </formats>
  <chartFormats count="3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lanilla" cacheId="0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5" indent="0" compact="0" compactData="0" multipleFieldFilters="0" chartFormat="31">
  <location ref="A6:H19" firstHeaderRow="0" firstDataRow="1" firstDataCol="2" rowPageCount="1" colPageCount="1"/>
  <pivotFields count="12">
    <pivotField axis="axisPage" compact="0" outline="0" showAll="0" defaultSubtotal="0">
      <items count="3">
        <item x="0"/>
        <item x="1"/>
        <item x="2"/>
      </items>
    </pivotField>
    <pivotField axis="axisRow" compact="0" outline="0" showAll="0" nonAutoSortDefault="1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name="Empleados" axis="axisRow" compact="0" outline="0" showAll="0">
      <items count="18">
        <item x="1"/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5"/>
        <item t="default"/>
      </items>
    </pivotField>
    <pivotField dataField="1" compact="0" numFmtId="164" outline="0" showAll="0"/>
    <pivotField dataField="1" compact="0" numFmtId="164" outline="0" showAll="0"/>
    <pivotField dataField="1" compact="0" numFmtId="164" outline="0" showAll="0"/>
    <pivotField dataField="1" compact="0" numFmtId="164" outline="0" showAll="0"/>
    <pivotField dataField="1" compact="0" numFmtId="164" outline="0" showAll="0"/>
    <pivotField dataField="1" compact="0" numFmtId="164" outline="0" showAll="0"/>
    <pivotField compact="0" numFmtId="164" outline="0" showAll="0"/>
    <pivotField compact="0" outline="0" showAll="0"/>
    <pivotField compact="0" outline="0" dragToRow="0" dragToCol="0" dragToPage="0" showAll="0" defaultSubtotal="0"/>
  </pivotFields>
  <rowFields count="2">
    <field x="1"/>
    <field x="2"/>
  </rowFields>
  <rowItems count="13">
    <i>
      <x/>
      <x v="2"/>
    </i>
    <i>
      <x v="1"/>
      <x/>
    </i>
    <i>
      <x v="2"/>
      <x v="1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item="0" hier="-1"/>
  </pageFields>
  <dataFields count="6">
    <dataField name="  Sueldo" fld="3" baseField="2" baseItem="1" numFmtId="165"/>
    <dataField name="Hras Extras " fld="4" baseField="0" baseItem="0" numFmtId="165"/>
    <dataField name="Nocturnidad " fld="5" baseField="0" baseItem="0" numFmtId="165"/>
    <dataField name="Comisión " fld="6" baseField="0" baseItem="0" numFmtId="165"/>
    <dataField name="Incapacidad " fld="7" baseField="0" baseItem="0" numFmtId="165"/>
    <dataField name="Devengos " fld="8" baseField="0" baseItem="0" numFmtId="165"/>
  </dataFields>
  <formats count="34">
    <format dxfId="119">
      <pivotArea dataOnly="0" outline="0" fieldPosition="0">
        <references count="1">
          <reference field="4294967294" count="1">
            <x v="0"/>
          </reference>
        </references>
      </pivotArea>
    </format>
    <format dxfId="118">
      <pivotArea outline="0" fieldPosition="0">
        <references count="1">
          <reference field="4294967294" count="1">
            <x v="1"/>
          </reference>
        </references>
      </pivotArea>
    </format>
    <format dxfId="117">
      <pivotArea dataOnly="0" labelOnly="1" outline="0" fieldPosition="0">
        <references count="1">
          <reference field="2" count="0"/>
        </references>
      </pivotArea>
    </format>
    <format dxfId="11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15">
      <pivotArea outline="0" fieldPosition="0">
        <references count="1">
          <reference field="4294967294" count="1">
            <x v="2"/>
          </reference>
        </references>
      </pivotArea>
    </format>
    <format dxfId="114">
      <pivotArea outline="0" fieldPosition="0">
        <references count="1">
          <reference field="4294967294" count="1">
            <x v="3"/>
          </reference>
        </references>
      </pivotArea>
    </format>
    <format dxfId="113">
      <pivotArea outline="0" fieldPosition="0">
        <references count="1">
          <reference field="4294967294" count="1">
            <x v="4"/>
          </reference>
        </references>
      </pivotArea>
    </format>
    <format dxfId="112">
      <pivotArea outline="0" fieldPosition="0">
        <references count="1">
          <reference field="4294967294" count="1">
            <x v="5"/>
          </reference>
        </references>
      </pivotArea>
    </format>
    <format dxfId="111">
      <pivotArea field="2" type="button" dataOnly="0" labelOnly="1" outline="0" axis="axisRow" fieldPosition="1"/>
    </format>
    <format dxfId="110">
      <pivotArea dataOnly="0" labelOnly="1" outline="0" fieldPosition="0">
        <references count="1">
          <reference field="0" count="0"/>
        </references>
      </pivotArea>
    </format>
    <format dxfId="109">
      <pivotArea dataOnly="0" labelOnly="1" outline="0" fieldPosition="0">
        <references count="1">
          <reference field="0" count="0"/>
        </references>
      </pivotArea>
    </format>
    <format dxfId="108">
      <pivotArea dataOnly="0" labelOnly="1" outline="0" fieldPosition="0">
        <references count="1">
          <reference field="0" count="0"/>
        </references>
      </pivotArea>
    </format>
    <format dxfId="107">
      <pivotArea field="0" type="button" dataOnly="0" labelOnly="1" outline="0" axis="axisPage" fieldPosition="0"/>
    </format>
    <format dxfId="106">
      <pivotArea field="0" type="button" dataOnly="0" labelOnly="1" outline="0" axis="axisPage" fieldPosition="0"/>
    </format>
    <format dxfId="105">
      <pivotArea field="0" type="button" dataOnly="0" labelOnly="1" outline="0" axis="axisPage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1" type="button" dataOnly="0" labelOnly="1" outline="0" axis="axisRow" fieldPosition="0"/>
    </format>
    <format dxfId="101">
      <pivotArea field="2" type="button" dataOnly="0" labelOnly="1" outline="0" axis="axisRow" fieldPosition="1"/>
    </format>
    <format dxfId="100">
      <pivotArea dataOnly="0" labelOnly="1" outline="0" fieldPosition="0">
        <references count="1">
          <reference field="1" count="0"/>
        </references>
      </pivotArea>
    </format>
    <format dxfId="99">
      <pivotArea dataOnly="0" labelOnly="1" grandRow="1" outline="0" fieldPosition="0"/>
    </format>
    <format dxfId="98">
      <pivotArea dataOnly="0" labelOnly="1" outline="0" fieldPosition="0">
        <references count="2">
          <reference field="1" count="1" selected="0">
            <x v="0"/>
          </reference>
          <reference field="2" count="1">
            <x v="2"/>
          </reference>
        </references>
      </pivotArea>
    </format>
    <format dxfId="97">
      <pivotArea dataOnly="0" labelOnly="1" outline="0" fieldPosition="0">
        <references count="2">
          <reference field="1" count="1" selected="0">
            <x v="1"/>
          </reference>
          <reference field="2" count="1">
            <x v="0"/>
          </reference>
        </references>
      </pivotArea>
    </format>
    <format dxfId="96">
      <pivotArea dataOnly="0" labelOnly="1" outline="0" fieldPosition="0">
        <references count="2">
          <reference field="1" count="1" selected="0">
            <x v="2"/>
          </reference>
          <reference field="2" count="1">
            <x v="1"/>
          </reference>
        </references>
      </pivotArea>
    </format>
    <format dxfId="95">
      <pivotArea dataOnly="0" labelOnly="1" outline="0" fieldPosition="0">
        <references count="2">
          <reference field="1" count="1" selected="0">
            <x v="3"/>
          </reference>
          <reference field="2" count="1">
            <x v="3"/>
          </reference>
        </references>
      </pivotArea>
    </format>
    <format dxfId="94">
      <pivotArea dataOnly="0" labelOnly="1" outline="0" fieldPosition="0">
        <references count="2">
          <reference field="1" count="1" selected="0">
            <x v="4"/>
          </reference>
          <reference field="2" count="1">
            <x v="4"/>
          </reference>
        </references>
      </pivotArea>
    </format>
    <format dxfId="93">
      <pivotArea dataOnly="0" labelOnly="1" outline="0" fieldPosition="0">
        <references count="2">
          <reference field="1" count="1" selected="0">
            <x v="5"/>
          </reference>
          <reference field="2" count="1">
            <x v="5"/>
          </reference>
        </references>
      </pivotArea>
    </format>
    <format dxfId="92">
      <pivotArea dataOnly="0" labelOnly="1" outline="0" fieldPosition="0">
        <references count="2">
          <reference field="1" count="1" selected="0">
            <x v="6"/>
          </reference>
          <reference field="2" count="1">
            <x v="6"/>
          </reference>
        </references>
      </pivotArea>
    </format>
    <format dxfId="91">
      <pivotArea dataOnly="0" labelOnly="1" outline="0" fieldPosition="0">
        <references count="2">
          <reference field="1" count="1" selected="0">
            <x v="7"/>
          </reference>
          <reference field="2" count="1">
            <x v="7"/>
          </reference>
        </references>
      </pivotArea>
    </format>
    <format dxfId="90">
      <pivotArea dataOnly="0" labelOnly="1" outline="0" fieldPosition="0">
        <references count="2">
          <reference field="1" count="1" selected="0">
            <x v="8"/>
          </reference>
          <reference field="2" count="1">
            <x v="8"/>
          </reference>
        </references>
      </pivotArea>
    </format>
    <format dxfId="89">
      <pivotArea dataOnly="0" labelOnly="1" outline="0" fieldPosition="0">
        <references count="2">
          <reference field="1" count="1" selected="0">
            <x v="9"/>
          </reference>
          <reference field="2" count="1">
            <x v="9"/>
          </reference>
        </references>
      </pivotArea>
    </format>
    <format dxfId="88">
      <pivotArea dataOnly="0" labelOnly="1" outline="0" fieldPosition="0">
        <references count="2">
          <reference field="1" count="1" selected="0">
            <x v="10"/>
          </reference>
          <reference field="2" count="1">
            <x v="10"/>
          </reference>
        </references>
      </pivotArea>
    </format>
    <format dxfId="87">
      <pivotArea dataOnly="0" labelOnly="1" outline="0" fieldPosition="0">
        <references count="2">
          <reference field="1" count="1" selected="0">
            <x v="11"/>
          </reference>
          <reference field="2" count="1">
            <x v="11"/>
          </reference>
        </references>
      </pivotArea>
    </format>
    <format dxfId="8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Medium9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ueldo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" rowHeaderCaption="Mes" colHeaderCaption="">
  <location ref="A4:E18" firstHeaderRow="1" firstDataRow="2" firstDataCol="1"/>
  <pivotFields count="12">
    <pivotField axis="axisCol" showAll="0">
      <items count="4">
        <item x="0"/>
        <item x="1"/>
        <item x="2"/>
        <item t="default"/>
      </items>
    </pivotField>
    <pivotField axis="axisRow" showAll="0" nonAutoSortDefault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ueldo " fld="3" baseField="0" baseItem="0" numFmtId="165"/>
  </dataFields>
  <formats count="12">
    <format dxfId="85">
      <pivotArea dataOnly="0" labelOnly="1" fieldPosition="0">
        <references count="1">
          <reference field="0" count="0"/>
        </references>
      </pivotArea>
    </format>
    <format dxfId="84">
      <pivotArea outline="0" fieldPosition="0">
        <references count="1">
          <reference field="4294967294" count="1">
            <x v="0"/>
          </reference>
        </references>
      </pivotArea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type="origin" dataOnly="0" labelOnly="1" outline="0" fieldPosition="0"/>
    </format>
    <format dxfId="80">
      <pivotArea field="0" type="button" dataOnly="0" labelOnly="1" outline="0" axis="axisCol" fieldPosition="0"/>
    </format>
    <format dxfId="79">
      <pivotArea type="topRight" dataOnly="0" labelOnly="1" outline="0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0"/>
        </references>
      </pivotArea>
    </format>
    <format dxfId="76">
      <pivotArea dataOnly="0" labelOnly="1" grandRow="1" outline="0" fieldPosition="0"/>
    </format>
    <format dxfId="75">
      <pivotArea dataOnly="0" labelOnly="1" fieldPosition="0">
        <references count="1">
          <reference field="0" count="0"/>
        </references>
      </pivotArea>
    </format>
    <format dxfId="74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Hextra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" rowHeaderCaption="Mes" colHeaderCaption="">
  <location ref="A4:E18" firstHeaderRow="1" firstDataRow="2" firstDataCol="1"/>
  <pivotFields count="12">
    <pivotField axis="axisCol" showAll="0">
      <items count="4">
        <item x="0"/>
        <item x="1"/>
        <item x="2"/>
        <item t="default"/>
      </items>
    </pivotField>
    <pivotField axis="axisRow" showAll="0" nonAutoSortDefault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Hras Extras " fld="4" baseField="0" baseItem="0" numFmtId="165"/>
  </dataFields>
  <formats count="12">
    <format dxfId="73">
      <pivotArea dataOnly="0" labelOnly="1" fieldPosition="0">
        <references count="1">
          <reference field="0" count="0"/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type="origin" dataOnly="0" labelOnly="1" outline="0" fieldPosition="0"/>
    </format>
    <format dxfId="68">
      <pivotArea field="0" type="button" dataOnly="0" labelOnly="1" outline="0" axis="axisCol" fieldPosition="0"/>
    </format>
    <format dxfId="67">
      <pivotArea type="topRight" dataOnly="0" labelOnly="1" outline="0" fieldPosition="0"/>
    </format>
    <format dxfId="66">
      <pivotArea field="1" type="button" dataOnly="0" labelOnly="1" outline="0" axis="axisRow" fieldPosition="0"/>
    </format>
    <format dxfId="65">
      <pivotArea dataOnly="0" labelOnly="1" fieldPosition="0">
        <references count="1">
          <reference field="1" count="0"/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1">
          <reference field="0" count="0"/>
        </references>
      </pivotArea>
    </format>
    <format dxfId="62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Nocturnidad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" rowHeaderCaption="Mes" colHeaderCaption="">
  <location ref="A4:E18" firstHeaderRow="1" firstDataRow="2" firstDataCol="1"/>
  <pivotFields count="12">
    <pivotField axis="axisCol" showAll="0">
      <items count="4">
        <item x="0"/>
        <item x="1"/>
        <item x="2"/>
        <item t="default"/>
      </items>
    </pivotField>
    <pivotField axis="axisRow" showAll="0" nonAutoSortDefault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showAl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Nocturnidad " fld="5" baseField="0" baseItem="0" numFmtId="165"/>
  </dataFields>
  <formats count="12">
    <format dxfId="61">
      <pivotArea dataOnly="0" labelOnly="1" fieldPosition="0">
        <references count="1">
          <reference field="0" count="0"/>
        </references>
      </pivotArea>
    </format>
    <format dxfId="60">
      <pivotArea outline="0" fieldPosition="0">
        <references count="1">
          <reference field="4294967294" count="1">
            <x v="0"/>
          </reference>
        </references>
      </pivotArea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type="origin" dataOnly="0" labelOnly="1" outline="0" fieldPosition="0"/>
    </format>
    <format dxfId="56">
      <pivotArea field="0" type="button" dataOnly="0" labelOnly="1" outline="0" axis="axisCol" fieldPosition="0"/>
    </format>
    <format dxfId="55">
      <pivotArea type="topRight" dataOnly="0" labelOnly="1" outline="0" fieldPosition="0"/>
    </format>
    <format dxfId="54">
      <pivotArea field="1" type="button" dataOnly="0" labelOnly="1" outline="0" axis="axisRow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0" count="0"/>
        </references>
      </pivotArea>
    </format>
    <format dxfId="50">
      <pivotArea dataOnly="0" labelOnly="1" grandCol="1" outline="0" fieldPosition="0"/>
    </format>
  </formats>
  <chartFormats count="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Comisione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" rowHeaderCaption="Mes" colHeaderCaption="">
  <location ref="A4:E18" firstHeaderRow="1" firstDataRow="2" firstDataCol="1"/>
  <pivotFields count="12">
    <pivotField axis="axisCol" showAll="0">
      <items count="4">
        <item x="0"/>
        <item x="1"/>
        <item x="2"/>
        <item t="default"/>
      </items>
    </pivotField>
    <pivotField axis="axisRow" showAll="0" nonAutoSortDefault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4"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64" showAll="0"/>
    <pivotField showAl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misión " fld="6" baseField="0" baseItem="0" numFmtId="165"/>
  </dataFields>
  <formats count="12">
    <format dxfId="49">
      <pivotArea dataOnly="0" labelOnly="1" fieldPosition="0">
        <references count="1">
          <reference field="0" count="0"/>
        </references>
      </pivotArea>
    </format>
    <format dxfId="48">
      <pivotArea outline="0" fieldPosition="0">
        <references count="1">
          <reference field="4294967294" count="1">
            <x v="0"/>
          </reference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0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dataOnly="0" labelOnly="1" grandRow="1" outline="0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Col="1" outline="0" fieldPosition="0"/>
    </format>
  </formats>
  <chartFormats count="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Incapacidade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" rowHeaderCaption="Mes" colHeaderCaption="">
  <location ref="A4:E18" firstHeaderRow="1" firstDataRow="2" firstDataCol="1"/>
  <pivotFields count="12">
    <pivotField axis="axisCol" showAll="0">
      <items count="4">
        <item x="0"/>
        <item x="1"/>
        <item x="2"/>
        <item t="default"/>
      </items>
    </pivotField>
    <pivotField axis="axisRow" showAll="0" nonAutoSortDefault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4" showAll="0"/>
    <pivotField numFmtId="164" showAll="0"/>
    <pivotField numFmtId="164" showAll="0"/>
    <pivotField numFmtId="164" showAll="0"/>
    <pivotField dataField="1" numFmtId="164" showAll="0"/>
    <pivotField numFmtId="164" showAll="0"/>
    <pivotField numFmtId="164" showAll="0"/>
    <pivotField showAl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Incapacidad " fld="7" baseField="0" baseItem="0" numFmtId="165"/>
  </dataFields>
  <formats count="12">
    <format dxfId="37">
      <pivotArea dataOnly="0" labelOnly="1" fieldPosition="0">
        <references count="1">
          <reference field="0" count="0"/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type="origin" dataOnly="0" labelOnly="1" outline="0" fieldPosition="0"/>
    </format>
    <format dxfId="32">
      <pivotArea field="0" type="button" dataOnly="0" labelOnly="1" outline="0" axis="axisCol" fieldPosition="0"/>
    </format>
    <format dxfId="31">
      <pivotArea type="topRight" dataOnly="0" labelOnly="1" outline="0" fieldPosition="0"/>
    </format>
    <format dxfId="30">
      <pivotArea field="1" type="button" dataOnly="0" labelOnly="1" outline="0" axis="axisRow" fieldPosition="0"/>
    </format>
    <format dxfId="29">
      <pivotArea dataOnly="0" labelOnly="1" fieldPosition="0">
        <references count="1">
          <reference field="1" count="0"/>
        </references>
      </pivotArea>
    </format>
    <format dxfId="28">
      <pivotArea dataOnly="0" labelOnly="1" grandRow="1" outline="0" fieldPosition="0"/>
    </format>
    <format dxfId="27">
      <pivotArea dataOnly="0" labelOnly="1" fieldPosition="0">
        <references count="1">
          <reference field="0" count="0"/>
        </references>
      </pivotArea>
    </format>
    <format dxfId="26">
      <pivotArea dataOnly="0" labelOnly="1" grandCol="1" outline="0" fieldPosition="0"/>
    </format>
  </formats>
  <chartFormats count="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Devengo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" rowHeaderCaption="Mes" colHeaderCaption="">
  <location ref="A4:E18" firstHeaderRow="1" firstDataRow="2" firstDataCol="1"/>
  <pivotFields count="12">
    <pivotField axis="axisCol" showAll="0">
      <items count="4">
        <item x="0"/>
        <item x="1"/>
        <item x="2"/>
        <item t="default"/>
      </items>
    </pivotField>
    <pivotField axis="axisRow" showAll="0" nonAutoSortDefault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numFmtId="164" showAll="0"/>
    <pivotField showAl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Devengos " fld="8" baseField="0" baseItem="0" numFmtId="165"/>
  </dataFields>
  <formats count="12">
    <format dxfId="25">
      <pivotArea dataOnly="0" labelOnly="1" fieldPosition="0">
        <references count="1">
          <reference field="0" count="0"/>
        </references>
      </pivotArea>
    </format>
    <format dxfId="24">
      <pivotArea outline="0" fieldPosition="0">
        <references count="1">
          <reference field="4294967294" count="1">
            <x v="0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0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Venta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" rowHeaderCaption="Mes" colHeaderCaption="">
  <location ref="A4:E18" firstHeaderRow="1" firstDataRow="2" firstDataCol="1"/>
  <pivotFields count="12">
    <pivotField axis="axisCol" showAll="0">
      <items count="4">
        <item x="0"/>
        <item x="1"/>
        <item x="2"/>
        <item t="default"/>
      </items>
    </pivotField>
    <pivotField axis="axisRow" showAll="0" nonAutoSortDefault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showAl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Ventas " fld="9" baseField="0" baseItem="0" numFmtId="165"/>
  </dataFields>
  <formats count="12">
    <format dxfId="13">
      <pivotArea dataOnly="0" labelOnly="1" fieldPosition="0">
        <references count="1">
          <reference field="0" count="0"/>
        </references>
      </pivotArea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0" type="button" dataOnly="0" labelOnly="1" outline="0" axis="axisCol" fieldPosition="0"/>
    </format>
    <format dxfId="7">
      <pivotArea type="topRight" dataOnly="0" labelOnly="1" outline="0" fieldPosition="0"/>
    </format>
    <format dxfId="6">
      <pivotArea field="1" type="button" dataOnly="0" labelOnly="1" outline="0" axis="axisRow" fieldPosition="0"/>
    </format>
    <format dxfId="5">
      <pivotArea dataOnly="0" labelOnly="1" fieldPosition="0">
        <references count="1">
          <reference field="1" count="0"/>
        </references>
      </pivotArea>
    </format>
    <format dxfId="4">
      <pivotArea dataOnly="0" labelOnly="1" grandRow="1" outline="0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IndPlanillaVentas" cacheId="0" applyNumberFormats="0" applyBorderFormats="0" applyFontFormats="0" applyPatternFormats="0" applyAlignmentFormats="0" applyWidthHeightFormats="1" dataCaption="Valores" showError="1" updatedVersion="6" minRefreshableVersion="3" useAutoFormatting="1" rowGrandTotals="0" colGrandTotals="0" itemPrintTitles="1" createdVersion="5" indent="0" outline="1" outlineData="1" multipleFieldFilters="0" chartFormat="16" rowHeaderCaption="Mes" colHeaderCaption="">
  <location ref="A4:D17" firstHeaderRow="1" firstDataRow="2" firstDataCol="1"/>
  <pivotFields count="12">
    <pivotField axis="axisCol" showAll="0">
      <items count="4">
        <item x="0"/>
        <item x="1"/>
        <item x="2"/>
        <item t="default"/>
      </items>
    </pivotField>
    <pivotField axis="axisRow" showAll="0" nonAutoSortDefault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dataField="1" dragToRow="0" dragToCol="0" dragToPage="0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3">
    <i>
      <x/>
    </i>
    <i>
      <x v="1"/>
    </i>
    <i>
      <x v="2"/>
    </i>
  </colItems>
  <dataFields count="1">
    <dataField name=" %Planilla/Ventas " fld="11" baseField="0" baseItem="0" numFmtId="10"/>
  </dataFields>
  <formats count="2">
    <format dxfId="1">
      <pivotArea dataOnly="0" labelOnly="1" fieldPosition="0">
        <references count="1">
          <reference field="0" count="0"/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M19"/>
  <sheetViews>
    <sheetView showGridLines="0" tabSelected="1" workbookViewId="0">
      <selection activeCell="M4" sqref="M3:M4"/>
    </sheetView>
  </sheetViews>
  <sheetFormatPr baseColWidth="10" defaultRowHeight="16.5" x14ac:dyDescent="0.3"/>
  <cols>
    <col min="1" max="1" width="8" customWidth="1"/>
    <col min="11" max="11" width="8" customWidth="1"/>
  </cols>
  <sheetData>
    <row r="2" spans="2:11" ht="22.5" customHeight="1" x14ac:dyDescent="0.3"/>
    <row r="3" spans="2:11" ht="17.25" customHeight="1" x14ac:dyDescent="0.3"/>
    <row r="4" spans="2:11" ht="30.75" thickBot="1" x14ac:dyDescent="0.4">
      <c r="B4" s="37" t="s">
        <v>35</v>
      </c>
      <c r="C4" s="37"/>
      <c r="D4" s="37"/>
      <c r="E4" s="37"/>
      <c r="F4" s="37"/>
      <c r="G4" s="37"/>
      <c r="H4" s="37"/>
      <c r="I4" s="37"/>
      <c r="J4" s="37"/>
      <c r="K4" s="37"/>
    </row>
    <row r="5" spans="2:11" ht="10.5" customHeight="1" thickTop="1" x14ac:dyDescent="0.3">
      <c r="D5" s="7"/>
    </row>
    <row r="6" spans="2:11" ht="16.5" customHeight="1" x14ac:dyDescent="0.3">
      <c r="D6" s="6"/>
    </row>
    <row r="8" spans="2:11" x14ac:dyDescent="0.3">
      <c r="D8" s="8"/>
      <c r="E8" s="6"/>
    </row>
    <row r="11" spans="2:11" ht="9.75" customHeight="1" x14ac:dyDescent="0.3"/>
    <row r="12" spans="2:11" ht="13.5" customHeight="1" x14ac:dyDescent="0.3"/>
    <row r="18" spans="2:13" ht="13.5" customHeight="1" thickBot="1" x14ac:dyDescent="0.35">
      <c r="B18" s="16"/>
      <c r="C18" s="16"/>
      <c r="D18" s="16"/>
      <c r="E18" s="16"/>
      <c r="F18" s="16"/>
      <c r="G18" s="17"/>
      <c r="H18" s="17"/>
      <c r="I18" s="17"/>
      <c r="J18" s="17"/>
      <c r="K18" s="17"/>
      <c r="L18" s="1"/>
      <c r="M18" s="1"/>
    </row>
    <row r="19" spans="2:13" ht="17.25" thickTop="1" x14ac:dyDescent="0.3"/>
  </sheetData>
  <mergeCells count="1">
    <mergeCell ref="B4:K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A1:K4"/>
  <sheetViews>
    <sheetView workbookViewId="0">
      <selection activeCell="F10" sqref="F10"/>
    </sheetView>
  </sheetViews>
  <sheetFormatPr baseColWidth="10" defaultRowHeight="15" x14ac:dyDescent="0.25"/>
  <cols>
    <col min="1" max="1" width="6.25" style="10" customWidth="1"/>
    <col min="2" max="2" width="6.375" style="10" customWidth="1"/>
    <col min="3" max="3" width="8.875" style="10" customWidth="1"/>
    <col min="4" max="4" width="13.25" style="11" customWidth="1"/>
    <col min="5" max="5" width="14" style="11" customWidth="1"/>
    <col min="6" max="6" width="15.25" style="11" customWidth="1"/>
    <col min="7" max="7" width="16.5" style="11" customWidth="1"/>
    <col min="8" max="8" width="14.5" style="11" customWidth="1"/>
    <col min="9" max="9" width="15.25" style="11" customWidth="1"/>
    <col min="10" max="10" width="14.875" style="11" customWidth="1"/>
    <col min="11" max="11" width="11" style="10"/>
    <col min="12" max="16384" width="11" style="12"/>
  </cols>
  <sheetData>
    <row r="1" spans="1:11" s="35" customFormat="1" ht="10.5" customHeight="1" x14ac:dyDescent="0.25">
      <c r="A1" s="33"/>
      <c r="B1" s="33"/>
      <c r="C1" s="33"/>
      <c r="D1" s="34"/>
      <c r="E1" s="34"/>
      <c r="F1" s="34"/>
      <c r="G1" s="34"/>
      <c r="H1" s="34"/>
      <c r="I1" s="34"/>
      <c r="J1" s="34"/>
      <c r="K1" s="33"/>
    </row>
    <row r="2" spans="1:11" s="35" customFormat="1" ht="23.25" x14ac:dyDescent="0.35">
      <c r="A2" s="36" t="s">
        <v>46</v>
      </c>
      <c r="B2" s="33"/>
      <c r="C2" s="33"/>
      <c r="D2" s="34"/>
      <c r="E2" s="34"/>
      <c r="F2" s="34"/>
      <c r="G2" s="34"/>
      <c r="H2" s="34"/>
      <c r="I2" s="34"/>
      <c r="J2" s="34"/>
      <c r="K2" s="33"/>
    </row>
    <row r="3" spans="1:11" s="35" customFormat="1" ht="9" customHeight="1" x14ac:dyDescent="0.25">
      <c r="A3" s="33"/>
      <c r="B3" s="33"/>
      <c r="C3" s="33"/>
      <c r="D3" s="34"/>
      <c r="E3" s="34"/>
      <c r="F3" s="34"/>
      <c r="G3" s="34"/>
      <c r="H3" s="34"/>
      <c r="I3" s="34"/>
      <c r="J3" s="34"/>
      <c r="K3" s="33"/>
    </row>
    <row r="4" spans="1:11" s="9" customFormat="1" ht="30" x14ac:dyDescent="0.3">
      <c r="A4" s="13" t="s">
        <v>22</v>
      </c>
      <c r="B4" s="14" t="s">
        <v>12</v>
      </c>
      <c r="C4" s="14" t="s">
        <v>3</v>
      </c>
      <c r="D4" s="15" t="s">
        <v>4</v>
      </c>
      <c r="E4" s="15" t="s">
        <v>5</v>
      </c>
      <c r="F4" s="15" t="s">
        <v>6</v>
      </c>
      <c r="G4" s="15" t="s">
        <v>7</v>
      </c>
      <c r="H4" s="15" t="s">
        <v>8</v>
      </c>
      <c r="I4" s="15" t="s">
        <v>9</v>
      </c>
      <c r="J4" s="15" t="s">
        <v>10</v>
      </c>
      <c r="K4" s="15" t="s">
        <v>47</v>
      </c>
    </row>
  </sheetData>
  <autoFilter ref="A4:K4" xr:uid="{14D28D92-174A-471A-ACDA-2967BA6AD75C}">
    <sortState ref="A4:K5">
      <sortCondition ref="A4"/>
    </sortState>
  </autoFilter>
  <printOptions gridLines="1"/>
  <pageMargins left="0.36" right="0.2" top="0.74803149606299213" bottom="0.74803149606299213" header="0.31496062992125984" footer="0.31496062992125984"/>
  <pageSetup scale="90" fitToHeight="100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2:E18"/>
  <sheetViews>
    <sheetView showGridLines="0" workbookViewId="0">
      <selection activeCell="E9" sqref="E9"/>
    </sheetView>
  </sheetViews>
  <sheetFormatPr baseColWidth="10" defaultRowHeight="16.5" x14ac:dyDescent="0.3"/>
  <cols>
    <col min="1" max="1" width="12.875" style="19" customWidth="1"/>
    <col min="2" max="2" width="8.75" style="19" customWidth="1"/>
    <col min="3" max="3" width="12.875" style="19" customWidth="1"/>
    <col min="4" max="16384" width="11" style="19"/>
  </cols>
  <sheetData>
    <row r="2" spans="1:5" ht="18.75" x14ac:dyDescent="0.3">
      <c r="A2" s="18" t="s">
        <v>36</v>
      </c>
    </row>
    <row r="3" spans="1:5" ht="9" customHeight="1" x14ac:dyDescent="0.3"/>
    <row r="4" spans="1:5" hidden="1" x14ac:dyDescent="0.3">
      <c r="A4" s="20" t="s">
        <v>14</v>
      </c>
      <c r="B4" s="20" t="s">
        <v>13</v>
      </c>
      <c r="E4"/>
    </row>
    <row r="5" spans="1:5" s="22" customFormat="1" x14ac:dyDescent="0.3">
      <c r="A5" s="21" t="s">
        <v>12</v>
      </c>
      <c r="B5" s="22">
        <v>2019</v>
      </c>
      <c r="C5" s="22">
        <v>2020</v>
      </c>
      <c r="D5" s="22">
        <v>2021</v>
      </c>
      <c r="E5"/>
    </row>
    <row r="6" spans="1:5" x14ac:dyDescent="0.3">
      <c r="A6" s="23" t="s">
        <v>0</v>
      </c>
      <c r="B6" s="24">
        <v>115</v>
      </c>
      <c r="C6" s="24">
        <v>158</v>
      </c>
      <c r="D6" s="24">
        <v>140</v>
      </c>
      <c r="E6"/>
    </row>
    <row r="7" spans="1:5" x14ac:dyDescent="0.3">
      <c r="A7" s="23" t="s">
        <v>1</v>
      </c>
      <c r="B7" s="24">
        <v>119</v>
      </c>
      <c r="C7" s="24">
        <v>159</v>
      </c>
      <c r="D7" s="24"/>
      <c r="E7"/>
    </row>
    <row r="8" spans="1:5" x14ac:dyDescent="0.3">
      <c r="A8" s="23" t="s">
        <v>33</v>
      </c>
      <c r="B8" s="24">
        <v>125</v>
      </c>
      <c r="C8" s="24">
        <v>165</v>
      </c>
      <c r="D8" s="24"/>
      <c r="E8"/>
    </row>
    <row r="9" spans="1:5" x14ac:dyDescent="0.3">
      <c r="A9" s="23" t="s">
        <v>2</v>
      </c>
      <c r="B9" s="24">
        <v>126</v>
      </c>
      <c r="C9" s="24">
        <v>160</v>
      </c>
      <c r="D9" s="24"/>
      <c r="E9"/>
    </row>
    <row r="10" spans="1:5" x14ac:dyDescent="0.3">
      <c r="A10" s="23" t="s">
        <v>26</v>
      </c>
      <c r="B10" s="24">
        <v>123</v>
      </c>
      <c r="C10" s="24">
        <v>158</v>
      </c>
      <c r="D10" s="24"/>
      <c r="E10"/>
    </row>
    <row r="11" spans="1:5" x14ac:dyDescent="0.3">
      <c r="A11" s="23" t="s">
        <v>27</v>
      </c>
      <c r="B11" s="24">
        <v>128</v>
      </c>
      <c r="C11" s="24"/>
      <c r="D11" s="24"/>
      <c r="E11"/>
    </row>
    <row r="12" spans="1:5" x14ac:dyDescent="0.3">
      <c r="A12" s="23" t="s">
        <v>28</v>
      </c>
      <c r="B12" s="24">
        <v>129</v>
      </c>
      <c r="C12" s="24"/>
      <c r="D12" s="24"/>
      <c r="E12"/>
    </row>
    <row r="13" spans="1:5" x14ac:dyDescent="0.3">
      <c r="A13" s="23" t="s">
        <v>29</v>
      </c>
      <c r="B13" s="24">
        <v>130</v>
      </c>
      <c r="C13" s="24"/>
      <c r="D13" s="24"/>
      <c r="E13"/>
    </row>
    <row r="14" spans="1:5" x14ac:dyDescent="0.3">
      <c r="A14" s="23" t="s">
        <v>34</v>
      </c>
      <c r="B14" s="24">
        <v>145</v>
      </c>
      <c r="C14" s="24"/>
      <c r="D14" s="24"/>
      <c r="E14"/>
    </row>
    <row r="15" spans="1:5" x14ac:dyDescent="0.3">
      <c r="A15" s="23" t="s">
        <v>30</v>
      </c>
      <c r="B15" s="24">
        <v>143</v>
      </c>
      <c r="C15" s="24"/>
      <c r="D15" s="24"/>
      <c r="E15"/>
    </row>
    <row r="16" spans="1:5" x14ac:dyDescent="0.3">
      <c r="A16" s="23" t="s">
        <v>31</v>
      </c>
      <c r="B16" s="24">
        <v>150</v>
      </c>
      <c r="C16" s="24"/>
      <c r="D16" s="24"/>
      <c r="E16"/>
    </row>
    <row r="17" spans="1:5" x14ac:dyDescent="0.3">
      <c r="A17" s="23" t="s">
        <v>32</v>
      </c>
      <c r="B17" s="24">
        <v>152</v>
      </c>
      <c r="C17" s="24"/>
      <c r="D17" s="24"/>
      <c r="E17"/>
    </row>
    <row r="18" spans="1:5" x14ac:dyDescent="0.3">
      <c r="A18"/>
      <c r="B18"/>
      <c r="C18"/>
      <c r="D18"/>
      <c r="E18"/>
    </row>
  </sheetData>
  <sortState ref="A4:D17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pageSetUpPr fitToPage="1"/>
  </sheetPr>
  <dimension ref="A1:H19"/>
  <sheetViews>
    <sheetView showGridLines="0" workbookViewId="0"/>
  </sheetViews>
  <sheetFormatPr baseColWidth="10" defaultRowHeight="16.5" x14ac:dyDescent="0.3"/>
  <cols>
    <col min="1" max="1" width="10.75" style="19" customWidth="1"/>
    <col min="2" max="2" width="15.125" style="19" bestFit="1" customWidth="1"/>
    <col min="3" max="3" width="12.375" style="19" bestFit="1" customWidth="1"/>
    <col min="4" max="4" width="11.375" style="19" bestFit="1" customWidth="1"/>
    <col min="5" max="5" width="12.875" style="19" bestFit="1" customWidth="1"/>
    <col min="6" max="6" width="11.375" style="19" bestFit="1" customWidth="1"/>
    <col min="7" max="7" width="13.5" style="19" bestFit="1" customWidth="1"/>
    <col min="8" max="8" width="11.375" style="19" bestFit="1" customWidth="1"/>
    <col min="9" max="9" width="11.375" style="19" customWidth="1"/>
    <col min="10" max="16384" width="11" style="19"/>
  </cols>
  <sheetData>
    <row r="1" spans="1:8" ht="11.25" customHeight="1" x14ac:dyDescent="0.3"/>
    <row r="2" spans="1:8" ht="22.5" x14ac:dyDescent="0.3">
      <c r="A2" s="25" t="s">
        <v>37</v>
      </c>
    </row>
    <row r="4" spans="1:8" x14ac:dyDescent="0.3">
      <c r="A4" s="26" t="s">
        <v>22</v>
      </c>
      <c r="B4" s="27">
        <v>2019</v>
      </c>
    </row>
    <row r="6" spans="1:8" x14ac:dyDescent="0.3">
      <c r="A6" s="20" t="s">
        <v>12</v>
      </c>
      <c r="B6" s="21" t="s">
        <v>21</v>
      </c>
      <c r="C6" s="22" t="s">
        <v>15</v>
      </c>
      <c r="D6" s="22" t="s">
        <v>16</v>
      </c>
      <c r="E6" s="22" t="s">
        <v>17</v>
      </c>
      <c r="F6" s="22" t="s">
        <v>18</v>
      </c>
      <c r="G6" s="22" t="s">
        <v>19</v>
      </c>
      <c r="H6" s="22" t="s">
        <v>20</v>
      </c>
    </row>
    <row r="7" spans="1:8" x14ac:dyDescent="0.3">
      <c r="A7" s="19" t="s">
        <v>0</v>
      </c>
      <c r="B7" s="22">
        <v>115</v>
      </c>
      <c r="C7" s="28">
        <v>20325.2</v>
      </c>
      <c r="D7" s="29">
        <v>1325.2</v>
      </c>
      <c r="E7" s="29">
        <v>435.3</v>
      </c>
      <c r="F7" s="29">
        <v>1735.89</v>
      </c>
      <c r="G7" s="29">
        <v>950.45</v>
      </c>
      <c r="H7" s="29">
        <v>1250.23</v>
      </c>
    </row>
    <row r="8" spans="1:8" x14ac:dyDescent="0.3">
      <c r="A8" s="19" t="s">
        <v>1</v>
      </c>
      <c r="B8" s="22">
        <v>119</v>
      </c>
      <c r="C8" s="28">
        <v>23500</v>
      </c>
      <c r="D8" s="29">
        <v>1500</v>
      </c>
      <c r="E8" s="29">
        <v>500</v>
      </c>
      <c r="F8" s="29">
        <v>1800</v>
      </c>
      <c r="G8" s="29">
        <v>1000</v>
      </c>
      <c r="H8" s="29">
        <v>1500</v>
      </c>
    </row>
    <row r="9" spans="1:8" x14ac:dyDescent="0.3">
      <c r="A9" s="19" t="s">
        <v>33</v>
      </c>
      <c r="B9" s="22">
        <v>125</v>
      </c>
      <c r="C9" s="28">
        <v>25230.25</v>
      </c>
      <c r="D9" s="29">
        <v>1625.3</v>
      </c>
      <c r="E9" s="29">
        <v>635.45000000000005</v>
      </c>
      <c r="F9" s="29">
        <v>1840.6</v>
      </c>
      <c r="G9" s="29">
        <v>1150.1400000000001</v>
      </c>
      <c r="H9" s="29">
        <v>1651.23</v>
      </c>
    </row>
    <row r="10" spans="1:8" x14ac:dyDescent="0.3">
      <c r="A10" s="19" t="s">
        <v>2</v>
      </c>
      <c r="B10" s="22">
        <v>126</v>
      </c>
      <c r="C10" s="28">
        <v>25551.200000000001</v>
      </c>
      <c r="D10" s="29">
        <v>1723.2</v>
      </c>
      <c r="E10" s="29">
        <v>645.52</v>
      </c>
      <c r="F10" s="29">
        <v>1895.25</v>
      </c>
      <c r="G10" s="29">
        <v>1251.2</v>
      </c>
      <c r="H10" s="29">
        <v>1715.25</v>
      </c>
    </row>
    <row r="11" spans="1:8" x14ac:dyDescent="0.3">
      <c r="A11" s="19" t="s">
        <v>26</v>
      </c>
      <c r="B11" s="22">
        <v>123</v>
      </c>
      <c r="C11" s="28">
        <v>24225.23</v>
      </c>
      <c r="D11" s="29">
        <v>1550.2</v>
      </c>
      <c r="E11" s="29">
        <v>440.23</v>
      </c>
      <c r="F11" s="29">
        <v>1750.96</v>
      </c>
      <c r="G11" s="29">
        <v>1095.2</v>
      </c>
      <c r="H11" s="29">
        <v>1552.23</v>
      </c>
    </row>
    <row r="12" spans="1:8" x14ac:dyDescent="0.3">
      <c r="A12" s="19" t="s">
        <v>27</v>
      </c>
      <c r="B12" s="22">
        <v>128</v>
      </c>
      <c r="C12" s="28">
        <v>23525.23</v>
      </c>
      <c r="D12" s="29">
        <v>1440.5</v>
      </c>
      <c r="E12" s="29">
        <v>323.5</v>
      </c>
      <c r="F12" s="29">
        <v>1895.4</v>
      </c>
      <c r="G12" s="29">
        <v>1232.2</v>
      </c>
      <c r="H12" s="29">
        <v>1453.2</v>
      </c>
    </row>
    <row r="13" spans="1:8" x14ac:dyDescent="0.3">
      <c r="A13" s="19" t="s">
        <v>28</v>
      </c>
      <c r="B13" s="22">
        <v>129</v>
      </c>
      <c r="C13" s="28">
        <v>25452.23</v>
      </c>
      <c r="D13" s="29">
        <v>1652.2</v>
      </c>
      <c r="E13" s="29">
        <v>725.23</v>
      </c>
      <c r="F13" s="29">
        <v>1995.23</v>
      </c>
      <c r="G13" s="29">
        <v>1551.23</v>
      </c>
      <c r="H13" s="29">
        <v>1553.23</v>
      </c>
    </row>
    <row r="14" spans="1:8" x14ac:dyDescent="0.3">
      <c r="A14" s="19" t="s">
        <v>29</v>
      </c>
      <c r="B14" s="22">
        <v>130</v>
      </c>
      <c r="C14" s="28">
        <v>25952.23</v>
      </c>
      <c r="D14" s="29">
        <v>1752.23</v>
      </c>
      <c r="E14" s="29">
        <v>650.23</v>
      </c>
      <c r="F14" s="29">
        <v>2300.25</v>
      </c>
      <c r="G14" s="29">
        <v>1652.23</v>
      </c>
      <c r="H14" s="29">
        <v>1223.5</v>
      </c>
    </row>
    <row r="15" spans="1:8" x14ac:dyDescent="0.3">
      <c r="A15" s="19" t="s">
        <v>34</v>
      </c>
      <c r="B15" s="22">
        <v>145</v>
      </c>
      <c r="C15" s="28">
        <v>26452.3</v>
      </c>
      <c r="D15" s="29">
        <v>745.23</v>
      </c>
      <c r="E15" s="29">
        <v>650.23</v>
      </c>
      <c r="F15" s="29">
        <v>4200.2299999999996</v>
      </c>
      <c r="G15" s="29">
        <v>1110.5</v>
      </c>
      <c r="H15" s="29">
        <v>1123.5</v>
      </c>
    </row>
    <row r="16" spans="1:8" x14ac:dyDescent="0.3">
      <c r="A16" s="19" t="s">
        <v>30</v>
      </c>
      <c r="B16" s="22">
        <v>143</v>
      </c>
      <c r="C16" s="28">
        <v>26750.23</v>
      </c>
      <c r="D16" s="29">
        <v>1552.45</v>
      </c>
      <c r="E16" s="29">
        <v>725.23</v>
      </c>
      <c r="F16" s="29">
        <v>3300.23</v>
      </c>
      <c r="G16" s="29">
        <v>1023.5</v>
      </c>
      <c r="H16" s="29">
        <v>1252.25</v>
      </c>
    </row>
    <row r="17" spans="1:8" x14ac:dyDescent="0.3">
      <c r="A17" s="19" t="s">
        <v>31</v>
      </c>
      <c r="B17" s="22">
        <v>150</v>
      </c>
      <c r="C17" s="28">
        <v>27450.23</v>
      </c>
      <c r="D17" s="29">
        <v>1650.23</v>
      </c>
      <c r="E17" s="29">
        <v>995.23</v>
      </c>
      <c r="F17" s="29">
        <v>4500.2299999999996</v>
      </c>
      <c r="G17" s="29">
        <v>1200.25</v>
      </c>
      <c r="H17" s="29">
        <v>1352.56</v>
      </c>
    </row>
    <row r="18" spans="1:8" x14ac:dyDescent="0.3">
      <c r="A18" s="19" t="s">
        <v>32</v>
      </c>
      <c r="B18" s="22">
        <v>152</v>
      </c>
      <c r="C18" s="28">
        <v>27152.23</v>
      </c>
      <c r="D18" s="29">
        <v>1558.23</v>
      </c>
      <c r="E18" s="29">
        <v>996.75</v>
      </c>
      <c r="F18" s="29">
        <v>3885.45</v>
      </c>
      <c r="G18" s="29">
        <v>1543.6</v>
      </c>
      <c r="H18" s="29">
        <v>1852.4</v>
      </c>
    </row>
    <row r="19" spans="1:8" x14ac:dyDescent="0.3">
      <c r="A19" s="19" t="s">
        <v>11</v>
      </c>
      <c r="C19" s="28">
        <v>301566.56</v>
      </c>
      <c r="D19" s="29">
        <v>18074.97</v>
      </c>
      <c r="E19" s="29">
        <v>7722.9</v>
      </c>
      <c r="F19" s="29">
        <v>31099.719999999998</v>
      </c>
      <c r="G19" s="29">
        <v>14760.5</v>
      </c>
      <c r="H19" s="29">
        <v>17479.580000000002</v>
      </c>
    </row>
  </sheetData>
  <sortState ref="A6:H19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pageSetUpPr fitToPage="1"/>
  </sheetPr>
  <dimension ref="A1:F19"/>
  <sheetViews>
    <sheetView showGridLines="0" workbookViewId="0"/>
  </sheetViews>
  <sheetFormatPr baseColWidth="10" defaultRowHeight="16.5" x14ac:dyDescent="0.3"/>
  <cols>
    <col min="1" max="1" width="12.875" style="19" bestFit="1" customWidth="1"/>
    <col min="2" max="3" width="12.375" style="19" bestFit="1" customWidth="1"/>
    <col min="4" max="4" width="11.375" style="19" bestFit="1" customWidth="1"/>
    <col min="5" max="6" width="12.875" style="19" bestFit="1" customWidth="1"/>
    <col min="7" max="16384" width="11" style="19"/>
  </cols>
  <sheetData>
    <row r="1" spans="1:6" ht="15.75" customHeight="1" x14ac:dyDescent="0.3"/>
    <row r="2" spans="1:6" ht="20.25" customHeight="1" x14ac:dyDescent="0.3">
      <c r="A2" s="25" t="s">
        <v>38</v>
      </c>
    </row>
    <row r="4" spans="1:6" hidden="1" x14ac:dyDescent="0.3">
      <c r="A4" s="20" t="s">
        <v>23</v>
      </c>
      <c r="B4" s="20" t="s">
        <v>13</v>
      </c>
      <c r="F4"/>
    </row>
    <row r="5" spans="1:6" x14ac:dyDescent="0.3">
      <c r="A5" s="20" t="s">
        <v>12</v>
      </c>
      <c r="B5" s="22">
        <v>2019</v>
      </c>
      <c r="C5" s="22">
        <v>2020</v>
      </c>
      <c r="D5" s="22">
        <v>2021</v>
      </c>
      <c r="E5" s="19" t="s">
        <v>11</v>
      </c>
      <c r="F5"/>
    </row>
    <row r="6" spans="1:6" x14ac:dyDescent="0.3">
      <c r="A6" s="23" t="s">
        <v>0</v>
      </c>
      <c r="B6" s="29">
        <v>20325.2</v>
      </c>
      <c r="C6" s="29">
        <v>27845.23</v>
      </c>
      <c r="D6" s="29">
        <v>28453.23</v>
      </c>
      <c r="E6" s="29">
        <v>76623.66</v>
      </c>
      <c r="F6"/>
    </row>
    <row r="7" spans="1:6" x14ac:dyDescent="0.3">
      <c r="A7" s="23" t="s">
        <v>1</v>
      </c>
      <c r="B7" s="29">
        <v>23500</v>
      </c>
      <c r="C7" s="29">
        <v>27996.23</v>
      </c>
      <c r="D7" s="29"/>
      <c r="E7" s="29">
        <v>51496.229999999996</v>
      </c>
      <c r="F7"/>
    </row>
    <row r="8" spans="1:6" x14ac:dyDescent="0.3">
      <c r="A8" s="23" t="s">
        <v>33</v>
      </c>
      <c r="B8" s="29">
        <v>25230.25</v>
      </c>
      <c r="C8" s="29">
        <v>28452.23</v>
      </c>
      <c r="D8" s="29"/>
      <c r="E8" s="29">
        <v>53682.479999999996</v>
      </c>
      <c r="F8"/>
    </row>
    <row r="9" spans="1:6" x14ac:dyDescent="0.3">
      <c r="A9" s="23" t="s">
        <v>2</v>
      </c>
      <c r="B9" s="29">
        <v>25551.200000000001</v>
      </c>
      <c r="C9" s="29">
        <v>27541.65</v>
      </c>
      <c r="D9" s="29"/>
      <c r="E9" s="29">
        <v>53092.850000000006</v>
      </c>
      <c r="F9"/>
    </row>
    <row r="10" spans="1:6" x14ac:dyDescent="0.3">
      <c r="A10" s="23" t="s">
        <v>26</v>
      </c>
      <c r="B10" s="29">
        <v>24225.23</v>
      </c>
      <c r="C10" s="29">
        <v>28225.65</v>
      </c>
      <c r="D10" s="29"/>
      <c r="E10" s="29">
        <v>52450.880000000005</v>
      </c>
      <c r="F10"/>
    </row>
    <row r="11" spans="1:6" x14ac:dyDescent="0.3">
      <c r="A11" s="23" t="s">
        <v>27</v>
      </c>
      <c r="B11" s="29">
        <v>23525.23</v>
      </c>
      <c r="C11" s="29"/>
      <c r="D11" s="29"/>
      <c r="E11" s="29">
        <v>23525.23</v>
      </c>
      <c r="F11"/>
    </row>
    <row r="12" spans="1:6" x14ac:dyDescent="0.3">
      <c r="A12" s="23" t="s">
        <v>28</v>
      </c>
      <c r="B12" s="29">
        <v>25452.23</v>
      </c>
      <c r="C12" s="29"/>
      <c r="D12" s="29"/>
      <c r="E12" s="29">
        <v>25452.23</v>
      </c>
      <c r="F12"/>
    </row>
    <row r="13" spans="1:6" x14ac:dyDescent="0.3">
      <c r="A13" s="23" t="s">
        <v>29</v>
      </c>
      <c r="B13" s="29">
        <v>25952.23</v>
      </c>
      <c r="C13" s="29"/>
      <c r="D13" s="29"/>
      <c r="E13" s="29">
        <v>25952.23</v>
      </c>
      <c r="F13"/>
    </row>
    <row r="14" spans="1:6" x14ac:dyDescent="0.3">
      <c r="A14" s="23" t="s">
        <v>34</v>
      </c>
      <c r="B14" s="29">
        <v>26452.3</v>
      </c>
      <c r="C14" s="29"/>
      <c r="D14" s="29"/>
      <c r="E14" s="29">
        <v>26452.3</v>
      </c>
      <c r="F14"/>
    </row>
    <row r="15" spans="1:6" x14ac:dyDescent="0.3">
      <c r="A15" s="23" t="s">
        <v>30</v>
      </c>
      <c r="B15" s="29">
        <v>26750.23</v>
      </c>
      <c r="C15" s="29"/>
      <c r="D15" s="29"/>
      <c r="E15" s="29">
        <v>26750.23</v>
      </c>
      <c r="F15"/>
    </row>
    <row r="16" spans="1:6" x14ac:dyDescent="0.3">
      <c r="A16" s="23" t="s">
        <v>31</v>
      </c>
      <c r="B16" s="29">
        <v>27450.23</v>
      </c>
      <c r="C16" s="29"/>
      <c r="D16" s="29"/>
      <c r="E16" s="29">
        <v>27450.23</v>
      </c>
      <c r="F16"/>
    </row>
    <row r="17" spans="1:6" x14ac:dyDescent="0.3">
      <c r="A17" s="23" t="s">
        <v>32</v>
      </c>
      <c r="B17" s="29">
        <v>27152.23</v>
      </c>
      <c r="C17" s="29"/>
      <c r="D17" s="29"/>
      <c r="E17" s="29">
        <v>27152.23</v>
      </c>
      <c r="F17"/>
    </row>
    <row r="18" spans="1:6" x14ac:dyDescent="0.3">
      <c r="A18" s="23" t="s">
        <v>11</v>
      </c>
      <c r="B18" s="29">
        <v>301566.56</v>
      </c>
      <c r="C18" s="29">
        <v>140060.99</v>
      </c>
      <c r="D18" s="29">
        <v>28453.23</v>
      </c>
      <c r="E18" s="29">
        <v>470080.77999999985</v>
      </c>
      <c r="F18"/>
    </row>
    <row r="19" spans="1:6" x14ac:dyDescent="0.3">
      <c r="A19"/>
      <c r="B19"/>
      <c r="C19"/>
      <c r="D19"/>
      <c r="E19"/>
      <c r="F19"/>
    </row>
  </sheetData>
  <sortState ref="A4:E18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scale="86" orientation="landscape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2:F19"/>
  <sheetViews>
    <sheetView showGridLines="0" zoomScaleNormal="100" workbookViewId="0">
      <selection activeCell="H15" sqref="H15"/>
    </sheetView>
  </sheetViews>
  <sheetFormatPr baseColWidth="10" defaultRowHeight="16.5" x14ac:dyDescent="0.3"/>
  <cols>
    <col min="1" max="1" width="12.875" style="19" bestFit="1" customWidth="1"/>
    <col min="2" max="2" width="11.375" style="19" bestFit="1" customWidth="1"/>
    <col min="3" max="4" width="10.375" style="19" bestFit="1" customWidth="1"/>
    <col min="5" max="6" width="12.875" style="19" bestFit="1" customWidth="1"/>
    <col min="7" max="16384" width="11" style="19"/>
  </cols>
  <sheetData>
    <row r="2" spans="1:6" ht="18.75" x14ac:dyDescent="0.3">
      <c r="A2" s="30" t="s">
        <v>39</v>
      </c>
    </row>
    <row r="3" spans="1:6" ht="15.75" customHeight="1" x14ac:dyDescent="0.3"/>
    <row r="4" spans="1:6" hidden="1" x14ac:dyDescent="0.3">
      <c r="A4" s="20" t="s">
        <v>16</v>
      </c>
      <c r="B4" s="20" t="s">
        <v>13</v>
      </c>
      <c r="F4"/>
    </row>
    <row r="5" spans="1:6" x14ac:dyDescent="0.3">
      <c r="A5" s="20" t="s">
        <v>12</v>
      </c>
      <c r="B5" s="22">
        <v>2019</v>
      </c>
      <c r="C5" s="22">
        <v>2020</v>
      </c>
      <c r="D5" s="22">
        <v>2021</v>
      </c>
      <c r="E5" s="19" t="s">
        <v>11</v>
      </c>
      <c r="F5"/>
    </row>
    <row r="6" spans="1:6" x14ac:dyDescent="0.3">
      <c r="A6" s="23" t="s">
        <v>0</v>
      </c>
      <c r="B6" s="29">
        <v>1325.2</v>
      </c>
      <c r="C6" s="29">
        <v>1652.5</v>
      </c>
      <c r="D6" s="29">
        <v>1553.55</v>
      </c>
      <c r="E6" s="29">
        <v>4531.25</v>
      </c>
      <c r="F6"/>
    </row>
    <row r="7" spans="1:6" x14ac:dyDescent="0.3">
      <c r="A7" s="23" t="s">
        <v>1</v>
      </c>
      <c r="B7" s="29">
        <v>1500</v>
      </c>
      <c r="C7" s="29">
        <v>1554.23</v>
      </c>
      <c r="D7" s="29"/>
      <c r="E7" s="29">
        <v>3054.23</v>
      </c>
      <c r="F7"/>
    </row>
    <row r="8" spans="1:6" x14ac:dyDescent="0.3">
      <c r="A8" s="23" t="s">
        <v>33</v>
      </c>
      <c r="B8" s="29">
        <v>1625.3</v>
      </c>
      <c r="C8" s="29">
        <v>1554.58</v>
      </c>
      <c r="D8" s="29"/>
      <c r="E8" s="29">
        <v>3179.88</v>
      </c>
      <c r="F8"/>
    </row>
    <row r="9" spans="1:6" x14ac:dyDescent="0.3">
      <c r="A9" s="23" t="s">
        <v>2</v>
      </c>
      <c r="B9" s="29">
        <v>1723.2</v>
      </c>
      <c r="C9" s="29">
        <v>1563.23</v>
      </c>
      <c r="D9" s="29"/>
      <c r="E9" s="29">
        <v>3286.4300000000003</v>
      </c>
      <c r="F9"/>
    </row>
    <row r="10" spans="1:6" x14ac:dyDescent="0.3">
      <c r="A10" s="23" t="s">
        <v>26</v>
      </c>
      <c r="B10" s="29">
        <v>1550.2</v>
      </c>
      <c r="C10" s="29">
        <v>1425.65</v>
      </c>
      <c r="D10" s="29"/>
      <c r="E10" s="29">
        <v>2975.8500000000004</v>
      </c>
      <c r="F10"/>
    </row>
    <row r="11" spans="1:6" x14ac:dyDescent="0.3">
      <c r="A11" s="23" t="s">
        <v>27</v>
      </c>
      <c r="B11" s="29">
        <v>1440.5</v>
      </c>
      <c r="C11" s="29"/>
      <c r="D11" s="29"/>
      <c r="E11" s="29">
        <v>1440.5</v>
      </c>
      <c r="F11"/>
    </row>
    <row r="12" spans="1:6" x14ac:dyDescent="0.3">
      <c r="A12" s="23" t="s">
        <v>28</v>
      </c>
      <c r="B12" s="29">
        <v>1652.2</v>
      </c>
      <c r="C12" s="29"/>
      <c r="D12" s="29"/>
      <c r="E12" s="29">
        <v>1652.2</v>
      </c>
      <c r="F12"/>
    </row>
    <row r="13" spans="1:6" x14ac:dyDescent="0.3">
      <c r="A13" s="23" t="s">
        <v>29</v>
      </c>
      <c r="B13" s="29">
        <v>1752.23</v>
      </c>
      <c r="C13" s="29"/>
      <c r="D13" s="29"/>
      <c r="E13" s="29">
        <v>1752.23</v>
      </c>
      <c r="F13"/>
    </row>
    <row r="14" spans="1:6" x14ac:dyDescent="0.3">
      <c r="A14" s="23" t="s">
        <v>34</v>
      </c>
      <c r="B14" s="29">
        <v>745.23</v>
      </c>
      <c r="C14" s="29"/>
      <c r="D14" s="29"/>
      <c r="E14" s="29">
        <v>745.23</v>
      </c>
      <c r="F14"/>
    </row>
    <row r="15" spans="1:6" x14ac:dyDescent="0.3">
      <c r="A15" s="23" t="s">
        <v>30</v>
      </c>
      <c r="B15" s="29">
        <v>1552.45</v>
      </c>
      <c r="C15" s="29"/>
      <c r="D15" s="29"/>
      <c r="E15" s="29">
        <v>1552.45</v>
      </c>
      <c r="F15"/>
    </row>
    <row r="16" spans="1:6" x14ac:dyDescent="0.3">
      <c r="A16" s="23" t="s">
        <v>31</v>
      </c>
      <c r="B16" s="29">
        <v>1650.23</v>
      </c>
      <c r="C16" s="29"/>
      <c r="D16" s="29"/>
      <c r="E16" s="29">
        <v>1650.23</v>
      </c>
      <c r="F16"/>
    </row>
    <row r="17" spans="1:6" x14ac:dyDescent="0.3">
      <c r="A17" s="23" t="s">
        <v>32</v>
      </c>
      <c r="B17" s="29">
        <v>1558.23</v>
      </c>
      <c r="C17" s="29"/>
      <c r="D17" s="29"/>
      <c r="E17" s="29">
        <v>1558.23</v>
      </c>
      <c r="F17"/>
    </row>
    <row r="18" spans="1:6" x14ac:dyDescent="0.3">
      <c r="A18" s="23" t="s">
        <v>11</v>
      </c>
      <c r="B18" s="29">
        <v>18074.97</v>
      </c>
      <c r="C18" s="29">
        <v>7750.1899999999987</v>
      </c>
      <c r="D18" s="29">
        <v>1553.55</v>
      </c>
      <c r="E18" s="29">
        <v>27378.71</v>
      </c>
      <c r="F18"/>
    </row>
    <row r="19" spans="1:6" x14ac:dyDescent="0.3">
      <c r="A19"/>
      <c r="B19"/>
      <c r="C19"/>
      <c r="D19"/>
      <c r="E19"/>
      <c r="F19"/>
    </row>
  </sheetData>
  <sortState ref="A4:E18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scale="89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2:F19"/>
  <sheetViews>
    <sheetView showGridLines="0" workbookViewId="0"/>
  </sheetViews>
  <sheetFormatPr baseColWidth="10" defaultRowHeight="16.5" x14ac:dyDescent="0.3"/>
  <cols>
    <col min="1" max="1" width="12.875" style="19" bestFit="1" customWidth="1"/>
    <col min="2" max="3" width="10.375" style="19" bestFit="1" customWidth="1"/>
    <col min="4" max="4" width="8.875" style="19" bestFit="1" customWidth="1"/>
    <col min="5" max="6" width="12.875" style="19" bestFit="1" customWidth="1"/>
    <col min="7" max="16384" width="11" style="19"/>
  </cols>
  <sheetData>
    <row r="2" spans="1:6" ht="22.5" x14ac:dyDescent="0.3">
      <c r="A2" s="25" t="s">
        <v>40</v>
      </c>
    </row>
    <row r="3" spans="1:6" ht="15.75" customHeight="1" x14ac:dyDescent="0.3"/>
    <row r="4" spans="1:6" hidden="1" x14ac:dyDescent="0.3">
      <c r="A4" s="20" t="s">
        <v>17</v>
      </c>
      <c r="B4" s="20" t="s">
        <v>13</v>
      </c>
      <c r="F4"/>
    </row>
    <row r="5" spans="1:6" x14ac:dyDescent="0.3">
      <c r="A5" s="20" t="s">
        <v>12</v>
      </c>
      <c r="B5" s="22">
        <v>2019</v>
      </c>
      <c r="C5" s="22">
        <v>2020</v>
      </c>
      <c r="D5" s="22">
        <v>2021</v>
      </c>
      <c r="E5" s="19" t="s">
        <v>11</v>
      </c>
      <c r="F5"/>
    </row>
    <row r="6" spans="1:6" x14ac:dyDescent="0.3">
      <c r="A6" s="23" t="s">
        <v>0</v>
      </c>
      <c r="B6" s="29">
        <v>435.3</v>
      </c>
      <c r="C6" s="29">
        <v>1150.23</v>
      </c>
      <c r="D6" s="29">
        <v>996.78</v>
      </c>
      <c r="E6" s="29">
        <v>2582.31</v>
      </c>
      <c r="F6"/>
    </row>
    <row r="7" spans="1:6" x14ac:dyDescent="0.3">
      <c r="A7" s="23" t="s">
        <v>1</v>
      </c>
      <c r="B7" s="29">
        <v>500</v>
      </c>
      <c r="C7" s="29">
        <v>1095.45</v>
      </c>
      <c r="D7" s="29"/>
      <c r="E7" s="29">
        <v>1595.45</v>
      </c>
      <c r="F7"/>
    </row>
    <row r="8" spans="1:6" x14ac:dyDescent="0.3">
      <c r="A8" s="23" t="s">
        <v>33</v>
      </c>
      <c r="B8" s="29">
        <v>635.45000000000005</v>
      </c>
      <c r="C8" s="29">
        <v>1145.25</v>
      </c>
      <c r="D8" s="29"/>
      <c r="E8" s="29">
        <v>1780.7</v>
      </c>
      <c r="F8"/>
    </row>
    <row r="9" spans="1:6" x14ac:dyDescent="0.3">
      <c r="A9" s="23" t="s">
        <v>2</v>
      </c>
      <c r="B9" s="29">
        <v>645.52</v>
      </c>
      <c r="C9" s="29">
        <v>1050.25</v>
      </c>
      <c r="D9" s="29"/>
      <c r="E9" s="29">
        <v>1695.77</v>
      </c>
      <c r="F9"/>
    </row>
    <row r="10" spans="1:6" x14ac:dyDescent="0.3">
      <c r="A10" s="23" t="s">
        <v>26</v>
      </c>
      <c r="B10" s="29">
        <v>440.23</v>
      </c>
      <c r="C10" s="29">
        <v>999.88</v>
      </c>
      <c r="D10" s="29"/>
      <c r="E10" s="29">
        <v>1440.1100000000001</v>
      </c>
      <c r="F10"/>
    </row>
    <row r="11" spans="1:6" x14ac:dyDescent="0.3">
      <c r="A11" s="23" t="s">
        <v>27</v>
      </c>
      <c r="B11" s="29">
        <v>323.5</v>
      </c>
      <c r="C11" s="29"/>
      <c r="D11" s="29"/>
      <c r="E11" s="29">
        <v>323.5</v>
      </c>
      <c r="F11"/>
    </row>
    <row r="12" spans="1:6" x14ac:dyDescent="0.3">
      <c r="A12" s="23" t="s">
        <v>28</v>
      </c>
      <c r="B12" s="29">
        <v>725.23</v>
      </c>
      <c r="C12" s="29"/>
      <c r="D12" s="29"/>
      <c r="E12" s="29">
        <v>725.23</v>
      </c>
      <c r="F12"/>
    </row>
    <row r="13" spans="1:6" x14ac:dyDescent="0.3">
      <c r="A13" s="23" t="s">
        <v>29</v>
      </c>
      <c r="B13" s="29">
        <v>650.23</v>
      </c>
      <c r="C13" s="29"/>
      <c r="D13" s="29"/>
      <c r="E13" s="29">
        <v>650.23</v>
      </c>
      <c r="F13"/>
    </row>
    <row r="14" spans="1:6" x14ac:dyDescent="0.3">
      <c r="A14" s="23" t="s">
        <v>34</v>
      </c>
      <c r="B14" s="29">
        <v>650.23</v>
      </c>
      <c r="C14" s="29"/>
      <c r="D14" s="29"/>
      <c r="E14" s="29">
        <v>650.23</v>
      </c>
      <c r="F14"/>
    </row>
    <row r="15" spans="1:6" x14ac:dyDescent="0.3">
      <c r="A15" s="23" t="s">
        <v>30</v>
      </c>
      <c r="B15" s="29">
        <v>725.23</v>
      </c>
      <c r="C15" s="29"/>
      <c r="D15" s="29"/>
      <c r="E15" s="29">
        <v>725.23</v>
      </c>
      <c r="F15"/>
    </row>
    <row r="16" spans="1:6" x14ac:dyDescent="0.3">
      <c r="A16" s="23" t="s">
        <v>31</v>
      </c>
      <c r="B16" s="29">
        <v>995.23</v>
      </c>
      <c r="C16" s="29"/>
      <c r="D16" s="29"/>
      <c r="E16" s="29">
        <v>995.23</v>
      </c>
      <c r="F16"/>
    </row>
    <row r="17" spans="1:6" x14ac:dyDescent="0.3">
      <c r="A17" s="23" t="s">
        <v>32</v>
      </c>
      <c r="B17" s="29">
        <v>996.75</v>
      </c>
      <c r="C17" s="29"/>
      <c r="D17" s="29"/>
      <c r="E17" s="29">
        <v>996.75</v>
      </c>
      <c r="F17"/>
    </row>
    <row r="18" spans="1:6" x14ac:dyDescent="0.3">
      <c r="A18" s="23" t="s">
        <v>11</v>
      </c>
      <c r="B18" s="29">
        <v>7722.9</v>
      </c>
      <c r="C18" s="29">
        <v>5441.06</v>
      </c>
      <c r="D18" s="29">
        <v>996.78</v>
      </c>
      <c r="E18" s="29">
        <v>14160.739999999998</v>
      </c>
      <c r="F18"/>
    </row>
    <row r="19" spans="1:6" x14ac:dyDescent="0.3">
      <c r="A19"/>
      <c r="B19"/>
      <c r="C19"/>
      <c r="D19"/>
      <c r="E19"/>
      <c r="F19"/>
    </row>
  </sheetData>
  <sortState ref="A4:E18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scale="77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2:F19"/>
  <sheetViews>
    <sheetView showGridLines="0" topLeftCell="A5" workbookViewId="0">
      <selection activeCell="I13" sqref="I13"/>
    </sheetView>
  </sheetViews>
  <sheetFormatPr baseColWidth="10" defaultRowHeight="16.5" x14ac:dyDescent="0.3"/>
  <cols>
    <col min="1" max="1" width="12.875" style="19" bestFit="1" customWidth="1"/>
    <col min="2" max="3" width="11.375" style="19" bestFit="1" customWidth="1"/>
    <col min="4" max="4" width="10.375" style="19" bestFit="1" customWidth="1"/>
    <col min="5" max="6" width="12.875" style="19" bestFit="1" customWidth="1"/>
    <col min="7" max="16384" width="11" style="19"/>
  </cols>
  <sheetData>
    <row r="2" spans="1:6" ht="22.5" x14ac:dyDescent="0.3">
      <c r="A2" s="31" t="s">
        <v>41</v>
      </c>
    </row>
    <row r="3" spans="1:6" ht="15.75" customHeight="1" x14ac:dyDescent="0.3"/>
    <row r="4" spans="1:6" hidden="1" x14ac:dyDescent="0.3">
      <c r="A4" s="20" t="s">
        <v>18</v>
      </c>
      <c r="B4" s="20" t="s">
        <v>13</v>
      </c>
      <c r="F4"/>
    </row>
    <row r="5" spans="1:6" x14ac:dyDescent="0.3">
      <c r="A5" s="20" t="s">
        <v>12</v>
      </c>
      <c r="B5" s="22">
        <v>2019</v>
      </c>
      <c r="C5" s="22">
        <v>2020</v>
      </c>
      <c r="D5" s="22">
        <v>2021</v>
      </c>
      <c r="E5" s="19" t="s">
        <v>11</v>
      </c>
      <c r="F5"/>
    </row>
    <row r="6" spans="1:6" x14ac:dyDescent="0.3">
      <c r="A6" s="23" t="s">
        <v>0</v>
      </c>
      <c r="B6" s="29">
        <v>1735.89</v>
      </c>
      <c r="C6" s="29">
        <v>4852.2299999999996</v>
      </c>
      <c r="D6" s="29">
        <v>4588.58</v>
      </c>
      <c r="E6" s="29">
        <v>11176.7</v>
      </c>
      <c r="F6"/>
    </row>
    <row r="7" spans="1:6" x14ac:dyDescent="0.3">
      <c r="A7" s="23" t="s">
        <v>1</v>
      </c>
      <c r="B7" s="29">
        <v>1800</v>
      </c>
      <c r="C7" s="29">
        <v>4974.2299999999996</v>
      </c>
      <c r="D7" s="29"/>
      <c r="E7" s="29">
        <v>6774.23</v>
      </c>
      <c r="F7"/>
    </row>
    <row r="8" spans="1:6" x14ac:dyDescent="0.3">
      <c r="A8" s="23" t="s">
        <v>33</v>
      </c>
      <c r="B8" s="29">
        <v>1840.6</v>
      </c>
      <c r="C8" s="29">
        <v>4587.2299999999996</v>
      </c>
      <c r="D8" s="29"/>
      <c r="E8" s="29">
        <v>6427.83</v>
      </c>
      <c r="F8"/>
    </row>
    <row r="9" spans="1:6" x14ac:dyDescent="0.3">
      <c r="A9" s="23" t="s">
        <v>2</v>
      </c>
      <c r="B9" s="29">
        <v>1895.25</v>
      </c>
      <c r="C9" s="29">
        <v>4223.25</v>
      </c>
      <c r="D9" s="29"/>
      <c r="E9" s="29">
        <v>6118.5</v>
      </c>
      <c r="F9"/>
    </row>
    <row r="10" spans="1:6" x14ac:dyDescent="0.3">
      <c r="A10" s="23" t="s">
        <v>26</v>
      </c>
      <c r="B10" s="29">
        <v>1750.96</v>
      </c>
      <c r="C10" s="29">
        <v>4150.2299999999996</v>
      </c>
      <c r="D10" s="29"/>
      <c r="E10" s="29">
        <v>5901.19</v>
      </c>
      <c r="F10"/>
    </row>
    <row r="11" spans="1:6" x14ac:dyDescent="0.3">
      <c r="A11" s="23" t="s">
        <v>27</v>
      </c>
      <c r="B11" s="29">
        <v>1895.4</v>
      </c>
      <c r="C11" s="29"/>
      <c r="D11" s="29"/>
      <c r="E11" s="29">
        <v>1895.4</v>
      </c>
      <c r="F11"/>
    </row>
    <row r="12" spans="1:6" x14ac:dyDescent="0.3">
      <c r="A12" s="23" t="s">
        <v>28</v>
      </c>
      <c r="B12" s="29">
        <v>1995.23</v>
      </c>
      <c r="C12" s="29"/>
      <c r="D12" s="29"/>
      <c r="E12" s="29">
        <v>1995.23</v>
      </c>
      <c r="F12"/>
    </row>
    <row r="13" spans="1:6" x14ac:dyDescent="0.3">
      <c r="A13" s="23" t="s">
        <v>29</v>
      </c>
      <c r="B13" s="29">
        <v>2300.25</v>
      </c>
      <c r="C13" s="29"/>
      <c r="D13" s="29"/>
      <c r="E13" s="29">
        <v>2300.25</v>
      </c>
      <c r="F13"/>
    </row>
    <row r="14" spans="1:6" x14ac:dyDescent="0.3">
      <c r="A14" s="23" t="s">
        <v>34</v>
      </c>
      <c r="B14" s="29">
        <v>4200.2299999999996</v>
      </c>
      <c r="C14" s="29"/>
      <c r="D14" s="29"/>
      <c r="E14" s="29">
        <v>4200.2299999999996</v>
      </c>
      <c r="F14"/>
    </row>
    <row r="15" spans="1:6" x14ac:dyDescent="0.3">
      <c r="A15" s="23" t="s">
        <v>30</v>
      </c>
      <c r="B15" s="29">
        <v>3300.23</v>
      </c>
      <c r="C15" s="29"/>
      <c r="D15" s="29"/>
      <c r="E15" s="29">
        <v>3300.23</v>
      </c>
      <c r="F15"/>
    </row>
    <row r="16" spans="1:6" x14ac:dyDescent="0.3">
      <c r="A16" s="23" t="s">
        <v>31</v>
      </c>
      <c r="B16" s="29">
        <v>4500.2299999999996</v>
      </c>
      <c r="C16" s="29"/>
      <c r="D16" s="29"/>
      <c r="E16" s="29">
        <v>4500.2299999999996</v>
      </c>
      <c r="F16"/>
    </row>
    <row r="17" spans="1:6" x14ac:dyDescent="0.3">
      <c r="A17" s="23" t="s">
        <v>32</v>
      </c>
      <c r="B17" s="29">
        <v>3885.45</v>
      </c>
      <c r="C17" s="29"/>
      <c r="D17" s="29"/>
      <c r="E17" s="29">
        <v>3885.45</v>
      </c>
      <c r="F17"/>
    </row>
    <row r="18" spans="1:6" x14ac:dyDescent="0.3">
      <c r="A18" s="23" t="s">
        <v>11</v>
      </c>
      <c r="B18" s="29">
        <v>31099.719999999998</v>
      </c>
      <c r="C18" s="29">
        <v>22787.17</v>
      </c>
      <c r="D18" s="29">
        <v>4588.58</v>
      </c>
      <c r="E18" s="29">
        <v>58475.470000000016</v>
      </c>
      <c r="F18"/>
    </row>
    <row r="19" spans="1:6" x14ac:dyDescent="0.3">
      <c r="A19"/>
      <c r="B19"/>
      <c r="C19"/>
      <c r="D19"/>
      <c r="E19"/>
      <c r="F19"/>
    </row>
  </sheetData>
  <sortState ref="A4:E18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scale="81" orientation="landscape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A2:F19"/>
  <sheetViews>
    <sheetView showGridLines="0" workbookViewId="0"/>
  </sheetViews>
  <sheetFormatPr baseColWidth="10" defaultRowHeight="16.5" x14ac:dyDescent="0.3"/>
  <cols>
    <col min="1" max="1" width="13.5" style="19" bestFit="1" customWidth="1"/>
    <col min="2" max="2" width="11.375" style="19" bestFit="1" customWidth="1"/>
    <col min="3" max="4" width="10.375" style="19" bestFit="1" customWidth="1"/>
    <col min="5" max="6" width="12.875" style="19" bestFit="1" customWidth="1"/>
    <col min="7" max="16384" width="11" style="19"/>
  </cols>
  <sheetData>
    <row r="2" spans="1:6" ht="22.5" x14ac:dyDescent="0.3">
      <c r="A2" s="31" t="s">
        <v>42</v>
      </c>
    </row>
    <row r="3" spans="1:6" ht="15.75" customHeight="1" x14ac:dyDescent="0.3"/>
    <row r="4" spans="1:6" hidden="1" x14ac:dyDescent="0.3">
      <c r="A4" s="20" t="s">
        <v>19</v>
      </c>
      <c r="B4" s="20" t="s">
        <v>13</v>
      </c>
      <c r="F4"/>
    </row>
    <row r="5" spans="1:6" x14ac:dyDescent="0.3">
      <c r="A5" s="20" t="s">
        <v>12</v>
      </c>
      <c r="B5" s="22">
        <v>2019</v>
      </c>
      <c r="C5" s="22">
        <v>2020</v>
      </c>
      <c r="D5" s="22">
        <v>2021</v>
      </c>
      <c r="E5" s="19" t="s">
        <v>11</v>
      </c>
      <c r="F5"/>
    </row>
    <row r="6" spans="1:6" x14ac:dyDescent="0.3">
      <c r="A6" s="23" t="s">
        <v>0</v>
      </c>
      <c r="B6" s="29">
        <v>950.45</v>
      </c>
      <c r="C6" s="29">
        <v>1222.45</v>
      </c>
      <c r="D6" s="29">
        <v>1555.23</v>
      </c>
      <c r="E6" s="29">
        <v>3728.13</v>
      </c>
      <c r="F6"/>
    </row>
    <row r="7" spans="1:6" x14ac:dyDescent="0.3">
      <c r="A7" s="23" t="s">
        <v>1</v>
      </c>
      <c r="B7" s="29">
        <v>1000</v>
      </c>
      <c r="C7" s="29">
        <v>1852.5</v>
      </c>
      <c r="D7" s="29"/>
      <c r="E7" s="29">
        <v>2852.5</v>
      </c>
      <c r="F7"/>
    </row>
    <row r="8" spans="1:6" x14ac:dyDescent="0.3">
      <c r="A8" s="23" t="s">
        <v>33</v>
      </c>
      <c r="B8" s="29">
        <v>1150.1400000000001</v>
      </c>
      <c r="C8" s="29">
        <v>1456.74</v>
      </c>
      <c r="D8" s="29"/>
      <c r="E8" s="29">
        <v>2606.88</v>
      </c>
      <c r="F8"/>
    </row>
    <row r="9" spans="1:6" x14ac:dyDescent="0.3">
      <c r="A9" s="23" t="s">
        <v>2</v>
      </c>
      <c r="B9" s="29">
        <v>1251.2</v>
      </c>
      <c r="C9" s="29">
        <v>1225.98</v>
      </c>
      <c r="D9" s="29"/>
      <c r="E9" s="29">
        <v>2477.1800000000003</v>
      </c>
      <c r="F9"/>
    </row>
    <row r="10" spans="1:6" x14ac:dyDescent="0.3">
      <c r="A10" s="23" t="s">
        <v>26</v>
      </c>
      <c r="B10" s="29">
        <v>1095.2</v>
      </c>
      <c r="C10" s="29">
        <v>1223.8499999999999</v>
      </c>
      <c r="D10" s="29"/>
      <c r="E10" s="29">
        <v>2319.0500000000002</v>
      </c>
      <c r="F10"/>
    </row>
    <row r="11" spans="1:6" x14ac:dyDescent="0.3">
      <c r="A11" s="23" t="s">
        <v>27</v>
      </c>
      <c r="B11" s="29">
        <v>1232.2</v>
      </c>
      <c r="C11" s="29"/>
      <c r="D11" s="29"/>
      <c r="E11" s="29">
        <v>1232.2</v>
      </c>
      <c r="F11"/>
    </row>
    <row r="12" spans="1:6" x14ac:dyDescent="0.3">
      <c r="A12" s="23" t="s">
        <v>28</v>
      </c>
      <c r="B12" s="29">
        <v>1551.23</v>
      </c>
      <c r="C12" s="29"/>
      <c r="D12" s="29"/>
      <c r="E12" s="29">
        <v>1551.23</v>
      </c>
      <c r="F12"/>
    </row>
    <row r="13" spans="1:6" x14ac:dyDescent="0.3">
      <c r="A13" s="23" t="s">
        <v>29</v>
      </c>
      <c r="B13" s="29">
        <v>1652.23</v>
      </c>
      <c r="C13" s="29"/>
      <c r="D13" s="29"/>
      <c r="E13" s="29">
        <v>1652.23</v>
      </c>
      <c r="F13"/>
    </row>
    <row r="14" spans="1:6" x14ac:dyDescent="0.3">
      <c r="A14" s="23" t="s">
        <v>34</v>
      </c>
      <c r="B14" s="29">
        <v>1110.5</v>
      </c>
      <c r="C14" s="29"/>
      <c r="D14" s="29"/>
      <c r="E14" s="29">
        <v>1110.5</v>
      </c>
      <c r="F14"/>
    </row>
    <row r="15" spans="1:6" x14ac:dyDescent="0.3">
      <c r="A15" s="23" t="s">
        <v>30</v>
      </c>
      <c r="B15" s="29">
        <v>1023.5</v>
      </c>
      <c r="C15" s="29"/>
      <c r="D15" s="29"/>
      <c r="E15" s="29">
        <v>1023.5</v>
      </c>
      <c r="F15"/>
    </row>
    <row r="16" spans="1:6" x14ac:dyDescent="0.3">
      <c r="A16" s="23" t="s">
        <v>31</v>
      </c>
      <c r="B16" s="29">
        <v>1200.25</v>
      </c>
      <c r="C16" s="29"/>
      <c r="D16" s="29"/>
      <c r="E16" s="29">
        <v>1200.25</v>
      </c>
      <c r="F16"/>
    </row>
    <row r="17" spans="1:6" x14ac:dyDescent="0.3">
      <c r="A17" s="23" t="s">
        <v>32</v>
      </c>
      <c r="B17" s="29">
        <v>1543.6</v>
      </c>
      <c r="C17" s="29"/>
      <c r="D17" s="29"/>
      <c r="E17" s="29">
        <v>1543.6</v>
      </c>
      <c r="F17"/>
    </row>
    <row r="18" spans="1:6" x14ac:dyDescent="0.3">
      <c r="A18" s="23" t="s">
        <v>11</v>
      </c>
      <c r="B18" s="29">
        <v>14760.5</v>
      </c>
      <c r="C18" s="29">
        <v>6981.52</v>
      </c>
      <c r="D18" s="29">
        <v>1555.23</v>
      </c>
      <c r="E18" s="29">
        <v>23297.25</v>
      </c>
      <c r="F18"/>
    </row>
    <row r="19" spans="1:6" x14ac:dyDescent="0.3">
      <c r="A19"/>
      <c r="B19"/>
      <c r="C19"/>
      <c r="D19"/>
      <c r="E19"/>
      <c r="F19"/>
    </row>
  </sheetData>
  <sortState ref="A4:E18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scale="81" orientation="landscape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A2:F19"/>
  <sheetViews>
    <sheetView showGridLines="0" workbookViewId="0">
      <selection activeCell="G14" sqref="G14"/>
    </sheetView>
  </sheetViews>
  <sheetFormatPr baseColWidth="10" defaultRowHeight="16.5" x14ac:dyDescent="0.3"/>
  <cols>
    <col min="1" max="1" width="12.875" style="19" bestFit="1" customWidth="1"/>
    <col min="2" max="2" width="11.375" style="19" bestFit="1" customWidth="1"/>
    <col min="3" max="4" width="10.375" style="19" bestFit="1" customWidth="1"/>
    <col min="5" max="6" width="12.875" style="19" bestFit="1" customWidth="1"/>
    <col min="7" max="16384" width="11" style="19"/>
  </cols>
  <sheetData>
    <row r="2" spans="1:6" ht="22.5" x14ac:dyDescent="0.3">
      <c r="A2" s="31" t="s">
        <v>43</v>
      </c>
    </row>
    <row r="3" spans="1:6" ht="15.75" customHeight="1" x14ac:dyDescent="0.3"/>
    <row r="4" spans="1:6" hidden="1" x14ac:dyDescent="0.3">
      <c r="A4" s="20" t="s">
        <v>20</v>
      </c>
      <c r="B4" s="20" t="s">
        <v>13</v>
      </c>
      <c r="F4"/>
    </row>
    <row r="5" spans="1:6" x14ac:dyDescent="0.3">
      <c r="A5" s="20" t="s">
        <v>12</v>
      </c>
      <c r="B5" s="22">
        <v>2019</v>
      </c>
      <c r="C5" s="22">
        <v>2020</v>
      </c>
      <c r="D5" s="22">
        <v>2021</v>
      </c>
      <c r="E5" s="19" t="s">
        <v>11</v>
      </c>
      <c r="F5"/>
    </row>
    <row r="6" spans="1:6" x14ac:dyDescent="0.3">
      <c r="A6" s="23" t="s">
        <v>0</v>
      </c>
      <c r="B6" s="29">
        <v>1250.23</v>
      </c>
      <c r="C6" s="29">
        <v>1741.52</v>
      </c>
      <c r="D6" s="29">
        <v>1945.23</v>
      </c>
      <c r="E6" s="29">
        <v>4936.9799999999996</v>
      </c>
      <c r="F6"/>
    </row>
    <row r="7" spans="1:6" x14ac:dyDescent="0.3">
      <c r="A7" s="23" t="s">
        <v>1</v>
      </c>
      <c r="B7" s="29">
        <v>1500</v>
      </c>
      <c r="C7" s="29">
        <v>1945.6</v>
      </c>
      <c r="D7" s="29"/>
      <c r="E7" s="29">
        <v>3445.6</v>
      </c>
      <c r="F7"/>
    </row>
    <row r="8" spans="1:6" x14ac:dyDescent="0.3">
      <c r="A8" s="23" t="s">
        <v>33</v>
      </c>
      <c r="B8" s="29">
        <v>1651.23</v>
      </c>
      <c r="C8" s="29">
        <v>1845.65</v>
      </c>
      <c r="D8" s="29"/>
      <c r="E8" s="29">
        <v>3496.88</v>
      </c>
      <c r="F8"/>
    </row>
    <row r="9" spans="1:6" x14ac:dyDescent="0.3">
      <c r="A9" s="23" t="s">
        <v>2</v>
      </c>
      <c r="B9" s="29">
        <v>1715.25</v>
      </c>
      <c r="C9" s="29">
        <v>1743.25</v>
      </c>
      <c r="D9" s="29"/>
      <c r="E9" s="29">
        <v>3458.5</v>
      </c>
      <c r="F9"/>
    </row>
    <row r="10" spans="1:6" x14ac:dyDescent="0.3">
      <c r="A10" s="23" t="s">
        <v>26</v>
      </c>
      <c r="B10" s="29">
        <v>1552.23</v>
      </c>
      <c r="C10" s="29">
        <v>1785.45</v>
      </c>
      <c r="D10" s="29"/>
      <c r="E10" s="29">
        <v>3337.6800000000003</v>
      </c>
      <c r="F10"/>
    </row>
    <row r="11" spans="1:6" x14ac:dyDescent="0.3">
      <c r="A11" s="23" t="s">
        <v>27</v>
      </c>
      <c r="B11" s="29">
        <v>1453.2</v>
      </c>
      <c r="C11" s="29"/>
      <c r="D11" s="29"/>
      <c r="E11" s="29">
        <v>1453.2</v>
      </c>
      <c r="F11"/>
    </row>
    <row r="12" spans="1:6" x14ac:dyDescent="0.3">
      <c r="A12" s="23" t="s">
        <v>28</v>
      </c>
      <c r="B12" s="29">
        <v>1553.23</v>
      </c>
      <c r="C12" s="29"/>
      <c r="D12" s="29"/>
      <c r="E12" s="29">
        <v>1553.23</v>
      </c>
      <c r="F12"/>
    </row>
    <row r="13" spans="1:6" x14ac:dyDescent="0.3">
      <c r="A13" s="23" t="s">
        <v>29</v>
      </c>
      <c r="B13" s="29">
        <v>1223.5</v>
      </c>
      <c r="C13" s="29"/>
      <c r="D13" s="29"/>
      <c r="E13" s="29">
        <v>1223.5</v>
      </c>
      <c r="F13"/>
    </row>
    <row r="14" spans="1:6" x14ac:dyDescent="0.3">
      <c r="A14" s="23" t="s">
        <v>34</v>
      </c>
      <c r="B14" s="29">
        <v>1123.5</v>
      </c>
      <c r="C14" s="29"/>
      <c r="D14" s="29"/>
      <c r="E14" s="29">
        <v>1123.5</v>
      </c>
      <c r="F14"/>
    </row>
    <row r="15" spans="1:6" x14ac:dyDescent="0.3">
      <c r="A15" s="23" t="s">
        <v>30</v>
      </c>
      <c r="B15" s="29">
        <v>1252.25</v>
      </c>
      <c r="C15" s="29"/>
      <c r="D15" s="29"/>
      <c r="E15" s="29">
        <v>1252.25</v>
      </c>
      <c r="F15"/>
    </row>
    <row r="16" spans="1:6" x14ac:dyDescent="0.3">
      <c r="A16" s="23" t="s">
        <v>31</v>
      </c>
      <c r="B16" s="29">
        <v>1352.56</v>
      </c>
      <c r="C16" s="29"/>
      <c r="D16" s="29"/>
      <c r="E16" s="29">
        <v>1352.56</v>
      </c>
      <c r="F16"/>
    </row>
    <row r="17" spans="1:6" x14ac:dyDescent="0.3">
      <c r="A17" s="23" t="s">
        <v>32</v>
      </c>
      <c r="B17" s="29">
        <v>1852.4</v>
      </c>
      <c r="C17" s="29"/>
      <c r="D17" s="29"/>
      <c r="E17" s="29">
        <v>1852.4</v>
      </c>
      <c r="F17"/>
    </row>
    <row r="18" spans="1:6" x14ac:dyDescent="0.3">
      <c r="A18" s="23" t="s">
        <v>11</v>
      </c>
      <c r="B18" s="29">
        <v>17479.580000000002</v>
      </c>
      <c r="C18" s="29">
        <v>9061.4700000000012</v>
      </c>
      <c r="D18" s="29">
        <v>1945.23</v>
      </c>
      <c r="E18" s="29">
        <v>28486.280000000002</v>
      </c>
      <c r="F18"/>
    </row>
    <row r="19" spans="1:6" x14ac:dyDescent="0.3">
      <c r="A19"/>
      <c r="B19"/>
      <c r="C19"/>
      <c r="D19"/>
      <c r="E19"/>
      <c r="F19"/>
    </row>
  </sheetData>
  <sortState ref="A4:E18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scale="82" orientation="landscape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pageSetUpPr fitToPage="1"/>
  </sheetPr>
  <dimension ref="A2:F19"/>
  <sheetViews>
    <sheetView showGridLines="0" topLeftCell="A5" workbookViewId="0">
      <selection activeCell="G11" sqref="G11"/>
    </sheetView>
  </sheetViews>
  <sheetFormatPr baseColWidth="10" defaultRowHeight="16.5" x14ac:dyDescent="0.3"/>
  <cols>
    <col min="1" max="1" width="12.875" style="19" bestFit="1" customWidth="1"/>
    <col min="2" max="3" width="13.875" style="19" bestFit="1" customWidth="1"/>
    <col min="4" max="4" width="12.375" style="19" bestFit="1" customWidth="1"/>
    <col min="5" max="6" width="13.875" style="19" bestFit="1" customWidth="1"/>
    <col min="7" max="16384" width="11" style="19"/>
  </cols>
  <sheetData>
    <row r="2" spans="1:6" ht="22.5" x14ac:dyDescent="0.3">
      <c r="A2" s="31" t="s">
        <v>44</v>
      </c>
    </row>
    <row r="3" spans="1:6" ht="15.75" customHeight="1" x14ac:dyDescent="0.3"/>
    <row r="4" spans="1:6" hidden="1" x14ac:dyDescent="0.3">
      <c r="A4" s="20" t="s">
        <v>24</v>
      </c>
      <c r="B4" s="20" t="s">
        <v>13</v>
      </c>
      <c r="F4"/>
    </row>
    <row r="5" spans="1:6" x14ac:dyDescent="0.3">
      <c r="A5" s="20" t="s">
        <v>12</v>
      </c>
      <c r="B5" s="22">
        <v>2019</v>
      </c>
      <c r="C5" s="22">
        <v>2020</v>
      </c>
      <c r="D5" s="22">
        <v>2021</v>
      </c>
      <c r="E5" s="19" t="s">
        <v>11</v>
      </c>
      <c r="F5"/>
    </row>
    <row r="6" spans="1:6" x14ac:dyDescent="0.3">
      <c r="A6" s="23" t="s">
        <v>0</v>
      </c>
      <c r="B6" s="29">
        <v>435735.6</v>
      </c>
      <c r="C6" s="29">
        <v>556741.56000000006</v>
      </c>
      <c r="D6" s="29">
        <v>555625.23</v>
      </c>
      <c r="E6" s="29">
        <v>1548102.3900000001</v>
      </c>
      <c r="F6"/>
    </row>
    <row r="7" spans="1:6" x14ac:dyDescent="0.3">
      <c r="A7" s="23" t="s">
        <v>1</v>
      </c>
      <c r="B7" s="29">
        <v>500000</v>
      </c>
      <c r="C7" s="29">
        <v>557852.23</v>
      </c>
      <c r="D7" s="29"/>
      <c r="E7" s="29">
        <v>1057852.23</v>
      </c>
      <c r="F7"/>
    </row>
    <row r="8" spans="1:6" x14ac:dyDescent="0.3">
      <c r="A8" s="23" t="s">
        <v>33</v>
      </c>
      <c r="B8" s="29">
        <v>551725.23</v>
      </c>
      <c r="C8" s="29">
        <v>558785.23</v>
      </c>
      <c r="D8" s="29"/>
      <c r="E8" s="29">
        <v>1110510.46</v>
      </c>
      <c r="F8"/>
    </row>
    <row r="9" spans="1:6" x14ac:dyDescent="0.3">
      <c r="A9" s="23" t="s">
        <v>2</v>
      </c>
      <c r="B9" s="29">
        <v>552750.5</v>
      </c>
      <c r="C9" s="29">
        <v>557550.85</v>
      </c>
      <c r="D9" s="29"/>
      <c r="E9" s="29">
        <v>1110301.3500000001</v>
      </c>
      <c r="F9"/>
    </row>
    <row r="10" spans="1:6" x14ac:dyDescent="0.3">
      <c r="A10" s="23" t="s">
        <v>26</v>
      </c>
      <c r="B10" s="29">
        <v>540333.31999999995</v>
      </c>
      <c r="C10" s="29">
        <v>555452.23</v>
      </c>
      <c r="D10" s="29"/>
      <c r="E10" s="29">
        <v>1095785.5499999998</v>
      </c>
      <c r="F10"/>
    </row>
    <row r="11" spans="1:6" x14ac:dyDescent="0.3">
      <c r="A11" s="23" t="s">
        <v>27</v>
      </c>
      <c r="B11" s="29">
        <v>535225.23</v>
      </c>
      <c r="C11" s="29"/>
      <c r="D11" s="29"/>
      <c r="E11" s="29">
        <v>535225.23</v>
      </c>
      <c r="F11"/>
    </row>
    <row r="12" spans="1:6" x14ac:dyDescent="0.3">
      <c r="A12" s="23" t="s">
        <v>28</v>
      </c>
      <c r="B12" s="29">
        <v>550223.31999999995</v>
      </c>
      <c r="C12" s="29"/>
      <c r="D12" s="29"/>
      <c r="E12" s="29">
        <v>550223.31999999995</v>
      </c>
      <c r="F12"/>
    </row>
    <row r="13" spans="1:6" x14ac:dyDescent="0.3">
      <c r="A13" s="23" t="s">
        <v>29</v>
      </c>
      <c r="B13" s="29">
        <v>525453.25</v>
      </c>
      <c r="C13" s="29"/>
      <c r="D13" s="29"/>
      <c r="E13" s="29">
        <v>525453.25</v>
      </c>
      <c r="F13"/>
    </row>
    <row r="14" spans="1:6" x14ac:dyDescent="0.3">
      <c r="A14" s="23" t="s">
        <v>34</v>
      </c>
      <c r="B14" s="29">
        <v>540456.23</v>
      </c>
      <c r="C14" s="29"/>
      <c r="D14" s="29"/>
      <c r="E14" s="29">
        <v>540456.23</v>
      </c>
      <c r="F14"/>
    </row>
    <row r="15" spans="1:6" x14ac:dyDescent="0.3">
      <c r="A15" s="23" t="s">
        <v>30</v>
      </c>
      <c r="B15" s="29">
        <v>550950.23</v>
      </c>
      <c r="C15" s="29"/>
      <c r="D15" s="29"/>
      <c r="E15" s="29">
        <v>550950.23</v>
      </c>
      <c r="F15"/>
    </row>
    <row r="16" spans="1:6" x14ac:dyDescent="0.3">
      <c r="A16" s="23" t="s">
        <v>31</v>
      </c>
      <c r="B16" s="29">
        <v>555952.23</v>
      </c>
      <c r="C16" s="29"/>
      <c r="D16" s="29"/>
      <c r="E16" s="29">
        <v>555952.23</v>
      </c>
      <c r="F16"/>
    </row>
    <row r="17" spans="1:6" x14ac:dyDescent="0.3">
      <c r="A17" s="23" t="s">
        <v>32</v>
      </c>
      <c r="B17" s="29">
        <v>552453.96</v>
      </c>
      <c r="C17" s="29"/>
      <c r="D17" s="29"/>
      <c r="E17" s="29">
        <v>552453.96</v>
      </c>
      <c r="F17"/>
    </row>
    <row r="18" spans="1:6" x14ac:dyDescent="0.3">
      <c r="A18" s="23" t="s">
        <v>11</v>
      </c>
      <c r="B18" s="29">
        <v>6391259.1000000006</v>
      </c>
      <c r="C18" s="29">
        <v>2786382.1</v>
      </c>
      <c r="D18" s="29">
        <v>555625.23</v>
      </c>
      <c r="E18" s="29">
        <v>9733266.4299999997</v>
      </c>
      <c r="F18"/>
    </row>
    <row r="19" spans="1:6" x14ac:dyDescent="0.3">
      <c r="A19"/>
      <c r="B19"/>
      <c r="C19"/>
      <c r="D19"/>
      <c r="E19"/>
      <c r="F19"/>
    </row>
  </sheetData>
  <sortState ref="A4:E18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scale="76" orientation="landscape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pageSetUpPr fitToPage="1"/>
  </sheetPr>
  <dimension ref="A2:D17"/>
  <sheetViews>
    <sheetView showGridLines="0" workbookViewId="0">
      <selection activeCell="H6" sqref="H6"/>
    </sheetView>
  </sheetViews>
  <sheetFormatPr baseColWidth="10" defaultRowHeight="16.5" x14ac:dyDescent="0.3"/>
  <cols>
    <col min="1" max="1" width="17.375" bestFit="1" customWidth="1"/>
    <col min="2" max="4" width="5.875" bestFit="1" customWidth="1"/>
    <col min="5" max="5" width="11.875" bestFit="1" customWidth="1"/>
  </cols>
  <sheetData>
    <row r="2" spans="1:4" ht="22.5" x14ac:dyDescent="0.3">
      <c r="A2" s="32" t="s">
        <v>45</v>
      </c>
    </row>
    <row r="3" spans="1:4" ht="15.75" customHeight="1" x14ac:dyDescent="0.3"/>
    <row r="4" spans="1:4" hidden="1" x14ac:dyDescent="0.3">
      <c r="A4" s="2" t="s">
        <v>25</v>
      </c>
      <c r="B4" s="2" t="s">
        <v>13</v>
      </c>
    </row>
    <row r="5" spans="1:4" x14ac:dyDescent="0.3">
      <c r="A5" s="2" t="s">
        <v>12</v>
      </c>
      <c r="B5" s="5">
        <v>2019</v>
      </c>
      <c r="C5" s="5">
        <v>2020</v>
      </c>
      <c r="D5" s="5">
        <v>2021</v>
      </c>
    </row>
    <row r="6" spans="1:4" x14ac:dyDescent="0.3">
      <c r="A6" s="3" t="s">
        <v>0</v>
      </c>
      <c r="B6" s="4">
        <v>5.9720321222319225E-2</v>
      </c>
      <c r="C6" s="4">
        <v>6.9087998388336583E-2</v>
      </c>
      <c r="D6" s="4">
        <v>7.0357856139830088E-2</v>
      </c>
    </row>
    <row r="7" spans="1:4" x14ac:dyDescent="0.3">
      <c r="A7" s="3" t="s">
        <v>1</v>
      </c>
      <c r="B7" s="4">
        <v>5.96E-2</v>
      </c>
      <c r="C7" s="4">
        <v>7.0660719595940308E-2</v>
      </c>
      <c r="D7" s="4"/>
    </row>
    <row r="8" spans="1:4" ht="18" customHeight="1" x14ac:dyDescent="0.3">
      <c r="A8" s="3" t="s">
        <v>33</v>
      </c>
      <c r="B8" s="4">
        <v>5.8240892844432721E-2</v>
      </c>
      <c r="C8" s="4">
        <v>6.986884746398897E-2</v>
      </c>
      <c r="D8" s="4"/>
    </row>
    <row r="9" spans="1:4" x14ac:dyDescent="0.3">
      <c r="A9" s="3" t="s">
        <v>2</v>
      </c>
      <c r="B9" s="4">
        <v>5.930635974096813E-2</v>
      </c>
      <c r="C9" s="4">
        <v>6.6985118935788568E-2</v>
      </c>
      <c r="D9" s="4"/>
    </row>
    <row r="10" spans="1:4" x14ac:dyDescent="0.3">
      <c r="A10" s="3" t="s">
        <v>26</v>
      </c>
      <c r="B10" s="4">
        <v>5.6657712687420425E-2</v>
      </c>
      <c r="C10" s="4">
        <v>6.807193842754039E-2</v>
      </c>
      <c r="D10" s="4"/>
    </row>
    <row r="11" spans="1:4" x14ac:dyDescent="0.3">
      <c r="A11" s="3" t="s">
        <v>27</v>
      </c>
      <c r="B11" s="4">
        <v>5.5808336987402486E-2</v>
      </c>
      <c r="C11" s="4"/>
      <c r="D11" s="4"/>
    </row>
    <row r="12" spans="1:4" x14ac:dyDescent="0.3">
      <c r="A12" s="3" t="s">
        <v>28</v>
      </c>
      <c r="B12" s="4">
        <v>5.9847245296691533E-2</v>
      </c>
      <c r="C12" s="4"/>
      <c r="D12" s="4"/>
    </row>
    <row r="13" spans="1:4" x14ac:dyDescent="0.3">
      <c r="A13" s="3" t="s">
        <v>29</v>
      </c>
      <c r="B13" s="4">
        <v>6.3812851095696899E-2</v>
      </c>
      <c r="C13" s="4"/>
      <c r="D13" s="4"/>
    </row>
    <row r="14" spans="1:4" x14ac:dyDescent="0.3">
      <c r="A14" s="3" t="s">
        <v>34</v>
      </c>
      <c r="B14" s="4">
        <v>6.3431575208227314E-2</v>
      </c>
      <c r="C14" s="4"/>
      <c r="D14" s="4"/>
    </row>
    <row r="15" spans="1:4" x14ac:dyDescent="0.3">
      <c r="A15" s="3" t="s">
        <v>30</v>
      </c>
      <c r="B15" s="4">
        <v>6.2807651427970179E-2</v>
      </c>
      <c r="C15" s="4"/>
      <c r="D15" s="4"/>
    </row>
    <row r="16" spans="1:4" x14ac:dyDescent="0.3">
      <c r="A16" s="3" t="s">
        <v>31</v>
      </c>
      <c r="B16" s="4">
        <v>6.6820003581962426E-2</v>
      </c>
      <c r="C16" s="4"/>
      <c r="D16" s="4"/>
    </row>
    <row r="17" spans="1:4" x14ac:dyDescent="0.3">
      <c r="A17" s="3" t="s">
        <v>32</v>
      </c>
      <c r="B17" s="4">
        <v>6.695338015135234E-2</v>
      </c>
      <c r="C17" s="4"/>
      <c r="D17" s="4"/>
    </row>
  </sheetData>
  <sortState ref="A4:D17">
    <sortCondition ref="A6" customList="ene,feb,mar,abr,may,jun,jul,ago,sep,oct,nov,dic"/>
  </sortState>
  <pageMargins left="0.70866141732283472" right="0.70866141732283472" top="0.74803149606299213" bottom="0.74803149606299213" header="0.31496062992125984" footer="0.31496062992125984"/>
  <pageSetup scale="77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Inicio</vt:lpstr>
      <vt:lpstr>Base</vt:lpstr>
      <vt:lpstr>Nempleados</vt:lpstr>
      <vt:lpstr>Planilla</vt:lpstr>
      <vt:lpstr>Sueldos</vt:lpstr>
      <vt:lpstr>Hextras</vt:lpstr>
      <vt:lpstr>Nocturnidad</vt:lpstr>
      <vt:lpstr>Comisiones</vt:lpstr>
      <vt:lpstr>Incapacidades</vt:lpstr>
      <vt:lpstr>Devengos</vt:lpstr>
      <vt:lpstr>Ventas</vt:lpstr>
      <vt:lpstr>IndPlanillaVentas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2021-04-05T04:34:59Z</cp:lastPrinted>
  <dcterms:created xsi:type="dcterms:W3CDTF">2019-06-20T15:58:55Z</dcterms:created>
  <dcterms:modified xsi:type="dcterms:W3CDTF">2021-04-06T02:11:20Z</dcterms:modified>
</cp:coreProperties>
</file>