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1.xml" ContentType="application/vnd.openxmlformats-officedocument.spreadsheetml.table+xml"/>
  <Override PartName="/xl/drawings/drawing8.xml" ContentType="application/vnd.openxmlformats-officedocument.drawing+xml"/>
  <Override PartName="/xl/tables/table2.xml" ContentType="application/vnd.openxmlformats-officedocument.spreadsheetml.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3.xml" ContentType="application/vnd.openxmlformats-officedocument.spreadsheetml.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b98e41fc05090364/Ofimatica Empresarial/PLANTILLAS YOUTUBE/CONTROL DE INVENTARIOS YOUTUBE/Nuevo Control de Inventarios/"/>
    </mc:Choice>
  </mc:AlternateContent>
  <xr:revisionPtr revIDLastSave="1074" documentId="8_{21B33A92-7824-40A0-9ED5-7114945B966D}" xr6:coauthVersionLast="43" xr6:coauthVersionMax="46" xr10:uidLastSave="{2E009EFE-CB47-4002-A3D9-269E33D327EF}"/>
  <bookViews>
    <workbookView xWindow="-108" yWindow="-108" windowWidth="23256" windowHeight="12576" tabRatio="783" xr2:uid="{00000000-000D-0000-FFFF-FFFF00000000}"/>
  </bookViews>
  <sheets>
    <sheet name="Inicio" sheetId="11" r:id="rId1"/>
    <sheet name="listProductos" sheetId="12" r:id="rId2"/>
    <sheet name="Productos" sheetId="1" state="veryHidden" r:id="rId3"/>
    <sheet name="Proveedor" sheetId="4" r:id="rId4"/>
    <sheet name="Clientes" sheetId="5" r:id="rId5"/>
    <sheet name="Kardex" sheetId="8" r:id="rId6"/>
    <sheet name="Entradas" sheetId="2" r:id="rId7"/>
    <sheet name="Salidas" sheetId="3" r:id="rId8"/>
    <sheet name="Movimientos" sheetId="7" r:id="rId9"/>
    <sheet name="PrintCompras" sheetId="9" r:id="rId10"/>
    <sheet name="PrintVentas" sheetId="10" r:id="rId11"/>
    <sheet name="Calculos" sheetId="6" state="veryHidden" r:id="rId12"/>
  </sheets>
  <definedNames>
    <definedName name="_xlnm._FilterDatabase" localSheetId="5" hidden="1">Kardex!$C$10:$J$10</definedName>
    <definedName name="_xlnm._FilterDatabase" localSheetId="1" hidden="1">listProductos!$A$4:$E$10</definedName>
    <definedName name="_xlnm._FilterDatabase" localSheetId="8" hidden="1">Movimientos!$C$8:$K$12</definedName>
    <definedName name="_xlnm._FilterDatabase" localSheetId="9" hidden="1">PrintCompras!$E$3:$E$4</definedName>
    <definedName name="_xlnm._FilterDatabase" localSheetId="2" hidden="1">Productos!$A$4:$E$11</definedName>
    <definedName name="_xlnm.Print_Area" localSheetId="10">PrintVentas!$A$1:$E$61</definedName>
    <definedName name="Categoria_Compra">Calculos!$E$5</definedName>
    <definedName name="Categoria_Venta">Calculos!$E$9</definedName>
    <definedName name="CodProducto_Compra">Calculos!$D$4</definedName>
    <definedName name="CodProducto_Venta">Calculos!$D$8</definedName>
    <definedName name="CostoUnit_Venta">Calculos!$D$12</definedName>
    <definedName name="Existencia_Venta">Calculos!$D$11</definedName>
    <definedName name="Formulas">Calculos!$F$3</definedName>
    <definedName name="NombreProducto_Compra">Calculos!$D$5</definedName>
    <definedName name="NombreProducto_Venta">Calculos!$D$9</definedName>
    <definedName name="PorcentajeImp">Inicio!#REF!</definedName>
    <definedName name="PrecioUnit_Venta">Calculos!$D$13</definedName>
    <definedName name="UndMedida_Compra">Calculos!$D$6</definedName>
    <definedName name="UndMedida_Venta">Calculos!$D$10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25" i="8" l="1"/>
  <c r="H25" i="8"/>
  <c r="G25" i="8"/>
  <c r="J25" i="8" s="1"/>
  <c r="I24" i="8"/>
  <c r="H24" i="8"/>
  <c r="G24" i="8"/>
  <c r="J24" i="8" s="1"/>
  <c r="I23" i="8"/>
  <c r="H23" i="8"/>
  <c r="G23" i="8"/>
  <c r="J23" i="8" s="1"/>
  <c r="I22" i="8"/>
  <c r="H22" i="8"/>
  <c r="G22" i="8"/>
  <c r="J22" i="8" s="1"/>
  <c r="I21" i="8"/>
  <c r="H21" i="8"/>
  <c r="G21" i="8"/>
  <c r="J21" i="8" s="1"/>
  <c r="I20" i="8"/>
  <c r="H20" i="8"/>
  <c r="G20" i="8"/>
  <c r="J20" i="8" s="1"/>
  <c r="I19" i="8"/>
  <c r="H19" i="8"/>
  <c r="G19" i="8"/>
  <c r="J19" i="8" s="1"/>
  <c r="I18" i="8"/>
  <c r="H18" i="8"/>
  <c r="G18" i="8"/>
  <c r="J18" i="8" s="1"/>
  <c r="I17" i="8"/>
  <c r="H17" i="8"/>
  <c r="G17" i="8"/>
  <c r="J17" i="8" s="1"/>
  <c r="I16" i="8"/>
  <c r="H16" i="8"/>
  <c r="G16" i="8"/>
  <c r="J16" i="8" s="1"/>
  <c r="I15" i="8"/>
  <c r="H15" i="8"/>
  <c r="G15" i="8"/>
  <c r="J15" i="8" s="1"/>
  <c r="I14" i="8"/>
  <c r="H14" i="8"/>
  <c r="G14" i="8"/>
  <c r="J14" i="8" s="1"/>
  <c r="I13" i="8"/>
  <c r="H13" i="8"/>
  <c r="G13" i="8"/>
  <c r="J13" i="8" s="1"/>
  <c r="I12" i="8"/>
  <c r="H12" i="8"/>
  <c r="G12" i="8"/>
  <c r="J12" i="8" s="1"/>
  <c r="I11" i="8"/>
  <c r="H11" i="8"/>
  <c r="G11" i="8"/>
  <c r="J11" i="8" s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22" i="6" l="1"/>
  <c r="E2" i="1"/>
  <c r="D9" i="6"/>
  <c r="G8" i="8" l="1"/>
  <c r="I2" i="10" l="1"/>
  <c r="H8" i="8"/>
  <c r="D12" i="6" l="1"/>
  <c r="D13" i="6"/>
  <c r="E21" i="6" l="1"/>
  <c r="E5" i="6"/>
  <c r="D16" i="6" l="1"/>
  <c r="O2" i="6"/>
  <c r="N2" i="6"/>
  <c r="D11" i="6" l="1"/>
  <c r="E9" i="6"/>
  <c r="D10" i="6"/>
  <c r="D6" i="6"/>
  <c r="D5" i="6"/>
  <c r="D15" i="6" l="1"/>
  <c r="K2" i="10" l="1"/>
  <c r="J2" i="10"/>
  <c r="D19" i="6" l="1"/>
  <c r="D18" i="6"/>
  <c r="I8" i="8" l="1"/>
  <c r="J8" i="8" s="1"/>
</calcChain>
</file>

<file path=xl/sharedStrings.xml><?xml version="1.0" encoding="utf-8"?>
<sst xmlns="http://schemas.openxmlformats.org/spreadsheetml/2006/main" count="409" uniqueCount="128">
  <si>
    <t>Codigo</t>
  </si>
  <si>
    <t>Nombre de Producto</t>
  </si>
  <si>
    <t>Medida</t>
  </si>
  <si>
    <t>Existencia</t>
  </si>
  <si>
    <t>Und</t>
  </si>
  <si>
    <t>Fecha</t>
  </si>
  <si>
    <t>Proveedor</t>
  </si>
  <si>
    <t>Comentario</t>
  </si>
  <si>
    <t>Producto</t>
  </si>
  <si>
    <t>Cantidad</t>
  </si>
  <si>
    <t>N_Doc</t>
  </si>
  <si>
    <t>Clientes</t>
  </si>
  <si>
    <t>Codigo Producto Seleccionado FormCompra</t>
  </si>
  <si>
    <t>Nombre Producto Seleccionado FormCompra</t>
  </si>
  <si>
    <t>Und Producto Seleccionado FormCompra</t>
  </si>
  <si>
    <t>Codigo Producto Seleccionado FormVenta</t>
  </si>
  <si>
    <t>Nombre Producto Seleccionado FormVenta</t>
  </si>
  <si>
    <t>Und Producto Seleccionado FormVenta</t>
  </si>
  <si>
    <t>Costo Producto Seleccionado FormVenta</t>
  </si>
  <si>
    <t>Existencia Producto Seleccionado FormVenta</t>
  </si>
  <si>
    <t>Precio Producto Seleccionado FormVenta</t>
  </si>
  <si>
    <t>Proveedor / Clientes</t>
  </si>
  <si>
    <t>Fecha Inicial</t>
  </si>
  <si>
    <t>Fecha Final</t>
  </si>
  <si>
    <t>INVENTARIO EN UNIDADES</t>
  </si>
  <si>
    <t>Inv. Inicial</t>
  </si>
  <si>
    <t>Inv. Final</t>
  </si>
  <si>
    <t>Empresa el Ejemplo, S.A de C.V</t>
  </si>
  <si>
    <t>KARDEX- ENTRADAS Y SALIDAS DE PRODUCTOS</t>
  </si>
  <si>
    <t>Código</t>
  </si>
  <si>
    <t>Und.</t>
  </si>
  <si>
    <t>Proveedor:</t>
  </si>
  <si>
    <t>Comentario:</t>
  </si>
  <si>
    <t>Fecha:</t>
  </si>
  <si>
    <t>Modificacion Compras fila Inicial</t>
  </si>
  <si>
    <t>Modificacion Venta fila Inicial</t>
  </si>
  <si>
    <t>Categoría</t>
  </si>
  <si>
    <t>Cant. A Ingresar</t>
  </si>
  <si>
    <t>Suma Prod. Ingresados</t>
  </si>
  <si>
    <t>FilaBuscarCompra</t>
  </si>
  <si>
    <t>FilaBuscarVentas</t>
  </si>
  <si>
    <t>Dia</t>
  </si>
  <si>
    <t>Año</t>
  </si>
  <si>
    <t>Mes</t>
  </si>
  <si>
    <t>Nº</t>
  </si>
  <si>
    <t>CODIGO</t>
  </si>
  <si>
    <t>DESCRIPCIÓN</t>
  </si>
  <si>
    <t>UND</t>
  </si>
  <si>
    <t>CANT</t>
  </si>
  <si>
    <t>OBSERVACIONES</t>
  </si>
  <si>
    <t>BASE DE DATOS DE COMPRAS</t>
  </si>
  <si>
    <t>HISTORIAL DE MOVIMIENTOS</t>
  </si>
  <si>
    <t>COMPRA</t>
  </si>
  <si>
    <t>Num Factura</t>
  </si>
  <si>
    <t>Cant. Existente</t>
  </si>
  <si>
    <t>A001</t>
  </si>
  <si>
    <t>A002</t>
  </si>
  <si>
    <t>A003</t>
  </si>
  <si>
    <t>A004</t>
  </si>
  <si>
    <t>A005</t>
  </si>
  <si>
    <t>A006</t>
  </si>
  <si>
    <t>Entradas</t>
  </si>
  <si>
    <t>Salidas</t>
  </si>
  <si>
    <t>Buscando documento Compra</t>
  </si>
  <si>
    <t>Buscando documento Venta</t>
  </si>
  <si>
    <t>PROVEEDORES</t>
  </si>
  <si>
    <t>REQUISICIÓN</t>
  </si>
  <si>
    <t>ENTREGADO A:</t>
  </si>
  <si>
    <t>SALIDAS</t>
  </si>
  <si>
    <t>CLIENTES</t>
  </si>
  <si>
    <t>BASE DE DATOS DE SALIDAS</t>
  </si>
  <si>
    <t>ENTRADAS</t>
  </si>
  <si>
    <t>1</t>
  </si>
  <si>
    <t>OFIMÁTICA EMPRESARIAL</t>
  </si>
  <si>
    <t>Frente a Colegio Teresiano, Contiguo a Fedex</t>
  </si>
  <si>
    <t>Telf: +503 7136-0703</t>
  </si>
  <si>
    <t>RUC: J0310000102513</t>
  </si>
  <si>
    <t>CONTROL DE INVENTARIOS</t>
  </si>
  <si>
    <t>MIGUEL BRISEÑO</t>
  </si>
  <si>
    <t>CATV</t>
  </si>
  <si>
    <t>CORRECIONES</t>
  </si>
  <si>
    <t>CONECTORES RG6 DE COMPRESION</t>
  </si>
  <si>
    <t>MULTIPON NETWORKS</t>
  </si>
  <si>
    <t>CHIPS, S. A.</t>
  </si>
  <si>
    <t>compra</t>
  </si>
  <si>
    <t>SPLITER RG6 2 VIAS</t>
  </si>
  <si>
    <t>CABLE RG6 CON MENSAJERO</t>
  </si>
  <si>
    <t>KEVIN AMADOR</t>
  </si>
  <si>
    <t>CONECTORES RG6 DE GEL (AMARILLOS)</t>
  </si>
  <si>
    <t>CABLE RG6 SIN MENSAJERO</t>
  </si>
  <si>
    <t>SPLITER RG6 3 VIAS</t>
  </si>
  <si>
    <t>GIGANET, S. A. DE C. V.</t>
  </si>
  <si>
    <t>INVENTARIO INICIAL</t>
  </si>
  <si>
    <t>GERZON NOEL TORRES</t>
  </si>
  <si>
    <t>ISIDRO OLIVERA PADILLA</t>
  </si>
  <si>
    <t>2</t>
  </si>
  <si>
    <t>ARCOLAB, S. A.</t>
  </si>
  <si>
    <t>INTEGRA, S. DE R. L.</t>
  </si>
  <si>
    <t>Más Plantillas Premium</t>
  </si>
  <si>
    <t>CLIC QUI</t>
  </si>
  <si>
    <t>VENTA</t>
  </si>
  <si>
    <t>LISTA DE PRODUCTOS</t>
  </si>
  <si>
    <t>LISTADO DE PRODUCTOS</t>
  </si>
  <si>
    <t>Formula</t>
  </si>
  <si>
    <t>km</t>
  </si>
  <si>
    <t>LISTA DE PROVEEDORES</t>
  </si>
  <si>
    <t>*NOTA: No olvides escribir la fecha que deseas consultar</t>
  </si>
  <si>
    <t>LISTA DE CLIENTES</t>
  </si>
  <si>
    <t>SALIDA</t>
  </si>
  <si>
    <t>A007</t>
  </si>
  <si>
    <t>ASF</t>
  </si>
  <si>
    <t>A008</t>
  </si>
  <si>
    <t>ESTUFAS</t>
  </si>
  <si>
    <t>A009</t>
  </si>
  <si>
    <t>ARROZ</t>
  </si>
  <si>
    <t>KGM</t>
  </si>
  <si>
    <t>A010</t>
  </si>
  <si>
    <t>M</t>
  </si>
  <si>
    <t>A011</t>
  </si>
  <si>
    <t>A</t>
  </si>
  <si>
    <t>A012</t>
  </si>
  <si>
    <t>V</t>
  </si>
  <si>
    <t>A013</t>
  </si>
  <si>
    <t>C</t>
  </si>
  <si>
    <t>A014</t>
  </si>
  <si>
    <t>K</t>
  </si>
  <si>
    <t>A015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</si>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</sst>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;\-&quot;$&quot;#,##0.00"/>
    <numFmt numFmtId="164" formatCode="_(&quot;$&quot;* #,##0.00_);_(&quot;$&quot;* \(#,##0.00\);_(&quot;$&quot;* &quot;-&quot;??_);_(@_)"/>
    <numFmt numFmtId="165" formatCode="dd/mm/yyyy;@"/>
  </numFmts>
  <fonts count="30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1"/>
      <color theme="1"/>
      <name val="Segoe UI"/>
      <family val="2"/>
    </font>
    <font>
      <sz val="11"/>
      <color theme="1"/>
      <name val="Calibri"/>
      <family val="2"/>
    </font>
    <font>
      <sz val="8"/>
      <color theme="1"/>
      <name val="Calibri"/>
      <family val="2"/>
    </font>
    <font>
      <b/>
      <sz val="10"/>
      <color theme="0"/>
      <name val="Segoe UI"/>
      <family val="2"/>
    </font>
    <font>
      <b/>
      <sz val="11"/>
      <color theme="0"/>
      <name val="Segoe UI"/>
      <family val="2"/>
    </font>
    <font>
      <b/>
      <sz val="11"/>
      <color theme="1"/>
      <name val="Segoe UI"/>
      <family val="2"/>
    </font>
    <font>
      <sz val="11"/>
      <color theme="0"/>
      <name val="Segoe UI"/>
      <family val="2"/>
    </font>
    <font>
      <b/>
      <sz val="11"/>
      <name val="Segoe UI"/>
      <family val="2"/>
    </font>
    <font>
      <sz val="11"/>
      <name val="Segoe UI"/>
      <family val="2"/>
    </font>
    <font>
      <b/>
      <sz val="14"/>
      <color theme="1"/>
      <name val="Segoe UI"/>
      <family val="2"/>
    </font>
    <font>
      <b/>
      <sz val="11"/>
      <color theme="1"/>
      <name val="Calibri"/>
      <family val="2"/>
    </font>
    <font>
      <sz val="8"/>
      <name val="Century Gothic"/>
      <family val="2"/>
      <scheme val="minor"/>
    </font>
    <font>
      <sz val="11"/>
      <color theme="4"/>
      <name val="Segoe UI"/>
      <family val="2"/>
    </font>
    <font>
      <b/>
      <sz val="11"/>
      <color theme="4"/>
      <name val="Segoe UI"/>
      <family val="2"/>
    </font>
    <font>
      <b/>
      <sz val="18"/>
      <color rgb="FFC00000"/>
      <name val="Segoe UI"/>
      <family val="2"/>
    </font>
    <font>
      <b/>
      <sz val="18"/>
      <color theme="4"/>
      <name val="Segoe UI"/>
      <family val="2"/>
    </font>
    <font>
      <b/>
      <sz val="20"/>
      <color theme="4"/>
      <name val="Segoe UI"/>
      <family val="2"/>
    </font>
    <font>
      <b/>
      <sz val="12"/>
      <color theme="4"/>
      <name val="Segoe UI"/>
      <family val="2"/>
    </font>
    <font>
      <b/>
      <sz val="20"/>
      <color theme="0"/>
      <name val="Segoe UI"/>
      <family val="2"/>
    </font>
    <font>
      <b/>
      <sz val="10"/>
      <name val="Segoe UI"/>
      <family val="2"/>
    </font>
    <font>
      <b/>
      <sz val="15"/>
      <color theme="4"/>
      <name val="Segoe UI"/>
      <family val="2"/>
    </font>
    <font>
      <u/>
      <sz val="11"/>
      <color theme="10"/>
      <name val="Century Gothic"/>
      <family val="2"/>
      <scheme val="minor"/>
    </font>
    <font>
      <sz val="8"/>
      <color rgb="FF000000"/>
      <name val="Segoe UI"/>
      <family val="2"/>
    </font>
    <font>
      <b/>
      <u/>
      <sz val="11"/>
      <color theme="4" tint="0.3999755851924192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b/>
      <sz val="11"/>
      <color theme="0"/>
      <name val="Calibri"/>
      <family val="2"/>
    </font>
    <font>
      <b/>
      <sz val="18"/>
      <color theme="4"/>
      <name val="Calibri"/>
      <family val="2"/>
    </font>
    <font>
      <b/>
      <sz val="11"/>
      <color rgb="FFC00000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3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theme="3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3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2060"/>
      </left>
      <right/>
      <top style="thin">
        <color indexed="64"/>
      </top>
      <bottom style="thin">
        <color indexed="64"/>
      </bottom>
      <diagonal/>
    </border>
    <border>
      <left style="thin">
        <color rgb="FF002060"/>
      </left>
      <right/>
      <top/>
      <bottom style="thin">
        <color rgb="FF002060"/>
      </bottom>
      <diagonal/>
    </border>
    <border>
      <left/>
      <right/>
      <top/>
      <bottom style="thin">
        <color rgb="FF002060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/>
      <diagonal/>
    </border>
    <border>
      <left/>
      <right/>
      <top/>
      <bottom style="medium">
        <color rgb="FFFFC000"/>
      </bottom>
      <diagonal/>
    </border>
    <border>
      <left/>
      <right/>
      <top/>
      <bottom style="thick">
        <color rgb="FFFFC000"/>
      </bottom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3" fillId="0" borderId="0" applyNumberFormat="0" applyFill="0" applyBorder="0" applyAlignment="0" applyProtection="0"/>
  </cellStyleXfs>
  <cellXfs count="174">
    <xf numFmtId="0" fontId="0" fillId="0" borderId="0" xfId="0"/>
    <xf numFmtId="0" fontId="2" fillId="0" borderId="0" xfId="0" applyFont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0" fontId="3" fillId="0" borderId="0" xfId="0" applyFont="1"/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0" xfId="0" applyAlignment="1">
      <alignment horizontal="righ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4" fontId="2" fillId="0" borderId="0" xfId="0" applyNumberFormat="1" applyFont="1" applyAlignment="1">
      <alignment horizontal="center"/>
    </xf>
    <xf numFmtId="14" fontId="6" fillId="3" borderId="2" xfId="0" applyNumberFormat="1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15" fontId="6" fillId="3" borderId="3" xfId="0" applyNumberFormat="1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0" fontId="10" fillId="0" borderId="0" xfId="0" applyFont="1" applyFill="1" applyBorder="1" applyProtection="1">
      <protection locked="0"/>
    </xf>
    <xf numFmtId="0" fontId="10" fillId="0" borderId="0" xfId="0" applyFont="1" applyFill="1" applyProtection="1">
      <protection locked="0"/>
    </xf>
    <xf numFmtId="0" fontId="6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Alignment="1">
      <alignment horizontal="center"/>
    </xf>
    <xf numFmtId="0" fontId="10" fillId="0" borderId="0" xfId="0" applyFont="1" applyFill="1"/>
    <xf numFmtId="0" fontId="2" fillId="0" borderId="0" xfId="0" applyFont="1" applyAlignment="1">
      <alignment horizontal="left"/>
    </xf>
    <xf numFmtId="164" fontId="2" fillId="0" borderId="0" xfId="1" applyFont="1" applyProtection="1">
      <protection locked="0"/>
    </xf>
    <xf numFmtId="0" fontId="2" fillId="0" borderId="0" xfId="0" applyFont="1" applyFill="1" applyAlignment="1" applyProtection="1">
      <alignment horizontal="center"/>
      <protection locked="0"/>
    </xf>
    <xf numFmtId="0" fontId="2" fillId="0" borderId="0" xfId="0" applyFont="1" applyFill="1" applyProtection="1">
      <protection locked="0"/>
    </xf>
    <xf numFmtId="0" fontId="6" fillId="2" borderId="1" xfId="0" applyFont="1" applyFill="1" applyBorder="1" applyAlignment="1" applyProtection="1">
      <alignment horizontal="right"/>
      <protection locked="0"/>
    </xf>
    <xf numFmtId="164" fontId="2" fillId="0" borderId="0" xfId="1" applyFont="1" applyAlignment="1" applyProtection="1">
      <alignment horizontal="center"/>
      <protection locked="0"/>
    </xf>
    <xf numFmtId="0" fontId="6" fillId="0" borderId="0" xfId="0" applyFont="1" applyFill="1" applyBorder="1" applyAlignment="1" applyProtection="1">
      <alignment horizontal="right"/>
      <protection locked="0"/>
    </xf>
    <xf numFmtId="14" fontId="7" fillId="0" borderId="0" xfId="0" applyNumberFormat="1" applyFont="1" applyFill="1" applyBorder="1" applyAlignment="1" applyProtection="1">
      <alignment horizontal="center"/>
      <protection locked="0"/>
    </xf>
    <xf numFmtId="0" fontId="6" fillId="0" borderId="0" xfId="0" applyFont="1" applyFill="1" applyAlignment="1" applyProtection="1">
      <alignment horizontal="center" vertical="center"/>
      <protection locked="0"/>
    </xf>
    <xf numFmtId="15" fontId="2" fillId="0" borderId="0" xfId="0" applyNumberFormat="1" applyFont="1" applyFill="1" applyAlignment="1" applyProtection="1">
      <alignment horizontal="center" vertical="center"/>
      <protection locked="0"/>
    </xf>
    <xf numFmtId="0" fontId="6" fillId="2" borderId="4" xfId="0" applyFont="1" applyFill="1" applyBorder="1" applyAlignment="1" applyProtection="1">
      <alignment horizontal="center" vertical="center" wrapText="1"/>
      <protection locked="0"/>
    </xf>
    <xf numFmtId="0" fontId="6" fillId="2" borderId="5" xfId="0" applyFont="1" applyFill="1" applyBorder="1" applyAlignment="1" applyProtection="1">
      <alignment horizontal="center" vertical="center" wrapText="1"/>
      <protection locked="0"/>
    </xf>
    <xf numFmtId="0" fontId="2" fillId="0" borderId="6" xfId="0" applyFont="1" applyBorder="1" applyAlignment="1" applyProtection="1">
      <alignment horizontal="center"/>
      <protection hidden="1"/>
    </xf>
    <xf numFmtId="0" fontId="2" fillId="0" borderId="6" xfId="0" applyFont="1" applyBorder="1" applyProtection="1">
      <protection hidden="1"/>
    </xf>
    <xf numFmtId="0" fontId="6" fillId="0" borderId="7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14" fontId="7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2" fillId="0" borderId="6" xfId="0" applyFont="1" applyBorder="1" applyAlignment="1" applyProtection="1">
      <alignment horizontal="left"/>
      <protection hidden="1"/>
    </xf>
    <xf numFmtId="0" fontId="3" fillId="0" borderId="1" xfId="0" applyFont="1" applyBorder="1"/>
    <xf numFmtId="164" fontId="2" fillId="0" borderId="0" xfId="1" applyFont="1" applyAlignment="1" applyProtection="1">
      <alignment horizontal="center"/>
      <protection hidden="1"/>
    </xf>
    <xf numFmtId="0" fontId="3" fillId="0" borderId="0" xfId="0" applyFont="1" applyAlignment="1">
      <alignment horizontal="center"/>
    </xf>
    <xf numFmtId="0" fontId="12" fillId="0" borderId="1" xfId="0" applyFont="1" applyBorder="1" applyAlignment="1">
      <alignment horizontal="center"/>
    </xf>
    <xf numFmtId="0" fontId="3" fillId="0" borderId="0" xfId="0" applyFont="1" applyAlignment="1">
      <alignment horizontal="right"/>
    </xf>
    <xf numFmtId="0" fontId="2" fillId="4" borderId="0" xfId="0" applyFont="1" applyFill="1" applyAlignment="1">
      <alignment horizontal="center"/>
    </xf>
    <xf numFmtId="0" fontId="2" fillId="4" borderId="0" xfId="0" applyFont="1" applyFill="1"/>
    <xf numFmtId="0" fontId="6" fillId="6" borderId="1" xfId="0" applyFont="1" applyFill="1" applyBorder="1" applyAlignment="1">
      <alignment horizontal="center"/>
    </xf>
    <xf numFmtId="0" fontId="2" fillId="4" borderId="0" xfId="0" applyFont="1" applyFill="1" applyProtection="1">
      <protection locked="0"/>
    </xf>
    <xf numFmtId="0" fontId="17" fillId="0" borderId="0" xfId="0" applyFont="1" applyFill="1" applyAlignment="1" applyProtection="1">
      <alignment horizontal="left" vertical="center"/>
      <protection locked="0"/>
    </xf>
    <xf numFmtId="0" fontId="19" fillId="0" borderId="13" xfId="0" applyFont="1" applyFill="1" applyBorder="1" applyAlignment="1" applyProtection="1">
      <alignment vertical="top"/>
      <protection locked="0"/>
    </xf>
    <xf numFmtId="0" fontId="2" fillId="0" borderId="13" xfId="0" applyFont="1" applyFill="1" applyBorder="1" applyAlignment="1" applyProtection="1">
      <alignment horizontal="center"/>
      <protection locked="0"/>
    </xf>
    <xf numFmtId="14" fontId="2" fillId="4" borderId="0" xfId="0" applyNumberFormat="1" applyFont="1" applyFill="1" applyAlignment="1">
      <alignment horizontal="center"/>
    </xf>
    <xf numFmtId="0" fontId="2" fillId="4" borderId="0" xfId="0" applyFont="1" applyFill="1" applyAlignment="1">
      <alignment horizontal="left"/>
    </xf>
    <xf numFmtId="165" fontId="7" fillId="0" borderId="1" xfId="0" applyNumberFormat="1" applyFont="1" applyBorder="1" applyAlignment="1" applyProtection="1">
      <alignment horizontal="center"/>
      <protection locked="0"/>
    </xf>
    <xf numFmtId="0" fontId="16" fillId="0" borderId="0" xfId="0" applyFont="1" applyBorder="1" applyAlignment="1" applyProtection="1">
      <alignment horizontal="left" vertical="center" indent="1"/>
      <protection locked="0"/>
    </xf>
    <xf numFmtId="0" fontId="14" fillId="0" borderId="15" xfId="0" applyFont="1" applyBorder="1" applyProtection="1">
      <protection locked="0"/>
    </xf>
    <xf numFmtId="0" fontId="2" fillId="0" borderId="0" xfId="0" applyFont="1" applyFill="1" applyBorder="1" applyProtection="1">
      <protection locked="0"/>
    </xf>
    <xf numFmtId="0" fontId="18" fillId="0" borderId="14" xfId="0" applyFont="1" applyFill="1" applyBorder="1" applyAlignment="1" applyProtection="1">
      <alignment horizontal="left" indent="8"/>
      <protection locked="0"/>
    </xf>
    <xf numFmtId="0" fontId="14" fillId="0" borderId="14" xfId="0" applyFont="1" applyFill="1" applyBorder="1" applyProtection="1">
      <protection locked="0"/>
    </xf>
    <xf numFmtId="0" fontId="14" fillId="0" borderId="14" xfId="0" applyFont="1" applyFill="1" applyBorder="1" applyAlignment="1" applyProtection="1">
      <alignment horizontal="left" indent="10"/>
      <protection locked="0"/>
    </xf>
    <xf numFmtId="0" fontId="0" fillId="0" borderId="0" xfId="0" applyBorder="1" applyAlignment="1" applyProtection="1">
      <alignment horizontal="center"/>
      <protection hidden="1"/>
    </xf>
    <xf numFmtId="0" fontId="2" fillId="0" borderId="0" xfId="0" applyFont="1" applyAlignment="1" applyProtection="1">
      <alignment horizontal="center"/>
      <protection hidden="1"/>
    </xf>
    <xf numFmtId="15" fontId="6" fillId="0" borderId="0" xfId="0" applyNumberFormat="1" applyFont="1" applyFill="1" applyBorder="1" applyAlignment="1" applyProtection="1">
      <alignment horizontal="center"/>
    </xf>
    <xf numFmtId="0" fontId="6" fillId="0" borderId="0" xfId="0" applyFont="1" applyFill="1" applyBorder="1" applyAlignment="1" applyProtection="1">
      <alignment horizontal="center"/>
    </xf>
    <xf numFmtId="0" fontId="3" fillId="0" borderId="1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49" fontId="3" fillId="0" borderId="1" xfId="0" applyNumberFormat="1" applyFont="1" applyBorder="1" applyAlignment="1">
      <alignment horizontal="center"/>
    </xf>
    <xf numFmtId="0" fontId="3" fillId="0" borderId="0" xfId="0" applyNumberFormat="1" applyFont="1" applyAlignment="1">
      <alignment horizontal="center"/>
    </xf>
    <xf numFmtId="0" fontId="16" fillId="4" borderId="0" xfId="0" applyFont="1" applyFill="1" applyBorder="1" applyAlignment="1" applyProtection="1">
      <alignment horizontal="left" vertical="center"/>
      <protection locked="0"/>
    </xf>
    <xf numFmtId="0" fontId="10" fillId="4" borderId="0" xfId="0" applyFont="1" applyFill="1" applyBorder="1" applyProtection="1">
      <protection locked="0"/>
    </xf>
    <xf numFmtId="14" fontId="2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165" fontId="14" fillId="0" borderId="13" xfId="0" applyNumberFormat="1" applyFont="1" applyBorder="1" applyAlignment="1" applyProtection="1">
      <alignment horizontal="center"/>
      <protection locked="0"/>
    </xf>
    <xf numFmtId="0" fontId="2" fillId="0" borderId="0" xfId="0" applyFont="1" applyBorder="1" applyProtection="1">
      <protection locked="0"/>
    </xf>
    <xf numFmtId="7" fontId="2" fillId="0" borderId="0" xfId="0" applyNumberFormat="1" applyFont="1" applyBorder="1" applyAlignment="1" applyProtection="1">
      <alignment horizontal="right"/>
      <protection locked="0"/>
    </xf>
    <xf numFmtId="0" fontId="14" fillId="0" borderId="0" xfId="0" applyFont="1" applyBorder="1" applyAlignment="1" applyProtection="1">
      <alignment vertical="top" wrapText="1"/>
      <protection locked="0"/>
    </xf>
    <xf numFmtId="0" fontId="6" fillId="0" borderId="0" xfId="0" applyFont="1" applyFill="1" applyBorder="1" applyAlignment="1" applyProtection="1">
      <alignment vertical="center"/>
      <protection locked="0"/>
    </xf>
    <xf numFmtId="0" fontId="2" fillId="0" borderId="0" xfId="0" applyFont="1" applyBorder="1" applyAlignment="1" applyProtection="1">
      <alignment horizontal="center"/>
      <protection locked="0"/>
    </xf>
    <xf numFmtId="0" fontId="15" fillId="0" borderId="0" xfId="0" applyFont="1" applyBorder="1" applyAlignment="1" applyProtection="1">
      <alignment horizontal="center"/>
      <protection locked="0"/>
    </xf>
    <xf numFmtId="165" fontId="10" fillId="0" borderId="0" xfId="0" applyNumberFormat="1" applyFont="1" applyFill="1" applyAlignment="1" applyProtection="1">
      <alignment horizontal="center"/>
      <protection locked="0"/>
    </xf>
    <xf numFmtId="0" fontId="10" fillId="0" borderId="0" xfId="0" applyFont="1" applyFill="1" applyAlignment="1" applyProtection="1">
      <alignment horizontal="center"/>
      <protection locked="0"/>
    </xf>
    <xf numFmtId="0" fontId="10" fillId="0" borderId="0" xfId="0" applyFont="1" applyFill="1" applyAlignment="1" applyProtection="1">
      <alignment horizontal="left"/>
      <protection locked="0"/>
    </xf>
    <xf numFmtId="14" fontId="2" fillId="4" borderId="0" xfId="0" applyNumberFormat="1" applyFont="1" applyFill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left"/>
      <protection locked="0"/>
    </xf>
    <xf numFmtId="0" fontId="18" fillId="4" borderId="13" xfId="0" applyFont="1" applyFill="1" applyBorder="1" applyAlignment="1" applyProtection="1">
      <alignment horizontal="left" indent="9"/>
      <protection locked="0"/>
    </xf>
    <xf numFmtId="0" fontId="2" fillId="4" borderId="13" xfId="0" applyFont="1" applyFill="1" applyBorder="1" applyAlignment="1" applyProtection="1">
      <alignment horizontal="left" indent="8"/>
      <protection locked="0"/>
    </xf>
    <xf numFmtId="14" fontId="2" fillId="0" borderId="0" xfId="0" applyNumberFormat="1" applyFont="1" applyAlignment="1" applyProtection="1">
      <alignment horizontal="center"/>
      <protection locked="0"/>
    </xf>
    <xf numFmtId="0" fontId="7" fillId="5" borderId="1" xfId="0" applyFont="1" applyFill="1" applyBorder="1" applyAlignment="1" applyProtection="1">
      <alignment horizontal="center"/>
      <protection locked="0"/>
    </xf>
    <xf numFmtId="165" fontId="10" fillId="0" borderId="0" xfId="0" applyNumberFormat="1" applyFont="1" applyFill="1" applyBorder="1" applyAlignment="1" applyProtection="1">
      <alignment horizontal="center"/>
      <protection locked="0"/>
    </xf>
    <xf numFmtId="0" fontId="10" fillId="0" borderId="0" xfId="0" applyFont="1" applyFill="1" applyBorder="1" applyAlignment="1" applyProtection="1">
      <alignment horizontal="center"/>
      <protection locked="0"/>
    </xf>
    <xf numFmtId="15" fontId="10" fillId="0" borderId="0" xfId="0" applyNumberFormat="1" applyFont="1" applyFill="1" applyBorder="1" applyAlignment="1" applyProtection="1">
      <alignment horizontal="left"/>
      <protection locked="0"/>
    </xf>
    <xf numFmtId="0" fontId="10" fillId="0" borderId="0" xfId="0" applyFont="1" applyFill="1" applyBorder="1" applyAlignment="1" applyProtection="1">
      <alignment horizontal="left"/>
      <protection locked="0"/>
    </xf>
    <xf numFmtId="0" fontId="2" fillId="0" borderId="0" xfId="0" applyFont="1" applyProtection="1"/>
    <xf numFmtId="0" fontId="7" fillId="0" borderId="0" xfId="0" applyFont="1" applyProtection="1"/>
    <xf numFmtId="0" fontId="23" fillId="0" borderId="0" xfId="4" applyProtection="1"/>
    <xf numFmtId="9" fontId="2" fillId="0" borderId="0" xfId="3" applyFont="1" applyProtection="1"/>
    <xf numFmtId="9" fontId="15" fillId="0" borderId="0" xfId="3" applyFont="1" applyAlignment="1" applyProtection="1">
      <alignment horizontal="left"/>
    </xf>
    <xf numFmtId="0" fontId="2" fillId="0" borderId="14" xfId="0" applyFont="1" applyBorder="1" applyProtection="1"/>
    <xf numFmtId="49" fontId="8" fillId="0" borderId="0" xfId="0" applyNumberFormat="1" applyFont="1" applyFill="1" applyAlignment="1">
      <alignment horizontal="center"/>
    </xf>
    <xf numFmtId="49" fontId="10" fillId="0" borderId="0" xfId="0" applyNumberFormat="1" applyFont="1" applyFill="1" applyAlignment="1" applyProtection="1">
      <alignment horizontal="center"/>
      <protection locked="0"/>
    </xf>
    <xf numFmtId="49" fontId="10" fillId="0" borderId="0" xfId="0" applyNumberFormat="1" applyFont="1" applyFill="1" applyProtection="1">
      <protection locked="0"/>
    </xf>
    <xf numFmtId="49" fontId="6" fillId="0" borderId="0" xfId="0" applyNumberFormat="1" applyFont="1" applyFill="1" applyBorder="1" applyAlignment="1" applyProtection="1">
      <alignment horizontal="center"/>
      <protection locked="0"/>
    </xf>
    <xf numFmtId="49" fontId="10" fillId="0" borderId="0" xfId="0" applyNumberFormat="1" applyFont="1" applyFill="1" applyBorder="1" applyProtection="1">
      <protection locked="0"/>
    </xf>
    <xf numFmtId="49" fontId="6" fillId="0" borderId="0" xfId="0" applyNumberFormat="1" applyFont="1" applyFill="1" applyBorder="1" applyAlignment="1" applyProtection="1">
      <alignment horizontal="center"/>
    </xf>
    <xf numFmtId="49" fontId="10" fillId="0" borderId="0" xfId="0" applyNumberFormat="1" applyFont="1" applyFill="1" applyBorder="1" applyAlignment="1" applyProtection="1">
      <alignment horizontal="center"/>
      <protection locked="0"/>
    </xf>
    <xf numFmtId="0" fontId="11" fillId="4" borderId="0" xfId="0" applyFont="1" applyFill="1" applyAlignment="1" applyProtection="1">
      <protection locked="0"/>
    </xf>
    <xf numFmtId="0" fontId="16" fillId="4" borderId="0" xfId="0" applyFont="1" applyFill="1" applyBorder="1" applyAlignment="1" applyProtection="1">
      <alignment horizontal="right" vertical="center"/>
      <protection locked="0"/>
    </xf>
    <xf numFmtId="0" fontId="2" fillId="4" borderId="0" xfId="0" applyFont="1" applyFill="1" applyAlignment="1" applyProtection="1">
      <alignment vertical="center"/>
      <protection locked="0"/>
    </xf>
    <xf numFmtId="0" fontId="21" fillId="4" borderId="0" xfId="0" applyFont="1" applyFill="1" applyBorder="1" applyAlignment="1" applyProtection="1">
      <alignment horizontal="right" indent="1"/>
      <protection locked="0"/>
    </xf>
    <xf numFmtId="0" fontId="5" fillId="2" borderId="18" xfId="0" applyFont="1" applyFill="1" applyBorder="1" applyAlignment="1" applyProtection="1">
      <alignment horizontal="right"/>
      <protection locked="0"/>
    </xf>
    <xf numFmtId="0" fontId="14" fillId="0" borderId="1" xfId="0" applyFon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5" fillId="2" borderId="8" xfId="0" applyFont="1" applyFill="1" applyBorder="1" applyAlignment="1" applyProtection="1">
      <alignment horizontal="right" indent="1"/>
      <protection locked="0"/>
    </xf>
    <xf numFmtId="0" fontId="14" fillId="4" borderId="17" xfId="0" applyFont="1" applyFill="1" applyBorder="1" applyAlignment="1" applyProtection="1">
      <alignment horizontal="left"/>
      <protection locked="0"/>
    </xf>
    <xf numFmtId="0" fontId="2" fillId="4" borderId="17" xfId="0" applyFont="1" applyFill="1" applyBorder="1" applyAlignment="1" applyProtection="1">
      <alignment horizontal="center"/>
      <protection locked="0"/>
    </xf>
    <xf numFmtId="0" fontId="5" fillId="2" borderId="9" xfId="0" applyFont="1" applyFill="1" applyBorder="1" applyAlignment="1" applyProtection="1">
      <alignment horizontal="right" indent="1"/>
      <protection locked="0"/>
    </xf>
    <xf numFmtId="0" fontId="14" fillId="4" borderId="10" xfId="0" applyFont="1" applyFill="1" applyBorder="1" applyProtection="1">
      <protection locked="0"/>
    </xf>
    <xf numFmtId="0" fontId="2" fillId="4" borderId="10" xfId="0" applyFont="1" applyFill="1" applyBorder="1" applyProtection="1">
      <protection locked="0"/>
    </xf>
    <xf numFmtId="0" fontId="6" fillId="3" borderId="2" xfId="0" applyFont="1" applyFill="1" applyBorder="1" applyAlignment="1" applyProtection="1">
      <alignment horizontal="center" vertical="center"/>
      <protection locked="0"/>
    </xf>
    <xf numFmtId="0" fontId="6" fillId="3" borderId="3" xfId="0" applyFont="1" applyFill="1" applyBorder="1" applyAlignment="1" applyProtection="1">
      <alignment horizontal="center" vertical="center"/>
      <protection locked="0"/>
    </xf>
    <xf numFmtId="0" fontId="10" fillId="0" borderId="12" xfId="0" applyFont="1" applyBorder="1" applyAlignment="1" applyProtection="1">
      <alignment horizontal="center"/>
      <protection locked="0"/>
    </xf>
    <xf numFmtId="0" fontId="10" fillId="0" borderId="12" xfId="0" applyFont="1" applyBorder="1" applyAlignment="1" applyProtection="1">
      <alignment horizontal="left"/>
      <protection locked="0"/>
    </xf>
    <xf numFmtId="0" fontId="2" fillId="0" borderId="12" xfId="0" applyFont="1" applyBorder="1" applyAlignment="1" applyProtection="1">
      <alignment horizontal="center"/>
      <protection locked="0"/>
    </xf>
    <xf numFmtId="0" fontId="2" fillId="0" borderId="12" xfId="0" applyFont="1" applyBorder="1" applyProtection="1">
      <protection locked="0"/>
    </xf>
    <xf numFmtId="0" fontId="2" fillId="0" borderId="11" xfId="0" applyFont="1" applyBorder="1" applyProtection="1">
      <protection locked="0"/>
    </xf>
    <xf numFmtId="0" fontId="11" fillId="4" borderId="0" xfId="0" applyFont="1" applyFill="1" applyAlignment="1" applyProtection="1">
      <alignment horizontal="left"/>
      <protection locked="0"/>
    </xf>
    <xf numFmtId="49" fontId="18" fillId="0" borderId="14" xfId="0" applyNumberFormat="1" applyFont="1" applyFill="1" applyBorder="1" applyAlignment="1" applyProtection="1">
      <alignment horizontal="left" indent="10"/>
      <protection locked="0"/>
    </xf>
    <xf numFmtId="49" fontId="2" fillId="0" borderId="0" xfId="0" applyNumberFormat="1" applyFont="1" applyProtection="1">
      <protection locked="0"/>
    </xf>
    <xf numFmtId="14" fontId="6" fillId="6" borderId="1" xfId="0" applyNumberFormat="1" applyFont="1" applyFill="1" applyBorder="1" applyAlignment="1">
      <alignment horizontal="center"/>
    </xf>
    <xf numFmtId="0" fontId="11" fillId="0" borderId="0" xfId="0" applyFont="1" applyAlignment="1" applyProtection="1">
      <protection locked="0"/>
    </xf>
    <xf numFmtId="0" fontId="16" fillId="0" borderId="0" xfId="0" applyFont="1" applyBorder="1" applyAlignment="1" applyProtection="1">
      <alignment horizontal="right" vertical="center" indent="1"/>
      <protection locked="0"/>
    </xf>
    <xf numFmtId="0" fontId="2" fillId="0" borderId="0" xfId="0" applyFont="1" applyAlignment="1" applyProtection="1">
      <alignment vertical="center"/>
      <protection locked="0"/>
    </xf>
    <xf numFmtId="0" fontId="5" fillId="2" borderId="0" xfId="0" applyFont="1" applyFill="1" applyAlignment="1" applyProtection="1">
      <alignment horizontal="right"/>
      <protection locked="0"/>
    </xf>
    <xf numFmtId="0" fontId="2" fillId="0" borderId="16" xfId="0" applyFont="1" applyBorder="1" applyProtection="1">
      <protection locked="0"/>
    </xf>
    <xf numFmtId="0" fontId="7" fillId="0" borderId="0" xfId="0" applyFont="1" applyAlignment="1" applyProtection="1">
      <alignment horizontal="right"/>
      <protection locked="0"/>
    </xf>
    <xf numFmtId="0" fontId="2" fillId="0" borderId="0" xfId="0" applyFont="1" applyAlignment="1" applyProtection="1">
      <alignment horizontal="center"/>
    </xf>
    <xf numFmtId="0" fontId="25" fillId="0" borderId="0" xfId="4" applyFont="1" applyAlignment="1" applyProtection="1">
      <alignment horizontal="center"/>
    </xf>
    <xf numFmtId="0" fontId="5" fillId="2" borderId="0" xfId="0" applyFont="1" applyFill="1" applyAlignment="1">
      <alignment horizontal="center" vertical="center"/>
    </xf>
    <xf numFmtId="0" fontId="5" fillId="2" borderId="0" xfId="1" applyNumberFormat="1" applyFont="1" applyFill="1" applyAlignment="1" applyProtection="1">
      <alignment horizontal="center" vertical="center"/>
      <protection hidden="1"/>
    </xf>
    <xf numFmtId="0" fontId="3" fillId="0" borderId="1" xfId="0" applyNumberFormat="1" applyFont="1" applyBorder="1" applyAlignment="1">
      <alignment horizontal="center"/>
    </xf>
    <xf numFmtId="0" fontId="5" fillId="2" borderId="0" xfId="0" applyNumberFormat="1" applyFont="1" applyFill="1" applyAlignment="1">
      <alignment horizontal="center" vertical="center"/>
    </xf>
    <xf numFmtId="0" fontId="2" fillId="0" borderId="0" xfId="0" applyNumberFormat="1" applyFont="1" applyAlignment="1" applyProtection="1">
      <alignment horizontal="center"/>
      <protection locked="0"/>
    </xf>
    <xf numFmtId="0" fontId="11" fillId="0" borderId="0" xfId="0" applyFont="1" applyAlignment="1" applyProtection="1">
      <alignment horizontal="left"/>
      <protection locked="0"/>
    </xf>
    <xf numFmtId="0" fontId="2" fillId="0" borderId="0" xfId="0" applyFont="1" applyAlignment="1" applyProtection="1">
      <alignment horizontal="left"/>
      <protection locked="0"/>
    </xf>
    <xf numFmtId="0" fontId="17" fillId="0" borderId="0" xfId="0" applyNumberFormat="1" applyFont="1" applyAlignment="1" applyProtection="1">
      <alignment horizontal="left"/>
      <protection locked="0"/>
    </xf>
    <xf numFmtId="0" fontId="6" fillId="2" borderId="0" xfId="0" applyFont="1" applyFill="1" applyAlignment="1" applyProtection="1">
      <alignment horizontal="center"/>
      <protection locked="0"/>
    </xf>
    <xf numFmtId="0" fontId="26" fillId="0" borderId="1" xfId="0" applyFont="1" applyBorder="1" applyAlignment="1" applyProtection="1">
      <alignment horizontal="center"/>
      <protection hidden="1"/>
    </xf>
    <xf numFmtId="0" fontId="27" fillId="2" borderId="0" xfId="0" applyFont="1" applyFill="1" applyAlignment="1">
      <alignment horizontal="center"/>
    </xf>
    <xf numFmtId="0" fontId="28" fillId="0" borderId="0" xfId="0" applyFont="1"/>
    <xf numFmtId="0" fontId="2" fillId="4" borderId="0" xfId="0" applyNumberFormat="1" applyFont="1" applyFill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hidden="1"/>
    </xf>
    <xf numFmtId="0" fontId="17" fillId="4" borderId="0" xfId="0" applyNumberFormat="1" applyFont="1" applyFill="1" applyAlignment="1" applyProtection="1">
      <alignment horizontal="left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0" fontId="2" fillId="0" borderId="0" xfId="0" applyFont="1" applyFill="1" applyAlignment="1" applyProtection="1">
      <alignment horizontal="center"/>
      <protection hidden="1"/>
    </xf>
    <xf numFmtId="0" fontId="2" fillId="0" borderId="0" xfId="0" applyFont="1" applyFill="1"/>
    <xf numFmtId="0" fontId="0" fillId="0" borderId="0" xfId="0" applyFill="1" applyBorder="1" applyAlignment="1" applyProtection="1">
      <alignment horizontal="center"/>
      <protection hidden="1"/>
    </xf>
    <xf numFmtId="14" fontId="29" fillId="0" borderId="0" xfId="0" applyNumberFormat="1" applyFont="1" applyBorder="1" applyAlignment="1" applyProtection="1">
      <alignment horizontal="left"/>
      <protection locked="0"/>
    </xf>
    <xf numFmtId="0" fontId="22" fillId="0" borderId="0" xfId="0" applyFont="1"/>
    <xf numFmtId="0" fontId="6" fillId="2" borderId="0" xfId="0" applyFont="1" applyFill="1" applyAlignment="1">
      <alignment horizontal="center"/>
    </xf>
    <xf numFmtId="0" fontId="20" fillId="2" borderId="14" xfId="0" applyFont="1" applyFill="1" applyBorder="1" applyAlignment="1" applyProtection="1">
      <alignment horizontal="center"/>
    </xf>
    <xf numFmtId="0" fontId="9" fillId="5" borderId="1" xfId="0" applyFont="1" applyFill="1" applyBorder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/>
      <protection locked="0"/>
    </xf>
    <xf numFmtId="0" fontId="22" fillId="4" borderId="0" xfId="0" applyFont="1" applyFill="1" applyAlignment="1" applyProtection="1">
      <alignment horizontal="center"/>
      <protection locked="0"/>
    </xf>
    <xf numFmtId="0" fontId="21" fillId="4" borderId="0" xfId="0" applyFont="1" applyFill="1" applyBorder="1" applyAlignment="1" applyProtection="1">
      <alignment horizontal="center"/>
      <protection locked="0"/>
    </xf>
    <xf numFmtId="0" fontId="6" fillId="2" borderId="1" xfId="0" applyFont="1" applyFill="1" applyBorder="1" applyAlignment="1" applyProtection="1">
      <alignment horizontal="center" vertical="center"/>
      <protection locked="0"/>
    </xf>
    <xf numFmtId="0" fontId="14" fillId="0" borderId="1" xfId="0" applyFont="1" applyBorder="1" applyAlignment="1" applyProtection="1">
      <alignment horizontal="left" vertical="top" wrapText="1"/>
      <protection locked="0"/>
    </xf>
    <xf numFmtId="0" fontId="3" fillId="0" borderId="1" xfId="0" applyFont="1" applyBorder="1" applyAlignment="1">
      <alignment horizontal="center"/>
    </xf>
    <xf numFmtId="0" fontId="4" fillId="0" borderId="0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/>
    </xf>
    <xf numFmtId="0" fontId="4" fillId="0" borderId="1" xfId="0" applyFont="1" applyBorder="1" applyAlignment="1">
      <alignment horizontal="center" wrapText="1"/>
    </xf>
  </cellXfs>
  <cellStyles count="5">
    <cellStyle name="Hipervínculo" xfId="4" builtinId="8"/>
    <cellStyle name="Moneda" xfId="1" builtinId="4"/>
    <cellStyle name="Moneda 2" xfId="2" xr:uid="{00000000-0005-0000-0000-000002000000}"/>
    <cellStyle name="Normal" xfId="0" builtinId="0"/>
    <cellStyle name="Porcentaje" xfId="3" builtinId="5"/>
  </cellStyles>
  <dxfs count="40">
    <dxf>
      <fill>
        <patternFill>
          <bgColor rgb="FFFFFFB9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FB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2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2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Segoe U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numFmt numFmtId="30" formatCode="@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numFmt numFmtId="165" formatCode="dd/mm/yyyy;@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fill>
        <patternFill patternType="none">
          <fgColor indexed="64"/>
          <bgColor auto="1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Segoe UI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numFmt numFmtId="30" formatCode="@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numFmt numFmtId="30" formatCode="@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numFmt numFmtId="165" formatCode="dd/mm/yyyy;@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Segoe UI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Segoe UI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FF71"/>
      <color rgb="FFFFFF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Movimientos!A1"/><Relationship Id="rId13" Type="http://schemas.openxmlformats.org/officeDocument/2006/relationships/image" Target="../media/image8.jpg"/><Relationship Id="rId3" Type="http://schemas.openxmlformats.org/officeDocument/2006/relationships/image" Target="../media/image3.png"/><Relationship Id="rId7" Type="http://schemas.openxmlformats.org/officeDocument/2006/relationships/image" Target="../media/image5.jpg"/><Relationship Id="rId12" Type="http://schemas.openxmlformats.org/officeDocument/2006/relationships/hyperlink" Target="#listProductos!A1"/><Relationship Id="rId17" Type="http://schemas.openxmlformats.org/officeDocument/2006/relationships/image" Target="../media/image11.jpg"/><Relationship Id="rId2" Type="http://schemas.openxmlformats.org/officeDocument/2006/relationships/hyperlink" Target="#Clientes!A1"/><Relationship Id="rId16" Type="http://schemas.openxmlformats.org/officeDocument/2006/relationships/image" Target="../media/image10.png"/><Relationship Id="rId1" Type="http://schemas.openxmlformats.org/officeDocument/2006/relationships/image" Target="../media/image2.png"/><Relationship Id="rId6" Type="http://schemas.openxmlformats.org/officeDocument/2006/relationships/hyperlink" Target="#Kardex!A1"/><Relationship Id="rId11" Type="http://schemas.openxmlformats.org/officeDocument/2006/relationships/image" Target="../media/image7.jpg"/><Relationship Id="rId5" Type="http://schemas.openxmlformats.org/officeDocument/2006/relationships/image" Target="../media/image4.png"/><Relationship Id="rId15" Type="http://schemas.openxmlformats.org/officeDocument/2006/relationships/image" Target="../media/image9.png"/><Relationship Id="rId10" Type="http://schemas.openxmlformats.org/officeDocument/2006/relationships/hyperlink" Target="#Entradas!A1"/><Relationship Id="rId4" Type="http://schemas.openxmlformats.org/officeDocument/2006/relationships/hyperlink" Target="#Proveedor!A1"/><Relationship Id="rId9" Type="http://schemas.openxmlformats.org/officeDocument/2006/relationships/image" Target="../media/image6.png"/><Relationship Id="rId14" Type="http://schemas.openxmlformats.org/officeDocument/2006/relationships/hyperlink" Target="#Salida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g"/><Relationship Id="rId2" Type="http://schemas.openxmlformats.org/officeDocument/2006/relationships/image" Target="../media/image12.jpg"/><Relationship Id="rId1" Type="http://schemas.openxmlformats.org/officeDocument/2006/relationships/hyperlink" Target="#Inicio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g"/><Relationship Id="rId2" Type="http://schemas.openxmlformats.org/officeDocument/2006/relationships/image" Target="../media/image12.jpg"/><Relationship Id="rId1" Type="http://schemas.openxmlformats.org/officeDocument/2006/relationships/hyperlink" Target="#Inicio!A1"/><Relationship Id="rId4" Type="http://schemas.openxmlformats.org/officeDocument/2006/relationships/image" Target="../media/image1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jpg"/><Relationship Id="rId1" Type="http://schemas.openxmlformats.org/officeDocument/2006/relationships/hyperlink" Target="#Inicio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jpg"/><Relationship Id="rId1" Type="http://schemas.openxmlformats.org/officeDocument/2006/relationships/hyperlink" Target="#Inicio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jpg"/><Relationship Id="rId2" Type="http://schemas.openxmlformats.org/officeDocument/2006/relationships/hyperlink" Target="#Inicio!A1"/><Relationship Id="rId1" Type="http://schemas.openxmlformats.org/officeDocument/2006/relationships/image" Target="../media/image13.jp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2.jpg"/><Relationship Id="rId1" Type="http://schemas.openxmlformats.org/officeDocument/2006/relationships/hyperlink" Target="#Inicio!A1"/><Relationship Id="rId4" Type="http://schemas.openxmlformats.org/officeDocument/2006/relationships/image" Target="../media/image15.jp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2.jpg"/><Relationship Id="rId1" Type="http://schemas.openxmlformats.org/officeDocument/2006/relationships/hyperlink" Target="#Inicio!A1"/><Relationship Id="rId4" Type="http://schemas.openxmlformats.org/officeDocument/2006/relationships/image" Target="../media/image15.jp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jpg"/><Relationship Id="rId2" Type="http://schemas.openxmlformats.org/officeDocument/2006/relationships/hyperlink" Target="#Inicio!A1"/><Relationship Id="rId1" Type="http://schemas.openxmlformats.org/officeDocument/2006/relationships/image" Target="../media/image13.jp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jpg"/><Relationship Id="rId1" Type="http://schemas.openxmlformats.org/officeDocument/2006/relationships/hyperlink" Target="#Inicio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jpg"/><Relationship Id="rId1" Type="http://schemas.openxmlformats.org/officeDocument/2006/relationships/hyperlink" Target="#Inicio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jpg"/><Relationship Id="rId1" Type="http://schemas.openxmlformats.org/officeDocument/2006/relationships/hyperlink" Target="#Inicio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590550</xdr:colOff>
      <xdr:row>5</xdr:row>
      <xdr:rowOff>57150</xdr:rowOff>
    </xdr:from>
    <xdr:to>
      <xdr:col>6</xdr:col>
      <xdr:colOff>726990</xdr:colOff>
      <xdr:row>10</xdr:row>
      <xdr:rowOff>5042</xdr:rowOff>
    </xdr:to>
    <xdr:pic macro="[0]!ShowFormCompras"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95775" y="1085850"/>
          <a:ext cx="974640" cy="957542"/>
        </a:xfrm>
        <a:prstGeom prst="rect">
          <a:avLst/>
        </a:prstGeom>
      </xdr:spPr>
    </xdr:pic>
    <xdr:clientData/>
  </xdr:twoCellAnchor>
  <xdr:twoCellAnchor editAs="oneCell">
    <xdr:from>
      <xdr:col>4</xdr:col>
      <xdr:colOff>161925</xdr:colOff>
      <xdr:row>4</xdr:row>
      <xdr:rowOff>200025</xdr:rowOff>
    </xdr:from>
    <xdr:to>
      <xdr:col>5</xdr:col>
      <xdr:colOff>293073</xdr:colOff>
      <xdr:row>10</xdr:row>
      <xdr:rowOff>38953</xdr:rowOff>
    </xdr:to>
    <xdr:pic>
      <xdr:nvPicPr>
        <xdr:cNvPr id="9" name="Imagen 8">
          <a:hlinkClick xmlns:r="http://schemas.openxmlformats.org/officeDocument/2006/relationships" r:id="rId2" tooltip="Clientes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14725" y="828675"/>
          <a:ext cx="969348" cy="1048603"/>
        </a:xfrm>
        <a:prstGeom prst="rect">
          <a:avLst/>
        </a:prstGeom>
      </xdr:spPr>
    </xdr:pic>
    <xdr:clientData/>
  </xdr:twoCellAnchor>
  <xdr:twoCellAnchor editAs="oneCell">
    <xdr:from>
      <xdr:col>2</xdr:col>
      <xdr:colOff>438150</xdr:colOff>
      <xdr:row>5</xdr:row>
      <xdr:rowOff>19051</xdr:rowOff>
    </xdr:from>
    <xdr:to>
      <xdr:col>3</xdr:col>
      <xdr:colOff>812773</xdr:colOff>
      <xdr:row>10</xdr:row>
      <xdr:rowOff>8857</xdr:rowOff>
    </xdr:to>
    <xdr:pic>
      <xdr:nvPicPr>
        <xdr:cNvPr id="12" name="Imagen 11">
          <a:hlinkClick xmlns:r="http://schemas.openxmlformats.org/officeDocument/2006/relationships" r:id="rId4" tooltip="Proveedores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14550" y="857251"/>
          <a:ext cx="1212823" cy="999456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11</xdr:row>
      <xdr:rowOff>85726</xdr:rowOff>
    </xdr:from>
    <xdr:to>
      <xdr:col>2</xdr:col>
      <xdr:colOff>400050</xdr:colOff>
      <xdr:row>16</xdr:row>
      <xdr:rowOff>161926</xdr:rowOff>
    </xdr:to>
    <xdr:pic>
      <xdr:nvPicPr>
        <xdr:cNvPr id="16" name="Imagen 15">
          <a:hlinkClick xmlns:r="http://schemas.openxmlformats.org/officeDocument/2006/relationships" r:id="rId6" tooltip="Existencias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423" r="7549" b="12370"/>
        <a:stretch/>
      </xdr:blipFill>
      <xdr:spPr>
        <a:xfrm>
          <a:off x="390525" y="2400301"/>
          <a:ext cx="1200150" cy="1123950"/>
        </a:xfrm>
        <a:prstGeom prst="rect">
          <a:avLst/>
        </a:prstGeom>
      </xdr:spPr>
    </xdr:pic>
    <xdr:clientData/>
  </xdr:twoCellAnchor>
  <xdr:twoCellAnchor editAs="oneCell">
    <xdr:from>
      <xdr:col>2</xdr:col>
      <xdr:colOff>600076</xdr:colOff>
      <xdr:row>11</xdr:row>
      <xdr:rowOff>115815</xdr:rowOff>
    </xdr:from>
    <xdr:to>
      <xdr:col>3</xdr:col>
      <xdr:colOff>657226</xdr:colOff>
      <xdr:row>17</xdr:row>
      <xdr:rowOff>8870</xdr:rowOff>
    </xdr:to>
    <xdr:pic>
      <xdr:nvPicPr>
        <xdr:cNvPr id="21" name="Imagen 20">
          <a:hlinkClick xmlns:r="http://schemas.openxmlformats.org/officeDocument/2006/relationships" r:id="rId8" tooltip="Historial de Movimientos"/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90701" y="2363715"/>
          <a:ext cx="895350" cy="1150355"/>
        </a:xfrm>
        <a:prstGeom prst="rect">
          <a:avLst/>
        </a:prstGeom>
      </xdr:spPr>
    </xdr:pic>
    <xdr:clientData/>
  </xdr:twoCellAnchor>
  <xdr:twoCellAnchor editAs="oneCell">
    <xdr:from>
      <xdr:col>4</xdr:col>
      <xdr:colOff>161926</xdr:colOff>
      <xdr:row>11</xdr:row>
      <xdr:rowOff>171450</xdr:rowOff>
    </xdr:from>
    <xdr:to>
      <xdr:col>5</xdr:col>
      <xdr:colOff>238126</xdr:colOff>
      <xdr:row>16</xdr:row>
      <xdr:rowOff>136291</xdr:rowOff>
    </xdr:to>
    <xdr:pic>
      <xdr:nvPicPr>
        <xdr:cNvPr id="23" name="Imagen 22">
          <a:hlinkClick xmlns:r="http://schemas.openxmlformats.org/officeDocument/2006/relationships" r:id="rId10" tooltip="Compras"/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28951" y="2419350"/>
          <a:ext cx="914400" cy="1012591"/>
        </a:xfrm>
        <a:prstGeom prst="rect">
          <a:avLst/>
        </a:prstGeom>
      </xdr:spPr>
    </xdr:pic>
    <xdr:clientData/>
  </xdr:twoCellAnchor>
  <xdr:twoCellAnchor editAs="oneCell">
    <xdr:from>
      <xdr:col>1</xdr:col>
      <xdr:colOff>95249</xdr:colOff>
      <xdr:row>5</xdr:row>
      <xdr:rowOff>104776</xdr:rowOff>
    </xdr:from>
    <xdr:to>
      <xdr:col>2</xdr:col>
      <xdr:colOff>198054</xdr:colOff>
      <xdr:row>9</xdr:row>
      <xdr:rowOff>180784</xdr:rowOff>
    </xdr:to>
    <xdr:pic>
      <xdr:nvPicPr>
        <xdr:cNvPr id="27" name="Imagen 26">
          <a:hlinkClick xmlns:r="http://schemas.openxmlformats.org/officeDocument/2006/relationships" r:id="rId12" tooltip="Productos"/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449" y="942976"/>
          <a:ext cx="941005" cy="876108"/>
        </a:xfrm>
        <a:prstGeom prst="rect">
          <a:avLst/>
        </a:prstGeom>
      </xdr:spPr>
    </xdr:pic>
    <xdr:clientData/>
  </xdr:twoCellAnchor>
  <xdr:twoCellAnchor editAs="oneCell">
    <xdr:from>
      <xdr:col>5</xdr:col>
      <xdr:colOff>523875</xdr:colOff>
      <xdr:row>11</xdr:row>
      <xdr:rowOff>76200</xdr:rowOff>
    </xdr:from>
    <xdr:to>
      <xdr:col>6</xdr:col>
      <xdr:colOff>679409</xdr:colOff>
      <xdr:row>16</xdr:row>
      <xdr:rowOff>180694</xdr:rowOff>
    </xdr:to>
    <xdr:pic>
      <xdr:nvPicPr>
        <xdr:cNvPr id="3" name="Imagen 2">
          <a:hlinkClick xmlns:r="http://schemas.openxmlformats.org/officeDocument/2006/relationships" r:id="rId14" tooltip="Salidas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229100" y="2324100"/>
          <a:ext cx="993734" cy="1152244"/>
        </a:xfrm>
        <a:prstGeom prst="rect">
          <a:avLst/>
        </a:prstGeom>
      </xdr:spPr>
    </xdr:pic>
    <xdr:clientData/>
  </xdr:twoCellAnchor>
  <xdr:twoCellAnchor editAs="oneCell">
    <xdr:from>
      <xdr:col>7</xdr:col>
      <xdr:colOff>123824</xdr:colOff>
      <xdr:row>5</xdr:row>
      <xdr:rowOff>57151</xdr:rowOff>
    </xdr:from>
    <xdr:to>
      <xdr:col>8</xdr:col>
      <xdr:colOff>99815</xdr:colOff>
      <xdr:row>9</xdr:row>
      <xdr:rowOff>171450</xdr:rowOff>
    </xdr:to>
    <xdr:pic macro="[0]!ShowFormVentas">
      <xdr:nvPicPr>
        <xdr:cNvPr id="10" name="Imagen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/>
        <a:srcRect b="7594"/>
        <a:stretch/>
      </xdr:blipFill>
      <xdr:spPr>
        <a:xfrm>
          <a:off x="5505449" y="1085851"/>
          <a:ext cx="814191" cy="91439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754380</xdr:colOff>
          <xdr:row>2</xdr:row>
          <xdr:rowOff>297180</xdr:rowOff>
        </xdr:from>
        <xdr:to>
          <xdr:col>14</xdr:col>
          <xdr:colOff>91440</xdr:colOff>
          <xdr:row>3</xdr:row>
          <xdr:rowOff>236220</xdr:rowOff>
        </xdr:to>
        <xdr:sp macro="" textlink="">
          <xdr:nvSpPr>
            <xdr:cNvPr id="3073" name="Image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632460</xdr:colOff>
          <xdr:row>1</xdr:row>
          <xdr:rowOff>167640</xdr:rowOff>
        </xdr:from>
        <xdr:to>
          <xdr:col>14</xdr:col>
          <xdr:colOff>289560</xdr:colOff>
          <xdr:row>2</xdr:row>
          <xdr:rowOff>335280</xdr:rowOff>
        </xdr:to>
        <xdr:sp macro="" textlink="">
          <xdr:nvSpPr>
            <xdr:cNvPr id="3074" name="Label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s-SV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Hecho por: Lic. Luis Torres</a:t>
              </a:r>
            </a:p>
          </xdr:txBody>
        </xdr:sp>
        <xdr:clientData/>
      </xdr:twoCellAnchor>
    </mc:Choice>
    <mc:Fallback/>
  </mc:AlternateContent>
  <xdr:twoCellAnchor editAs="oneCell">
    <xdr:from>
      <xdr:col>4</xdr:col>
      <xdr:colOff>95250</xdr:colOff>
      <xdr:row>0</xdr:row>
      <xdr:rowOff>0</xdr:rowOff>
    </xdr:from>
    <xdr:to>
      <xdr:col>5</xdr:col>
      <xdr:colOff>130741</xdr:colOff>
      <xdr:row>2</xdr:row>
      <xdr:rowOff>295275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62275" y="0"/>
          <a:ext cx="873691" cy="685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2861733</xdr:colOff>
      <xdr:row>0</xdr:row>
      <xdr:rowOff>42333</xdr:rowOff>
    </xdr:from>
    <xdr:to>
      <xdr:col>2</xdr:col>
      <xdr:colOff>3235926</xdr:colOff>
      <xdr:row>2</xdr:row>
      <xdr:rowOff>26880</xdr:rowOff>
    </xdr:to>
    <xdr:pic>
      <xdr:nvPicPr>
        <xdr:cNvPr id="2" name="Imagen 1">
          <a:hlinkClick xmlns:r="http://schemas.openxmlformats.org/officeDocument/2006/relationships" r:id="rId1" tooltip="Inicio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9483" y="42333"/>
          <a:ext cx="374193" cy="492547"/>
        </a:xfrm>
        <a:prstGeom prst="rect">
          <a:avLst/>
        </a:prstGeom>
      </xdr:spPr>
    </xdr:pic>
    <xdr:clientData/>
  </xdr:twoCellAnchor>
  <xdr:twoCellAnchor editAs="oneCell">
    <xdr:from>
      <xdr:col>2</xdr:col>
      <xdr:colOff>1808691</xdr:colOff>
      <xdr:row>0</xdr:row>
      <xdr:rowOff>72332</xdr:rowOff>
    </xdr:from>
    <xdr:to>
      <xdr:col>2</xdr:col>
      <xdr:colOff>2343430</xdr:colOff>
      <xdr:row>2</xdr:row>
      <xdr:rowOff>27611</xdr:rowOff>
    </xdr:to>
    <xdr:pic macro="[0]!ActualizarProductos"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6441" y="72332"/>
          <a:ext cx="534739" cy="4632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25400</xdr:colOff>
      <xdr:row>3</xdr:row>
      <xdr:rowOff>0</xdr:rowOff>
    </xdr:from>
    <xdr:to>
      <xdr:col>7</xdr:col>
      <xdr:colOff>399593</xdr:colOff>
      <xdr:row>5</xdr:row>
      <xdr:rowOff>69214</xdr:rowOff>
    </xdr:to>
    <xdr:pic>
      <xdr:nvPicPr>
        <xdr:cNvPr id="4" name="Imagen 3">
          <a:hlinkClick xmlns:r="http://schemas.openxmlformats.org/officeDocument/2006/relationships" r:id="rId1" tooltip="Inicio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7233" y="0"/>
          <a:ext cx="374193" cy="492547"/>
        </a:xfrm>
        <a:prstGeom prst="rect">
          <a:avLst/>
        </a:prstGeom>
      </xdr:spPr>
    </xdr:pic>
    <xdr:clientData/>
  </xdr:twoCellAnchor>
  <xdr:twoCellAnchor editAs="oneCell">
    <xdr:from>
      <xdr:col>5</xdr:col>
      <xdr:colOff>644525</xdr:colOff>
      <xdr:row>3</xdr:row>
      <xdr:rowOff>29999</xdr:rowOff>
    </xdr:from>
    <xdr:to>
      <xdr:col>6</xdr:col>
      <xdr:colOff>343180</xdr:colOff>
      <xdr:row>5</xdr:row>
      <xdr:rowOff>69945</xdr:rowOff>
    </xdr:to>
    <xdr:pic macro="[0]!ActualizarProductos">
      <xdr:nvPicPr>
        <xdr:cNvPr id="5" name="Imagen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4192" y="29999"/>
          <a:ext cx="534739" cy="463279"/>
        </a:xfrm>
        <a:prstGeom prst="rect">
          <a:avLst/>
        </a:prstGeom>
      </xdr:spPr>
    </xdr:pic>
    <xdr:clientData/>
  </xdr:twoCellAnchor>
  <xdr:twoCellAnchor editAs="oneCell">
    <xdr:from>
      <xdr:col>8</xdr:col>
      <xdr:colOff>31751</xdr:colOff>
      <xdr:row>3</xdr:row>
      <xdr:rowOff>31482</xdr:rowOff>
    </xdr:from>
    <xdr:to>
      <xdr:col>8</xdr:col>
      <xdr:colOff>719666</xdr:colOff>
      <xdr:row>5</xdr:row>
      <xdr:rowOff>90953</xdr:rowOff>
    </xdr:to>
    <xdr:pic macro="[0]!EliminarFilas_Productos">
      <xdr:nvPicPr>
        <xdr:cNvPr id="6" name="Imagen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b="22366"/>
        <a:stretch/>
      </xdr:blipFill>
      <xdr:spPr>
        <a:xfrm>
          <a:off x="9609668" y="31482"/>
          <a:ext cx="687915" cy="48280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2914650</xdr:colOff>
      <xdr:row>0</xdr:row>
      <xdr:rowOff>1</xdr:rowOff>
    </xdr:from>
    <xdr:to>
      <xdr:col>1</xdr:col>
      <xdr:colOff>295275</xdr:colOff>
      <xdr:row>2</xdr:row>
      <xdr:rowOff>10130</xdr:rowOff>
    </xdr:to>
    <xdr:pic>
      <xdr:nvPicPr>
        <xdr:cNvPr id="2" name="Imagen 1">
          <a:hlinkClick xmlns:r="http://schemas.openxmlformats.org/officeDocument/2006/relationships" r:id="rId1" tooltip="Inicio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650" y="1"/>
          <a:ext cx="381000" cy="49590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3028950</xdr:colOff>
      <xdr:row>0</xdr:row>
      <xdr:rowOff>57150</xdr:rowOff>
    </xdr:from>
    <xdr:to>
      <xdr:col>1</xdr:col>
      <xdr:colOff>325593</xdr:colOff>
      <xdr:row>2</xdr:row>
      <xdr:rowOff>28575</xdr:rowOff>
    </xdr:to>
    <xdr:pic>
      <xdr:nvPicPr>
        <xdr:cNvPr id="2" name="Imagen 1">
          <a:hlinkClick xmlns:r="http://schemas.openxmlformats.org/officeDocument/2006/relationships" r:id="rId1" tooltip="Inicio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28950" y="57150"/>
          <a:ext cx="373218" cy="48577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550332</xdr:colOff>
      <xdr:row>1</xdr:row>
      <xdr:rowOff>190500</xdr:rowOff>
    </xdr:from>
    <xdr:to>
      <xdr:col>7</xdr:col>
      <xdr:colOff>407457</xdr:colOff>
      <xdr:row>6</xdr:row>
      <xdr:rowOff>62538</xdr:rowOff>
    </xdr:to>
    <xdr:pic macro="[0]!Actualizar_Inventario"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09415" y="529167"/>
          <a:ext cx="619125" cy="528204"/>
        </a:xfrm>
        <a:prstGeom prst="rect">
          <a:avLst/>
        </a:prstGeom>
      </xdr:spPr>
    </xdr:pic>
    <xdr:clientData fLocksWithSheet="0" fPrintsWithSheet="0"/>
  </xdr:twoCellAnchor>
  <xdr:twoCellAnchor editAs="oneCell">
    <xdr:from>
      <xdr:col>7</xdr:col>
      <xdr:colOff>645583</xdr:colOff>
      <xdr:row>1</xdr:row>
      <xdr:rowOff>148167</xdr:rowOff>
    </xdr:from>
    <xdr:to>
      <xdr:col>8</xdr:col>
      <xdr:colOff>378845</xdr:colOff>
      <xdr:row>6</xdr:row>
      <xdr:rowOff>53976</xdr:rowOff>
    </xdr:to>
    <xdr:pic>
      <xdr:nvPicPr>
        <xdr:cNvPr id="4" name="Imagen 3">
          <a:hlinkClick xmlns:r="http://schemas.openxmlformats.org/officeDocument/2006/relationships" r:id="rId2" tooltip="Inicio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6666" y="486834"/>
          <a:ext cx="431762" cy="561975"/>
        </a:xfrm>
        <a:prstGeom prst="rect">
          <a:avLst/>
        </a:prstGeom>
      </xdr:spPr>
    </xdr:pic>
    <xdr:clientData fLocksWithSheet="0"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603938</xdr:colOff>
      <xdr:row>5</xdr:row>
      <xdr:rowOff>81984</xdr:rowOff>
    </xdr:from>
    <xdr:to>
      <xdr:col>3</xdr:col>
      <xdr:colOff>1008529</xdr:colOff>
      <xdr:row>6</xdr:row>
      <xdr:rowOff>208990</xdr:rowOff>
    </xdr:to>
    <xdr:pic>
      <xdr:nvPicPr>
        <xdr:cNvPr id="8" name="Imagen 7">
          <a:hlinkClick xmlns:r="http://schemas.openxmlformats.org/officeDocument/2006/relationships" r:id="rId1" tooltip="Inicio"/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7232" y="81984"/>
          <a:ext cx="404591" cy="530418"/>
        </a:xfrm>
        <a:prstGeom prst="rect">
          <a:avLst/>
        </a:prstGeom>
      </xdr:spPr>
    </xdr:pic>
    <xdr:clientData fLocksWithSheet="0" fPrintsWithSheet="0"/>
  </xdr:twoCellAnchor>
  <xdr:twoCellAnchor editAs="oneCell">
    <xdr:from>
      <xdr:col>2</xdr:col>
      <xdr:colOff>100263</xdr:colOff>
      <xdr:row>5</xdr:row>
      <xdr:rowOff>53972</xdr:rowOff>
    </xdr:from>
    <xdr:to>
      <xdr:col>3</xdr:col>
      <xdr:colOff>179295</xdr:colOff>
      <xdr:row>7</xdr:row>
      <xdr:rowOff>8846</xdr:rowOff>
    </xdr:to>
    <xdr:pic macro="[0]!EliminarFilas">
      <xdr:nvPicPr>
        <xdr:cNvPr id="5" name="Imagen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b="22366"/>
        <a:stretch/>
      </xdr:blipFill>
      <xdr:spPr>
        <a:xfrm>
          <a:off x="1052763" y="53972"/>
          <a:ext cx="829826" cy="582403"/>
        </a:xfrm>
        <a:prstGeom prst="rect">
          <a:avLst/>
        </a:prstGeom>
      </xdr:spPr>
    </xdr:pic>
    <xdr:clientData fLocksWithSheet="0" fPrintsWithSheet="0"/>
  </xdr:twoCellAnchor>
  <xdr:twoCellAnchor editAs="oneCell">
    <xdr:from>
      <xdr:col>0</xdr:col>
      <xdr:colOff>92596</xdr:colOff>
      <xdr:row>5</xdr:row>
      <xdr:rowOff>117367</xdr:rowOff>
    </xdr:from>
    <xdr:to>
      <xdr:col>1</xdr:col>
      <xdr:colOff>473006</xdr:colOff>
      <xdr:row>6</xdr:row>
      <xdr:rowOff>197578</xdr:rowOff>
    </xdr:to>
    <xdr:pic macro="[0]!DesbloquearEntrada">
      <xdr:nvPicPr>
        <xdr:cNvPr id="3" name="Imagen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596" y="117367"/>
          <a:ext cx="481263" cy="483623"/>
        </a:xfrm>
        <a:prstGeom prst="rect">
          <a:avLst/>
        </a:prstGeom>
      </xdr:spPr>
    </xdr:pic>
    <xdr:clientData fLocksWithSheet="0"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711867</xdr:colOff>
      <xdr:row>4</xdr:row>
      <xdr:rowOff>10027</xdr:rowOff>
    </xdr:from>
    <xdr:to>
      <xdr:col>3</xdr:col>
      <xdr:colOff>1183104</xdr:colOff>
      <xdr:row>6</xdr:row>
      <xdr:rowOff>19894</xdr:rowOff>
    </xdr:to>
    <xdr:pic>
      <xdr:nvPicPr>
        <xdr:cNvPr id="3" name="Imagen 2">
          <a:hlinkClick xmlns:r="http://schemas.openxmlformats.org/officeDocument/2006/relationships" r:id="rId1" tooltip="Inicio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499" y="220580"/>
          <a:ext cx="471237" cy="621473"/>
        </a:xfrm>
        <a:prstGeom prst="rect">
          <a:avLst/>
        </a:prstGeom>
      </xdr:spPr>
    </xdr:pic>
    <xdr:clientData/>
  </xdr:twoCellAnchor>
  <xdr:twoCellAnchor editAs="oneCell">
    <xdr:from>
      <xdr:col>2</xdr:col>
      <xdr:colOff>441161</xdr:colOff>
      <xdr:row>4</xdr:row>
      <xdr:rowOff>55689</xdr:rowOff>
    </xdr:from>
    <xdr:to>
      <xdr:col>3</xdr:col>
      <xdr:colOff>541422</xdr:colOff>
      <xdr:row>6</xdr:row>
      <xdr:rowOff>43130</xdr:rowOff>
    </xdr:to>
    <xdr:pic macro="[0]!EliminarFilas">
      <xdr:nvPicPr>
        <xdr:cNvPr id="5" name="Imagen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b="22366"/>
        <a:stretch/>
      </xdr:blipFill>
      <xdr:spPr>
        <a:xfrm>
          <a:off x="1433766" y="266242"/>
          <a:ext cx="872288" cy="599047"/>
        </a:xfrm>
        <a:prstGeom prst="rect">
          <a:avLst/>
        </a:prstGeom>
      </xdr:spPr>
    </xdr:pic>
    <xdr:clientData/>
  </xdr:twoCellAnchor>
  <xdr:twoCellAnchor editAs="oneCell">
    <xdr:from>
      <xdr:col>1</xdr:col>
      <xdr:colOff>56030</xdr:colOff>
      <xdr:row>4</xdr:row>
      <xdr:rowOff>201705</xdr:rowOff>
    </xdr:from>
    <xdr:to>
      <xdr:col>1</xdr:col>
      <xdr:colOff>537293</xdr:colOff>
      <xdr:row>6</xdr:row>
      <xdr:rowOff>69004</xdr:rowOff>
    </xdr:to>
    <xdr:pic macro="[0]!Desbloquear_Salidas">
      <xdr:nvPicPr>
        <xdr:cNvPr id="4" name="Imagen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677" y="201705"/>
          <a:ext cx="481263" cy="483623"/>
        </a:xfrm>
        <a:prstGeom prst="rect">
          <a:avLst/>
        </a:prstGeom>
      </xdr:spPr>
    </xdr:pic>
    <xdr:clientData fLocksWithSheet="0"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34464</xdr:colOff>
      <xdr:row>1</xdr:row>
      <xdr:rowOff>88357</xdr:rowOff>
    </xdr:from>
    <xdr:to>
      <xdr:col>2</xdr:col>
      <xdr:colOff>637892</xdr:colOff>
      <xdr:row>2</xdr:row>
      <xdr:rowOff>392906</xdr:rowOff>
    </xdr:to>
    <xdr:pic macro="[0]!HistorialMovimiento"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8402" y="88357"/>
          <a:ext cx="603428" cy="518862"/>
        </a:xfrm>
        <a:prstGeom prst="rect">
          <a:avLst/>
        </a:prstGeom>
      </xdr:spPr>
    </xdr:pic>
    <xdr:clientData fLocksWithSheet="0" fPrintsWithSheet="0"/>
  </xdr:twoCellAnchor>
  <xdr:twoCellAnchor editAs="oneCell">
    <xdr:from>
      <xdr:col>1</xdr:col>
      <xdr:colOff>167314</xdr:colOff>
      <xdr:row>1</xdr:row>
      <xdr:rowOff>11906</xdr:rowOff>
    </xdr:from>
    <xdr:to>
      <xdr:col>1</xdr:col>
      <xdr:colOff>628525</xdr:colOff>
      <xdr:row>2</xdr:row>
      <xdr:rowOff>394765</xdr:rowOff>
    </xdr:to>
    <xdr:pic>
      <xdr:nvPicPr>
        <xdr:cNvPr id="5" name="Imagen 4">
          <a:hlinkClick xmlns:r="http://schemas.openxmlformats.org/officeDocument/2006/relationships" r:id="rId2" tooltip="Inicio"/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6845" y="11906"/>
          <a:ext cx="461211" cy="597172"/>
        </a:xfrm>
        <a:prstGeom prst="rect">
          <a:avLst/>
        </a:prstGeom>
      </xdr:spPr>
    </xdr:pic>
    <xdr:clientData fLocksWithSheet="0"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361950</xdr:colOff>
      <xdr:row>0</xdr:row>
      <xdr:rowOff>250826</xdr:rowOff>
    </xdr:from>
    <xdr:to>
      <xdr:col>5</xdr:col>
      <xdr:colOff>762000</xdr:colOff>
      <xdr:row>2</xdr:row>
      <xdr:rowOff>180975</xdr:rowOff>
    </xdr:to>
    <xdr:pic>
      <xdr:nvPicPr>
        <xdr:cNvPr id="4" name="Imagen 3">
          <a:hlinkClick xmlns:r="http://schemas.openxmlformats.org/officeDocument/2006/relationships" r:id="rId1" tooltip="Inicio"/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63100" y="250826"/>
          <a:ext cx="400050" cy="520699"/>
        </a:xfrm>
        <a:prstGeom prst="rect">
          <a:avLst/>
        </a:prstGeom>
      </xdr:spPr>
    </xdr:pic>
    <xdr:clientData fPrintsWithSheet="0"/>
  </xdr:twoCellAnchor>
  <xdr:twoCellAnchor>
    <xdr:from>
      <xdr:col>3</xdr:col>
      <xdr:colOff>38100</xdr:colOff>
      <xdr:row>1</xdr:row>
      <xdr:rowOff>1</xdr:rowOff>
    </xdr:from>
    <xdr:to>
      <xdr:col>5</xdr:col>
      <xdr:colOff>66675</xdr:colOff>
      <xdr:row>3</xdr:row>
      <xdr:rowOff>66676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5981700" y="257176"/>
          <a:ext cx="1657350" cy="609600"/>
        </a:xfrm>
        <a:prstGeom prst="roundRect">
          <a:avLst/>
        </a:prstGeom>
        <a:noFill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47624</xdr:colOff>
      <xdr:row>4</xdr:row>
      <xdr:rowOff>133350</xdr:rowOff>
    </xdr:from>
    <xdr:to>
      <xdr:col>5</xdr:col>
      <xdr:colOff>0</xdr:colOff>
      <xdr:row>7</xdr:row>
      <xdr:rowOff>0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GrpSpPr/>
      </xdr:nvGrpSpPr>
      <xdr:grpSpPr>
        <a:xfrm>
          <a:off x="4756784" y="1131570"/>
          <a:ext cx="1712596" cy="491490"/>
          <a:chOff x="4238951" y="1066800"/>
          <a:chExt cx="1256974" cy="466725"/>
        </a:xfrm>
      </xdr:grpSpPr>
      <xdr:sp macro="" textlink="">
        <xdr:nvSpPr>
          <xdr:cNvPr id="10" name="Rectángulo: esquinas superiores redondeadas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4241871" y="1066800"/>
            <a:ext cx="449102" cy="257175"/>
          </a:xfrm>
          <a:prstGeom prst="round2SameRect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 b="1">
                <a:solidFill>
                  <a:schemeClr val="bg1"/>
                </a:solidFill>
              </a:rPr>
              <a:t>DIA</a:t>
            </a:r>
          </a:p>
        </xdr:txBody>
      </xdr:sp>
      <xdr:sp macro="" textlink="">
        <xdr:nvSpPr>
          <xdr:cNvPr id="11" name="Rectángulo: esquinas superiores redondeadas 10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SpPr/>
        </xdr:nvSpPr>
        <xdr:spPr>
          <a:xfrm>
            <a:off x="4709287" y="1066800"/>
            <a:ext cx="388133" cy="257175"/>
          </a:xfrm>
          <a:prstGeom prst="round2SameRect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 b="1">
                <a:solidFill>
                  <a:schemeClr val="bg1"/>
                </a:solidFill>
              </a:rPr>
              <a:t>MES</a:t>
            </a:r>
          </a:p>
        </xdr:txBody>
      </xdr:sp>
      <xdr:sp macro="" textlink="">
        <xdr:nvSpPr>
          <xdr:cNvPr id="12" name="Rectángulo: esquinas superiores redondeadas 11">
            <a:extLst>
              <a:ext uri="{FF2B5EF4-FFF2-40B4-BE49-F238E27FC236}">
                <a16:creationId xmlns:a16="http://schemas.microsoft.com/office/drawing/2014/main" id="{00000000-0008-0000-0A00-00000C000000}"/>
              </a:ext>
            </a:extLst>
          </xdr:cNvPr>
          <xdr:cNvSpPr/>
        </xdr:nvSpPr>
        <xdr:spPr>
          <a:xfrm>
            <a:off x="5120323" y="1066800"/>
            <a:ext cx="375602" cy="257175"/>
          </a:xfrm>
          <a:prstGeom prst="round2SameRect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 b="1">
                <a:solidFill>
                  <a:schemeClr val="bg1"/>
                </a:solidFill>
              </a:rPr>
              <a:t>AÑO</a:t>
            </a:r>
          </a:p>
        </xdr:txBody>
      </xdr:sp>
      <xdr:sp macro="" textlink="$I$2">
        <xdr:nvSpPr>
          <xdr:cNvPr id="13" name="Rectángulo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4238951" y="1323975"/>
            <a:ext cx="442497" cy="209550"/>
          </a:xfrm>
          <a:prstGeom prst="rect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70E50D7-FBE0-4387-B3F2-26A05E4D1D41}" type="TxLink">
              <a:rPr lang="en-US" sz="1000" b="0" i="0" u="none" strike="noStrike">
                <a:solidFill>
                  <a:srgbClr val="000000"/>
                </a:solidFill>
                <a:latin typeface="Segoe UI"/>
                <a:cs typeface="Segoe UI"/>
              </a:rPr>
              <a:pPr algn="ctr"/>
              <a:t>13</a:t>
            </a:fld>
            <a:endParaRPr lang="en-US" sz="1000">
              <a:solidFill>
                <a:sysClr val="windowText" lastClr="000000"/>
              </a:solidFill>
            </a:endParaRPr>
          </a:p>
        </xdr:txBody>
      </xdr:sp>
      <xdr:sp macro="" textlink="$J$2">
        <xdr:nvSpPr>
          <xdr:cNvPr id="14" name="Rectángulo 13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SpPr/>
        </xdr:nvSpPr>
        <xdr:spPr>
          <a:xfrm>
            <a:off x="4710361" y="1314449"/>
            <a:ext cx="381614" cy="219075"/>
          </a:xfrm>
          <a:prstGeom prst="rect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CDE9C29-5837-4DA2-8151-02915E117EFC}" type="TxLink">
              <a:rPr lang="en-US" sz="1000" b="0" i="0" u="none" strike="noStrike">
                <a:solidFill>
                  <a:srgbClr val="000000"/>
                </a:solidFill>
                <a:latin typeface="Segoe UI"/>
                <a:cs typeface="Segoe UI"/>
              </a:rPr>
              <a:pPr algn="ctr"/>
              <a:t>5</a:t>
            </a:fld>
            <a:endParaRPr lang="en-US" sz="1000">
              <a:solidFill>
                <a:sysClr val="windowText" lastClr="000000"/>
              </a:solidFill>
            </a:endParaRPr>
          </a:p>
        </xdr:txBody>
      </xdr:sp>
      <xdr:sp macro="" textlink="$K$2">
        <xdr:nvSpPr>
          <xdr:cNvPr id="15" name="Rectángulo 14">
            <a:extLst>
              <a:ext uri="{FF2B5EF4-FFF2-40B4-BE49-F238E27FC236}">
                <a16:creationId xmlns:a16="http://schemas.microsoft.com/office/drawing/2014/main" id="{00000000-0008-0000-0A00-00000F000000}"/>
              </a:ext>
            </a:extLst>
          </xdr:cNvPr>
          <xdr:cNvSpPr/>
        </xdr:nvSpPr>
        <xdr:spPr>
          <a:xfrm>
            <a:off x="5120323" y="1314449"/>
            <a:ext cx="366076" cy="219075"/>
          </a:xfrm>
          <a:prstGeom prst="rect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5D62E47-0773-442C-8DC9-4806458381A4}" type="TxLink">
              <a:rPr lang="en-US" sz="1000" b="0" i="0" u="none" strike="noStrike">
                <a:solidFill>
                  <a:srgbClr val="000000"/>
                </a:solidFill>
                <a:latin typeface="Segoe UI"/>
                <a:cs typeface="Segoe UI"/>
              </a:rPr>
              <a:pPr algn="ctr"/>
              <a:t>2021</a:t>
            </a:fld>
            <a:endParaRPr lang="en-US" sz="10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3</xdr:col>
      <xdr:colOff>104775</xdr:colOff>
      <xdr:row>1</xdr:row>
      <xdr:rowOff>9525</xdr:rowOff>
    </xdr:from>
    <xdr:to>
      <xdr:col>5</xdr:col>
      <xdr:colOff>0</xdr:colOff>
      <xdr:row>3</xdr:row>
      <xdr:rowOff>152400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/>
      </xdr:nvSpPr>
      <xdr:spPr>
        <a:xfrm>
          <a:off x="4819650" y="266700"/>
          <a:ext cx="1657350" cy="68580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12</xdr:col>
      <xdr:colOff>409575</xdr:colOff>
      <xdr:row>0</xdr:row>
      <xdr:rowOff>190500</xdr:rowOff>
    </xdr:from>
    <xdr:to>
      <xdr:col>12</xdr:col>
      <xdr:colOff>809625</xdr:colOff>
      <xdr:row>2</xdr:row>
      <xdr:rowOff>120649</xdr:rowOff>
    </xdr:to>
    <xdr:pic>
      <xdr:nvPicPr>
        <xdr:cNvPr id="18" name="Imagen 17">
          <a:hlinkClick xmlns:r="http://schemas.openxmlformats.org/officeDocument/2006/relationships" r:id="rId1" tooltip="Inicio"/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0" y="190500"/>
          <a:ext cx="400050" cy="520699"/>
        </a:xfrm>
        <a:prstGeom prst="rect">
          <a:avLst/>
        </a:prstGeom>
      </xdr:spPr>
    </xdr:pic>
    <xdr:clientData fPrintsWithSheet="0"/>
  </xdr:twoCellAnchor>
  <xdr:twoCellAnchor>
    <xdr:from>
      <xdr:col>1</xdr:col>
      <xdr:colOff>19050</xdr:colOff>
      <xdr:row>56</xdr:row>
      <xdr:rowOff>123825</xdr:rowOff>
    </xdr:from>
    <xdr:to>
      <xdr:col>2</xdr:col>
      <xdr:colOff>1533525</xdr:colOff>
      <xdr:row>60</xdr:row>
      <xdr:rowOff>85725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52400" y="11115675"/>
          <a:ext cx="2514600" cy="800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en-US" sz="1100" b="1">
            <a:solidFill>
              <a:schemeClr val="accent1"/>
            </a:solidFill>
          </a:endParaRPr>
        </a:p>
        <a:p>
          <a:pPr algn="ctr"/>
          <a:r>
            <a:rPr lang="en-US" sz="1100" b="1">
              <a:solidFill>
                <a:schemeClr val="accent1"/>
              </a:solidFill>
            </a:rPr>
            <a:t>_________________________________</a:t>
          </a:r>
        </a:p>
        <a:p>
          <a:pPr algn="ctr"/>
          <a:r>
            <a:rPr lang="en-US" sz="1100" b="1">
              <a:solidFill>
                <a:schemeClr val="accent1"/>
              </a:solidFill>
            </a:rPr>
            <a:t>Elaborado Por:</a:t>
          </a:r>
        </a:p>
      </xdr:txBody>
    </xdr:sp>
    <xdr:clientData/>
  </xdr:twoCellAnchor>
  <xdr:twoCellAnchor>
    <xdr:from>
      <xdr:col>2</xdr:col>
      <xdr:colOff>2447925</xdr:colOff>
      <xdr:row>56</xdr:row>
      <xdr:rowOff>114300</xdr:rowOff>
    </xdr:from>
    <xdr:to>
      <xdr:col>4</xdr:col>
      <xdr:colOff>581025</xdr:colOff>
      <xdr:row>60</xdr:row>
      <xdr:rowOff>133350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SpPr txBox="1"/>
      </xdr:nvSpPr>
      <xdr:spPr>
        <a:xfrm>
          <a:off x="3581400" y="11106150"/>
          <a:ext cx="2667000" cy="8572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en-US" sz="1100" b="1">
            <a:solidFill>
              <a:schemeClr val="accent1"/>
            </a:solidFill>
          </a:endParaRPr>
        </a:p>
        <a:p>
          <a:pPr algn="ctr"/>
          <a:r>
            <a:rPr lang="en-US" sz="1100" b="1">
              <a:solidFill>
                <a:schemeClr val="accent1"/>
              </a:solidFill>
            </a:rPr>
            <a:t>_________________________________</a:t>
          </a:r>
        </a:p>
        <a:p>
          <a:pPr algn="ctr"/>
          <a:r>
            <a:rPr lang="en-US" sz="1100" b="1">
              <a:solidFill>
                <a:schemeClr val="accent1"/>
              </a:solidFill>
            </a:rPr>
            <a:t>Autorizado</a:t>
          </a:r>
          <a:r>
            <a:rPr lang="en-US" sz="1100" b="1" baseline="0">
              <a:solidFill>
                <a:schemeClr val="accent1"/>
              </a:solidFill>
            </a:rPr>
            <a:t> por</a:t>
          </a:r>
          <a:r>
            <a:rPr lang="en-US" sz="1100" b="1">
              <a:solidFill>
                <a:schemeClr val="accent1"/>
              </a:solidFill>
            </a:rPr>
            <a:t>: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209550</xdr:colOff>
      <xdr:row>7</xdr:row>
      <xdr:rowOff>114300</xdr:rowOff>
    </xdr:from>
    <xdr:to>
      <xdr:col>7</xdr:col>
      <xdr:colOff>740946</xdr:colOff>
      <xdr:row>11</xdr:row>
      <xdr:rowOff>43957</xdr:rowOff>
    </xdr:to>
    <xdr:pic>
      <xdr:nvPicPr>
        <xdr:cNvPr id="2" name="Imagen 1">
          <a:hlinkClick xmlns:r="http://schemas.openxmlformats.org/officeDocument/2006/relationships" r:id="rId1" tooltip="Inicio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2875" y="1485900"/>
          <a:ext cx="531396" cy="69165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TablaEntradas" displayName="TablaEntradas" ref="B9:J10" insertRow="1" totalsRowShown="0" headerRowDxfId="39" dataDxfId="38">
  <autoFilter ref="B9:J10" xr:uid="{6DEA7599-0152-4718-A5F4-076E912371E6}"/>
  <tableColumns count="9">
    <tableColumn id="1" xr3:uid="{00000000-0010-0000-0000-000001000000}" name="Fecha" dataDxfId="37"/>
    <tableColumn id="2" xr3:uid="{00000000-0010-0000-0000-000002000000}" name="N_Doc" dataDxfId="36"/>
    <tableColumn id="3" xr3:uid="{00000000-0010-0000-0000-000003000000}" name="Proveedor" dataDxfId="35"/>
    <tableColumn id="5" xr3:uid="{00000000-0010-0000-0000-000005000000}" name="Código" dataDxfId="34"/>
    <tableColumn id="11" xr3:uid="{00000000-0010-0000-0000-00000B000000}" name="Categoría" dataDxfId="33"/>
    <tableColumn id="6" xr3:uid="{00000000-0010-0000-0000-000006000000}" name="Producto" dataDxfId="32"/>
    <tableColumn id="7" xr3:uid="{00000000-0010-0000-0000-000007000000}" name="Und" dataDxfId="31"/>
    <tableColumn id="4" xr3:uid="{00000000-0010-0000-0000-000004000000}" name="Comentario" dataDxfId="30"/>
    <tableColumn id="8" xr3:uid="{00000000-0010-0000-0000-000008000000}" name="Cantidad" dataDxfId="29"/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Salidas" displayName="TablaSalidas" ref="B9:I10" insertRow="1" totalsRowShown="0" headerRowDxfId="28" dataDxfId="27" headerRowCellStyle="Moneda">
  <autoFilter ref="B9:I10" xr:uid="{C79580D7-B385-4A6F-A57E-B47FC929742A}"/>
  <tableColumns count="8">
    <tableColumn id="2" xr3:uid="{00000000-0010-0000-0100-000002000000}" name="Fecha" dataDxfId="26"/>
    <tableColumn id="1" xr3:uid="{00000000-0010-0000-0100-000001000000}" name="N_Doc" dataDxfId="25"/>
    <tableColumn id="3" xr3:uid="{00000000-0010-0000-0100-000003000000}" name="Clientes" dataDxfId="24"/>
    <tableColumn id="5" xr3:uid="{00000000-0010-0000-0100-000005000000}" name="Código" dataDxfId="23"/>
    <tableColumn id="15" xr3:uid="{00000000-0010-0000-0100-00000F000000}" name="Categoría" dataDxfId="22"/>
    <tableColumn id="6" xr3:uid="{00000000-0010-0000-0100-000006000000}" name="Producto" dataDxfId="21"/>
    <tableColumn id="4" xr3:uid="{00000000-0010-0000-0100-000004000000}" name="Comentario" dataDxfId="20"/>
    <tableColumn id="8" xr3:uid="{00000000-0010-0000-0100-000008000000}" name="Cantidad" dataDxfId="19"/>
  </tableColumns>
  <tableStyleInfo name="TableStyleLight9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aPrintCompras" displayName="TablaPrintCompras" ref="A9:E14" headerRowDxfId="18" headerRowBorderDxfId="17" tableBorderDxfId="16" headerRowCellStyle="Moneda">
  <tableColumns count="5">
    <tableColumn id="1" xr3:uid="{00000000-0010-0000-0200-000001000000}" name="Código" totalsRowLabel="Total" dataDxfId="15" totalsRowDxfId="14"/>
    <tableColumn id="8" xr3:uid="{00000000-0010-0000-0200-000008000000}" name="Categoría" dataDxfId="13" totalsRowDxfId="12"/>
    <tableColumn id="2" xr3:uid="{00000000-0010-0000-0200-000002000000}" name="Producto" dataDxfId="11" totalsRowDxfId="10"/>
    <tableColumn id="4" xr3:uid="{00000000-0010-0000-0200-000004000000}" name="Medida" dataDxfId="9" totalsRowDxfId="8"/>
    <tableColumn id="5" xr3:uid="{00000000-0010-0000-0200-000005000000}" name="Cantidad" dataDxfId="7" totalsRowDxfId="6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Sector">
  <a:themeElements>
    <a:clrScheme name="Sector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ector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ector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ofimaticaempresarial.com/plantillas-en-excel-premium-con-macros-vba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1"/>
  <dimension ref="B2:N19"/>
  <sheetViews>
    <sheetView showGridLines="0" tabSelected="1" workbookViewId="0"/>
  </sheetViews>
  <sheetFormatPr baseColWidth="10" defaultColWidth="11" defaultRowHeight="16.8" x14ac:dyDescent="0.4"/>
  <cols>
    <col min="1" max="1" width="4.59765625" style="96" customWidth="1"/>
    <col min="2" max="8" width="11" style="96"/>
    <col min="9" max="9" width="13.3984375" style="96" customWidth="1"/>
    <col min="10" max="10" width="11.69921875" style="96" customWidth="1"/>
    <col min="11" max="16384" width="11" style="96"/>
  </cols>
  <sheetData>
    <row r="2" spans="2:14" ht="14.25" customHeight="1" x14ac:dyDescent="0.4"/>
    <row r="3" spans="2:14" ht="29.25" customHeight="1" x14ac:dyDescent="0.4">
      <c r="N3" s="97"/>
    </row>
    <row r="4" spans="2:14" ht="26.25" customHeight="1" thickBot="1" x14ac:dyDescent="0.7">
      <c r="B4" s="163" t="s">
        <v>77</v>
      </c>
      <c r="C4" s="163"/>
      <c r="D4" s="163"/>
      <c r="E4" s="163"/>
      <c r="F4" s="163"/>
      <c r="G4" s="163"/>
      <c r="H4" s="163"/>
    </row>
    <row r="5" spans="2:14" ht="15.6" customHeight="1" thickTop="1" x14ac:dyDescent="0.4">
      <c r="N5" s="139" t="s">
        <v>98</v>
      </c>
    </row>
    <row r="6" spans="2:14" x14ac:dyDescent="0.4">
      <c r="K6" s="98"/>
      <c r="N6" s="140" t="s">
        <v>99</v>
      </c>
    </row>
    <row r="7" spans="2:14" x14ac:dyDescent="0.4">
      <c r="K7" s="98"/>
    </row>
    <row r="8" spans="2:14" ht="18.75" customHeight="1" x14ac:dyDescent="0.4"/>
    <row r="9" spans="2:14" ht="11.25" customHeight="1" x14ac:dyDescent="0.4"/>
    <row r="10" spans="2:14" x14ac:dyDescent="0.4">
      <c r="J10" s="99"/>
    </row>
    <row r="11" spans="2:14" ht="8.25" customHeight="1" x14ac:dyDescent="0.4">
      <c r="J11" s="100"/>
    </row>
    <row r="12" spans="2:14" x14ac:dyDescent="0.4">
      <c r="J12" s="100"/>
    </row>
    <row r="18" spans="2:8" ht="17.399999999999999" thickBot="1" x14ac:dyDescent="0.45">
      <c r="B18" s="101"/>
      <c r="C18" s="101"/>
      <c r="D18" s="101"/>
      <c r="E18" s="101"/>
      <c r="F18" s="101"/>
      <c r="G18" s="101"/>
      <c r="H18" s="101"/>
    </row>
    <row r="19" spans="2:8" ht="17.399999999999999" thickTop="1" x14ac:dyDescent="0.4"/>
  </sheetData>
  <sheetProtection formatCells="0" formatColumns="0" formatRows="0"/>
  <mergeCells count="1">
    <mergeCell ref="B4:H4"/>
  </mergeCells>
  <hyperlinks>
    <hyperlink ref="N6" r:id="rId1" display="QUI" xr:uid="{91CEC3B8-1829-467F-9C27-4A152E73B217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3073" r:id="rId5" name="Image1">
          <controlPr defaultSize="0" autoLine="0" r:id="rId6">
            <anchor moveWithCells="1">
              <from>
                <xdr:col>12</xdr:col>
                <xdr:colOff>754380</xdr:colOff>
                <xdr:row>2</xdr:row>
                <xdr:rowOff>297180</xdr:rowOff>
              </from>
              <to>
                <xdr:col>14</xdr:col>
                <xdr:colOff>91440</xdr:colOff>
                <xdr:row>3</xdr:row>
                <xdr:rowOff>236220</xdr:rowOff>
              </to>
            </anchor>
          </controlPr>
        </control>
      </mc:Choice>
      <mc:Fallback>
        <control shapeId="3073" r:id="rId5" name="Image1"/>
      </mc:Fallback>
    </mc:AlternateContent>
    <mc:AlternateContent xmlns:mc="http://schemas.openxmlformats.org/markup-compatibility/2006">
      <mc:Choice Requires="x14">
        <control shapeId="3074" r:id="rId7" name="Label 2">
          <controlPr defaultSize="0" autoFill="0" autoLine="0" autoPict="0">
            <anchor moveWithCells="1" sizeWithCells="1">
              <from>
                <xdr:col>12</xdr:col>
                <xdr:colOff>632460</xdr:colOff>
                <xdr:row>1</xdr:row>
                <xdr:rowOff>167640</xdr:rowOff>
              </from>
              <to>
                <xdr:col>14</xdr:col>
                <xdr:colOff>289560</xdr:colOff>
                <xdr:row>2</xdr:row>
                <xdr:rowOff>335280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A301C-C880-4F14-82CD-9BF26AF81EA7}">
  <sheetPr codeName="listProductos"/>
  <dimension ref="A1:E19"/>
  <sheetViews>
    <sheetView zoomScale="90" zoomScaleNormal="90" workbookViewId="0">
      <selection activeCell="E5" sqref="E5:E19"/>
    </sheetView>
  </sheetViews>
  <sheetFormatPr baseColWidth="10" defaultColWidth="11" defaultRowHeight="16.8" x14ac:dyDescent="0.4"/>
  <cols>
    <col min="1" max="1" width="11" style="156" customWidth="1"/>
    <col min="2" max="2" width="19.3984375" style="25" customWidth="1"/>
    <col min="3" max="3" width="55.3984375" style="26" customWidth="1"/>
    <col min="4" max="4" width="13" style="25" customWidth="1"/>
    <col min="5" max="5" width="13.59765625" style="157" customWidth="1"/>
    <col min="6" max="16384" width="11" style="26"/>
  </cols>
  <sheetData>
    <row r="1" spans="1:5" s="50" customFormat="1" ht="13.5" customHeight="1" x14ac:dyDescent="0.4">
      <c r="A1" s="153"/>
      <c r="B1" s="86"/>
      <c r="D1" s="86"/>
      <c r="E1" s="154"/>
    </row>
    <row r="2" spans="1:5" s="50" customFormat="1" ht="27" x14ac:dyDescent="0.6">
      <c r="A2" s="155" t="s">
        <v>101</v>
      </c>
      <c r="B2" s="86"/>
      <c r="D2" s="86"/>
      <c r="E2" s="154"/>
    </row>
    <row r="3" spans="1:5" s="50" customFormat="1" ht="10.5" customHeight="1" x14ac:dyDescent="0.4">
      <c r="A3" s="153"/>
      <c r="B3" s="86"/>
      <c r="D3" s="86"/>
      <c r="E3" s="154"/>
    </row>
    <row r="4" spans="1:5" s="158" customFormat="1" x14ac:dyDescent="0.4">
      <c r="A4" s="144" t="s">
        <v>0</v>
      </c>
      <c r="B4" s="141" t="s">
        <v>36</v>
      </c>
      <c r="C4" s="141" t="s">
        <v>1</v>
      </c>
      <c r="D4" s="141" t="s">
        <v>2</v>
      </c>
      <c r="E4" s="142" t="s">
        <v>3</v>
      </c>
    </row>
    <row r="5" spans="1:5" x14ac:dyDescent="0.4">
      <c r="A5" s="156" t="s">
        <v>55</v>
      </c>
      <c r="B5" s="25" t="s">
        <v>79</v>
      </c>
      <c r="C5" s="26" t="s">
        <v>86</v>
      </c>
      <c r="D5" s="25" t="s">
        <v>104</v>
      </c>
      <c r="E5" s="159">
        <v>0</v>
      </c>
    </row>
    <row r="6" spans="1:5" x14ac:dyDescent="0.4">
      <c r="A6" s="156" t="s">
        <v>56</v>
      </c>
      <c r="B6" s="25" t="s">
        <v>79</v>
      </c>
      <c r="C6" s="26" t="s">
        <v>89</v>
      </c>
      <c r="D6" s="25" t="s">
        <v>4</v>
      </c>
      <c r="E6" s="159">
        <v>0</v>
      </c>
    </row>
    <row r="7" spans="1:5" x14ac:dyDescent="0.4">
      <c r="A7" s="156" t="s">
        <v>57</v>
      </c>
      <c r="B7" s="25" t="s">
        <v>79</v>
      </c>
      <c r="C7" s="26" t="s">
        <v>81</v>
      </c>
      <c r="D7" s="25" t="s">
        <v>4</v>
      </c>
      <c r="E7" s="159">
        <v>0</v>
      </c>
    </row>
    <row r="8" spans="1:5" x14ac:dyDescent="0.4">
      <c r="A8" s="156" t="s">
        <v>58</v>
      </c>
      <c r="B8" s="25" t="s">
        <v>79</v>
      </c>
      <c r="C8" s="26" t="s">
        <v>88</v>
      </c>
      <c r="D8" s="25" t="s">
        <v>4</v>
      </c>
      <c r="E8" s="159">
        <v>0</v>
      </c>
    </row>
    <row r="9" spans="1:5" x14ac:dyDescent="0.4">
      <c r="A9" s="156" t="s">
        <v>59</v>
      </c>
      <c r="B9" s="25" t="s">
        <v>79</v>
      </c>
      <c r="C9" s="26" t="s">
        <v>85</v>
      </c>
      <c r="D9" s="25" t="s">
        <v>4</v>
      </c>
      <c r="E9" s="159">
        <v>0</v>
      </c>
    </row>
    <row r="10" spans="1:5" x14ac:dyDescent="0.4">
      <c r="A10" s="156" t="s">
        <v>60</v>
      </c>
      <c r="B10" s="25" t="s">
        <v>79</v>
      </c>
      <c r="C10" s="26" t="s">
        <v>90</v>
      </c>
      <c r="D10" s="25" t="s">
        <v>4</v>
      </c>
      <c r="E10" s="159">
        <v>0</v>
      </c>
    </row>
    <row r="11" spans="1:5" x14ac:dyDescent="0.4">
      <c r="A11" s="156" t="s">
        <v>109</v>
      </c>
      <c r="B11" s="25" t="s">
        <v>79</v>
      </c>
      <c r="C11" s="26" t="s">
        <v>110</v>
      </c>
      <c r="D11" s="25" t="s">
        <v>47</v>
      </c>
      <c r="E11" s="157">
        <v>0</v>
      </c>
    </row>
    <row r="12" spans="1:5" x14ac:dyDescent="0.4">
      <c r="A12" s="156" t="s">
        <v>111</v>
      </c>
      <c r="B12" s="25" t="s">
        <v>79</v>
      </c>
      <c r="C12" s="26" t="s">
        <v>112</v>
      </c>
      <c r="D12" s="25" t="s">
        <v>47</v>
      </c>
      <c r="E12" s="157">
        <v>0</v>
      </c>
    </row>
    <row r="13" spans="1:5" x14ac:dyDescent="0.4">
      <c r="A13" s="156" t="s">
        <v>113</v>
      </c>
      <c r="B13" s="25" t="s">
        <v>79</v>
      </c>
      <c r="C13" s="26" t="s">
        <v>114</v>
      </c>
      <c r="D13" s="25" t="s">
        <v>115</v>
      </c>
      <c r="E13" s="157">
        <v>0</v>
      </c>
    </row>
    <row r="14" spans="1:5" x14ac:dyDescent="0.4">
      <c r="A14" s="156" t="s">
        <v>116</v>
      </c>
      <c r="B14" s="25" t="s">
        <v>79</v>
      </c>
      <c r="C14" s="26" t="s">
        <v>117</v>
      </c>
      <c r="D14" s="25" t="s">
        <v>115</v>
      </c>
      <c r="E14" s="157">
        <v>0</v>
      </c>
    </row>
    <row r="15" spans="1:5" x14ac:dyDescent="0.4">
      <c r="A15" s="156" t="s">
        <v>118</v>
      </c>
      <c r="B15" s="25" t="s">
        <v>79</v>
      </c>
      <c r="C15" s="26" t="s">
        <v>119</v>
      </c>
      <c r="D15" s="25" t="s">
        <v>115</v>
      </c>
      <c r="E15" s="157">
        <v>0</v>
      </c>
    </row>
    <row r="16" spans="1:5" x14ac:dyDescent="0.4">
      <c r="A16" s="156" t="s">
        <v>120</v>
      </c>
      <c r="B16" s="25" t="s">
        <v>79</v>
      </c>
      <c r="C16" s="26" t="s">
        <v>121</v>
      </c>
      <c r="D16" s="25" t="s">
        <v>115</v>
      </c>
      <c r="E16" s="157">
        <v>0</v>
      </c>
    </row>
    <row r="17" spans="1:5" x14ac:dyDescent="0.4">
      <c r="A17" s="156" t="s">
        <v>122</v>
      </c>
      <c r="B17" s="25" t="s">
        <v>79</v>
      </c>
      <c r="C17" s="26" t="s">
        <v>123</v>
      </c>
      <c r="D17" s="25" t="s">
        <v>115</v>
      </c>
      <c r="E17" s="157">
        <v>0</v>
      </c>
    </row>
    <row r="18" spans="1:5" x14ac:dyDescent="0.4">
      <c r="A18" s="156" t="s">
        <v>124</v>
      </c>
      <c r="B18" s="25" t="s">
        <v>79</v>
      </c>
      <c r="C18" s="26" t="s">
        <v>125</v>
      </c>
      <c r="D18" s="25" t="s">
        <v>115</v>
      </c>
      <c r="E18" s="157">
        <v>0</v>
      </c>
    </row>
    <row r="19" spans="1:5" x14ac:dyDescent="0.4">
      <c r="A19" s="156" t="s">
        <v>126</v>
      </c>
      <c r="B19" s="25" t="s">
        <v>79</v>
      </c>
      <c r="C19" s="26" t="s">
        <v>127</v>
      </c>
      <c r="D19" s="25" t="s">
        <v>115</v>
      </c>
      <c r="E19" s="157">
        <v>0</v>
      </c>
    </row>
  </sheetData>
  <sheetProtection formatCells="0" formatColumns="0" formatRows="0"/>
  <autoFilter ref="A4:E10" xr:uid="{810B94B9-1FA7-46FB-8A96-1880D8857CE7}"/>
  <conditionalFormatting sqref="A1:A1048576">
    <cfRule type="duplicateValues" dxfId="5" priority="2"/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2:E19"/>
  <sheetViews>
    <sheetView zoomScale="90" zoomScaleNormal="90" workbookViewId="0">
      <selection activeCell="E5" sqref="E5:E19"/>
    </sheetView>
  </sheetViews>
  <sheetFormatPr baseColWidth="10" defaultColWidth="11" defaultRowHeight="16.8" x14ac:dyDescent="0.4"/>
  <cols>
    <col min="1" max="1" width="11" style="145"/>
    <col min="2" max="2" width="19.3984375" style="1" customWidth="1"/>
    <col min="3" max="3" width="51.3984375" style="2" customWidth="1"/>
    <col min="4" max="4" width="11" style="1"/>
    <col min="5" max="5" width="11.8984375" style="64" customWidth="1"/>
    <col min="6" max="16384" width="11" style="50"/>
  </cols>
  <sheetData>
    <row r="2" spans="1:5" ht="27" x14ac:dyDescent="0.6">
      <c r="A2" s="148" t="s">
        <v>102</v>
      </c>
      <c r="D2" s="149" t="s">
        <v>103</v>
      </c>
      <c r="E2" s="150">
        <f>SUMIFS(TablaEntradas[Cantidad],TablaEntradas[Código],Productos!$A2)-SUMIFS(TablaSalidas[Cantidad],TablaSalidas[Código],Productos!$A2)</f>
        <v>0</v>
      </c>
    </row>
    <row r="4" spans="1:5" s="48" customFormat="1" x14ac:dyDescent="0.4">
      <c r="A4" s="144" t="s">
        <v>0</v>
      </c>
      <c r="B4" s="141" t="s">
        <v>36</v>
      </c>
      <c r="C4" s="141" t="s">
        <v>1</v>
      </c>
      <c r="D4" s="141" t="s">
        <v>2</v>
      </c>
      <c r="E4" s="142" t="s">
        <v>3</v>
      </c>
    </row>
    <row r="5" spans="1:5" x14ac:dyDescent="0.4">
      <c r="A5" s="145" t="s">
        <v>55</v>
      </c>
      <c r="B5" s="1" t="s">
        <v>79</v>
      </c>
      <c r="C5" s="2" t="s">
        <v>86</v>
      </c>
      <c r="D5" s="1" t="s">
        <v>104</v>
      </c>
      <c r="E5" s="63">
        <f>SUMIFS(TablaEntradas[Cantidad],TablaEntradas[Código],Productos!$A5)-SUMIFS(TablaSalidas[Cantidad],TablaSalidas[Código],Productos!$A5)</f>
        <v>0</v>
      </c>
    </row>
    <row r="6" spans="1:5" x14ac:dyDescent="0.4">
      <c r="A6" s="145" t="s">
        <v>56</v>
      </c>
      <c r="B6" s="1" t="s">
        <v>79</v>
      </c>
      <c r="C6" s="2" t="s">
        <v>89</v>
      </c>
      <c r="D6" s="1" t="s">
        <v>4</v>
      </c>
      <c r="E6" s="63">
        <f>SUMIFS(TablaEntradas[Cantidad],TablaEntradas[Código],Productos!$A6)-SUMIFS(TablaSalidas[Cantidad],TablaSalidas[Código],Productos!$A6)</f>
        <v>0</v>
      </c>
    </row>
    <row r="7" spans="1:5" x14ac:dyDescent="0.4">
      <c r="A7" s="145" t="s">
        <v>57</v>
      </c>
      <c r="B7" s="1" t="s">
        <v>79</v>
      </c>
      <c r="C7" s="2" t="s">
        <v>81</v>
      </c>
      <c r="D7" s="1" t="s">
        <v>4</v>
      </c>
      <c r="E7" s="63">
        <f>SUMIFS(TablaEntradas[Cantidad],TablaEntradas[Código],Productos!$A7)-SUMIFS(TablaSalidas[Cantidad],TablaSalidas[Código],Productos!$A7)</f>
        <v>0</v>
      </c>
    </row>
    <row r="8" spans="1:5" x14ac:dyDescent="0.4">
      <c r="A8" s="145" t="s">
        <v>58</v>
      </c>
      <c r="B8" s="1" t="s">
        <v>79</v>
      </c>
      <c r="C8" s="2" t="s">
        <v>88</v>
      </c>
      <c r="D8" s="1" t="s">
        <v>4</v>
      </c>
      <c r="E8" s="63">
        <f>SUMIFS(TablaEntradas[Cantidad],TablaEntradas[Código],Productos!$A8)-SUMIFS(TablaSalidas[Cantidad],TablaSalidas[Código],Productos!$A8)</f>
        <v>0</v>
      </c>
    </row>
    <row r="9" spans="1:5" x14ac:dyDescent="0.4">
      <c r="A9" s="145" t="s">
        <v>59</v>
      </c>
      <c r="B9" s="1" t="s">
        <v>79</v>
      </c>
      <c r="C9" s="2" t="s">
        <v>85</v>
      </c>
      <c r="D9" s="1" t="s">
        <v>4</v>
      </c>
      <c r="E9" s="63">
        <f>SUMIFS(TablaEntradas[Cantidad],TablaEntradas[Código],Productos!$A9)-SUMIFS(TablaSalidas[Cantidad],TablaSalidas[Código],Productos!$A9)</f>
        <v>0</v>
      </c>
    </row>
    <row r="10" spans="1:5" x14ac:dyDescent="0.4">
      <c r="A10" s="145" t="s">
        <v>60</v>
      </c>
      <c r="B10" s="1" t="s">
        <v>79</v>
      </c>
      <c r="C10" s="2" t="s">
        <v>90</v>
      </c>
      <c r="D10" s="1" t="s">
        <v>4</v>
      </c>
      <c r="E10" s="63">
        <f>SUMIFS(TablaEntradas[Cantidad],TablaEntradas[Código],Productos!$A10)-SUMIFS(TablaSalidas[Cantidad],TablaSalidas[Código],Productos!$A10)</f>
        <v>0</v>
      </c>
    </row>
    <row r="11" spans="1:5" x14ac:dyDescent="0.4">
      <c r="A11" s="145" t="s">
        <v>109</v>
      </c>
      <c r="B11" s="1" t="s">
        <v>79</v>
      </c>
      <c r="C11" s="2" t="s">
        <v>110</v>
      </c>
      <c r="D11" s="1" t="s">
        <v>47</v>
      </c>
      <c r="E11" s="63">
        <f>SUMIFS(TablaEntradas[Cantidad],TablaEntradas[Código],Productos!$A11)-SUMIFS(TablaSalidas[Cantidad],TablaSalidas[Código],Productos!$A11)</f>
        <v>0</v>
      </c>
    </row>
    <row r="12" spans="1:5" x14ac:dyDescent="0.4">
      <c r="A12" s="145" t="s">
        <v>111</v>
      </c>
      <c r="B12" s="1" t="s">
        <v>79</v>
      </c>
      <c r="C12" s="2" t="s">
        <v>112</v>
      </c>
      <c r="D12" s="1" t="s">
        <v>47</v>
      </c>
      <c r="E12" s="64">
        <f>SUMIFS(TablaEntradas[Cantidad],TablaEntradas[Código],Productos!$A12)-SUMIFS(TablaSalidas[Cantidad],TablaSalidas[Código],Productos!$A12)</f>
        <v>0</v>
      </c>
    </row>
    <row r="13" spans="1:5" x14ac:dyDescent="0.4">
      <c r="A13" s="145" t="s">
        <v>113</v>
      </c>
      <c r="B13" s="1" t="s">
        <v>79</v>
      </c>
      <c r="C13" s="2" t="s">
        <v>114</v>
      </c>
      <c r="D13" s="1" t="s">
        <v>115</v>
      </c>
      <c r="E13" s="64">
        <f>SUMIFS(TablaEntradas[Cantidad],TablaEntradas[Código],Productos!$A13)-SUMIFS(TablaSalidas[Cantidad],TablaSalidas[Código],Productos!$A13)</f>
        <v>0</v>
      </c>
    </row>
    <row r="14" spans="1:5" x14ac:dyDescent="0.4">
      <c r="A14" s="145" t="s">
        <v>116</v>
      </c>
      <c r="B14" s="1" t="s">
        <v>79</v>
      </c>
      <c r="C14" s="2" t="s">
        <v>117</v>
      </c>
      <c r="D14" s="1" t="s">
        <v>115</v>
      </c>
      <c r="E14" s="64">
        <f>SUMIFS(TablaEntradas[Cantidad],TablaEntradas[Código],Productos!$A14)-SUMIFS(TablaSalidas[Cantidad],TablaSalidas[Código],Productos!$A14)</f>
        <v>0</v>
      </c>
    </row>
    <row r="15" spans="1:5" x14ac:dyDescent="0.4">
      <c r="A15" s="145" t="s">
        <v>118</v>
      </c>
      <c r="B15" s="1" t="s">
        <v>79</v>
      </c>
      <c r="C15" s="2" t="s">
        <v>119</v>
      </c>
      <c r="D15" s="1" t="s">
        <v>115</v>
      </c>
      <c r="E15" s="64">
        <f>SUMIFS(TablaEntradas[Cantidad],TablaEntradas[Código],Productos!$A15)-SUMIFS(TablaSalidas[Cantidad],TablaSalidas[Código],Productos!$A15)</f>
        <v>0</v>
      </c>
    </row>
    <row r="16" spans="1:5" x14ac:dyDescent="0.4">
      <c r="A16" s="145" t="s">
        <v>120</v>
      </c>
      <c r="B16" s="1" t="s">
        <v>79</v>
      </c>
      <c r="C16" s="2" t="s">
        <v>121</v>
      </c>
      <c r="D16" s="1" t="s">
        <v>115</v>
      </c>
      <c r="E16" s="64">
        <f>SUMIFS(TablaEntradas[Cantidad],TablaEntradas[Código],Productos!$A16)-SUMIFS(TablaSalidas[Cantidad],TablaSalidas[Código],Productos!$A16)</f>
        <v>0</v>
      </c>
    </row>
    <row r="17" spans="1:5" x14ac:dyDescent="0.4">
      <c r="A17" s="145" t="s">
        <v>122</v>
      </c>
      <c r="B17" s="1" t="s">
        <v>79</v>
      </c>
      <c r="C17" s="2" t="s">
        <v>123</v>
      </c>
      <c r="D17" s="1" t="s">
        <v>115</v>
      </c>
      <c r="E17" s="64">
        <f>SUMIFS(TablaEntradas[Cantidad],TablaEntradas[Código],Productos!$A17)-SUMIFS(TablaSalidas[Cantidad],TablaSalidas[Código],Productos!$A17)</f>
        <v>0</v>
      </c>
    </row>
    <row r="18" spans="1:5" x14ac:dyDescent="0.4">
      <c r="A18" s="145" t="s">
        <v>124</v>
      </c>
      <c r="B18" s="1" t="s">
        <v>79</v>
      </c>
      <c r="C18" s="2" t="s">
        <v>125</v>
      </c>
      <c r="D18" s="1" t="s">
        <v>115</v>
      </c>
      <c r="E18" s="64">
        <f>SUMIFS(TablaEntradas[Cantidad],TablaEntradas[Código],Productos!$A18)-SUMIFS(TablaSalidas[Cantidad],TablaSalidas[Código],Productos!$A18)</f>
        <v>0</v>
      </c>
    </row>
    <row r="19" spans="1:5" x14ac:dyDescent="0.4">
      <c r="A19" s="145" t="s">
        <v>126</v>
      </c>
      <c r="B19" s="1" t="s">
        <v>79</v>
      </c>
      <c r="C19" s="2" t="s">
        <v>127</v>
      </c>
      <c r="D19" s="1" t="s">
        <v>115</v>
      </c>
      <c r="E19" s="64">
        <f>SUMIFS(TablaEntradas[Cantidad],TablaEntradas[Código],Productos!$A19)-SUMIFS(TablaSalidas[Cantidad],TablaSalidas[Código],Productos!$A19)</f>
        <v>0</v>
      </c>
    </row>
  </sheetData>
  <sheetProtection formatCells="0" formatColumns="0" formatRows="0" insertRows="0" deleteRows="0"/>
  <conditionalFormatting sqref="A4:B4">
    <cfRule type="duplicateValues" dxfId="4" priority="4"/>
  </conditionalFormatting>
  <conditionalFormatting sqref="A1:A1048576">
    <cfRule type="duplicateValues" dxfId="3" priority="1"/>
  </conditionalFormatting>
  <conditionalFormatting sqref="A1:E1048576">
    <cfRule type="expression" dxfId="2" priority="7">
      <formula>AND($C4&lt;&gt;"",$E4="")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2:A13"/>
  <sheetViews>
    <sheetView workbookViewId="0"/>
  </sheetViews>
  <sheetFormatPr baseColWidth="10" defaultColWidth="11" defaultRowHeight="14.4" x14ac:dyDescent="0.3"/>
  <cols>
    <col min="1" max="1" width="39.3984375" style="3" customWidth="1"/>
    <col min="2" max="16384" width="11" style="3"/>
  </cols>
  <sheetData>
    <row r="2" spans="1:1" ht="23.4" x14ac:dyDescent="0.45">
      <c r="A2" s="152" t="s">
        <v>105</v>
      </c>
    </row>
    <row r="4" spans="1:1" x14ac:dyDescent="0.3">
      <c r="A4" s="151" t="s">
        <v>65</v>
      </c>
    </row>
    <row r="5" spans="1:1" x14ac:dyDescent="0.3">
      <c r="A5" s="3" t="s">
        <v>82</v>
      </c>
    </row>
    <row r="6" spans="1:1" x14ac:dyDescent="0.3">
      <c r="A6" s="3" t="s">
        <v>83</v>
      </c>
    </row>
    <row r="7" spans="1:1" x14ac:dyDescent="0.3">
      <c r="A7" s="3" t="s">
        <v>96</v>
      </c>
    </row>
    <row r="8" spans="1:1" x14ac:dyDescent="0.3">
      <c r="A8" s="3" t="s">
        <v>91</v>
      </c>
    </row>
    <row r="9" spans="1:1" x14ac:dyDescent="0.3">
      <c r="A9" s="3" t="s">
        <v>97</v>
      </c>
    </row>
    <row r="10" spans="1:1" x14ac:dyDescent="0.3">
      <c r="A10" s="3" t="s">
        <v>92</v>
      </c>
    </row>
    <row r="11" spans="1:1" x14ac:dyDescent="0.3">
      <c r="A11" s="3" t="s">
        <v>78</v>
      </c>
    </row>
    <row r="12" spans="1:1" x14ac:dyDescent="0.3">
      <c r="A12" s="3" t="s">
        <v>87</v>
      </c>
    </row>
    <row r="13" spans="1:1" x14ac:dyDescent="0.3">
      <c r="A13" s="3" t="s">
        <v>80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2:A6"/>
  <sheetViews>
    <sheetView workbookViewId="0">
      <selection activeCell="A7" sqref="A7"/>
    </sheetView>
  </sheetViews>
  <sheetFormatPr baseColWidth="10" defaultColWidth="11" defaultRowHeight="16.8" x14ac:dyDescent="0.4"/>
  <cols>
    <col min="1" max="1" width="40.3984375" style="10" customWidth="1"/>
    <col min="2" max="16384" width="11" style="10"/>
  </cols>
  <sheetData>
    <row r="2" spans="1:1" ht="23.4" x14ac:dyDescent="0.55000000000000004">
      <c r="A2" s="161" t="s">
        <v>107</v>
      </c>
    </row>
    <row r="3" spans="1:1" ht="8.25" customHeight="1" x14ac:dyDescent="0.4"/>
    <row r="4" spans="1:1" x14ac:dyDescent="0.4">
      <c r="A4" s="162" t="s">
        <v>69</v>
      </c>
    </row>
    <row r="5" spans="1:1" x14ac:dyDescent="0.4">
      <c r="A5" s="10" t="s">
        <v>94</v>
      </c>
    </row>
    <row r="6" spans="1:1" x14ac:dyDescent="0.4">
      <c r="A6" s="10" t="s">
        <v>93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pageSetUpPr fitToPage="1"/>
  </sheetPr>
  <dimension ref="B1:J25"/>
  <sheetViews>
    <sheetView showGridLines="0" zoomScale="90" zoomScaleNormal="90" workbookViewId="0">
      <selection activeCell="C10" sqref="C10"/>
    </sheetView>
  </sheetViews>
  <sheetFormatPr baseColWidth="10" defaultColWidth="11" defaultRowHeight="16.8" x14ac:dyDescent="0.4"/>
  <cols>
    <col min="1" max="1" width="0.69921875" style="10" customWidth="1"/>
    <col min="2" max="2" width="11.3984375" style="10" customWidth="1"/>
    <col min="3" max="3" width="11.3984375" style="35" customWidth="1"/>
    <col min="4" max="4" width="22.8984375" style="41" customWidth="1"/>
    <col min="5" max="5" width="37.5" style="36" customWidth="1"/>
    <col min="6" max="6" width="8.69921875" style="35" bestFit="1" customWidth="1"/>
    <col min="7" max="7" width="10" style="35" bestFit="1" customWidth="1"/>
    <col min="8" max="8" width="9.09765625" style="35" customWidth="1"/>
    <col min="9" max="9" width="9.3984375" style="35" customWidth="1"/>
    <col min="10" max="10" width="9.09765625" style="35" customWidth="1"/>
    <col min="11" max="16384" width="11" style="10"/>
  </cols>
  <sheetData>
    <row r="1" spans="2:10" ht="27" x14ac:dyDescent="0.4">
      <c r="B1" s="51" t="s">
        <v>27</v>
      </c>
      <c r="C1" s="25"/>
      <c r="D1" s="25"/>
      <c r="E1" s="26"/>
      <c r="F1" s="25"/>
      <c r="G1" s="1"/>
      <c r="H1" s="1"/>
      <c r="I1" s="1"/>
      <c r="J1" s="1"/>
    </row>
    <row r="2" spans="2:10" ht="19.8" thickBot="1" x14ac:dyDescent="0.45">
      <c r="B2" s="52" t="s">
        <v>28</v>
      </c>
      <c r="C2" s="53"/>
      <c r="D2" s="53"/>
      <c r="E2" s="26"/>
      <c r="F2" s="25"/>
      <c r="G2" s="1"/>
      <c r="H2" s="1"/>
      <c r="I2" s="1"/>
      <c r="J2" s="1"/>
    </row>
    <row r="3" spans="2:10" hidden="1" x14ac:dyDescent="0.4">
      <c r="B3" s="26"/>
      <c r="C3" s="25"/>
      <c r="D3" s="25"/>
      <c r="E3" s="26"/>
      <c r="F3" s="25"/>
      <c r="G3" s="1"/>
      <c r="H3" s="1"/>
      <c r="I3" s="1"/>
      <c r="J3" s="1"/>
    </row>
    <row r="4" spans="2:10" hidden="1" x14ac:dyDescent="0.4">
      <c r="B4" s="26"/>
      <c r="C4" s="25"/>
      <c r="D4" s="25"/>
      <c r="E4" s="26"/>
      <c r="F4" s="25"/>
      <c r="G4" s="1"/>
      <c r="H4" s="1"/>
      <c r="I4" s="1"/>
      <c r="J4" s="1"/>
    </row>
    <row r="5" spans="2:10" x14ac:dyDescent="0.4">
      <c r="B5" s="2"/>
      <c r="C5" s="1"/>
      <c r="D5" s="1"/>
      <c r="E5" s="2"/>
      <c r="F5" s="1"/>
      <c r="G5" s="1"/>
      <c r="H5" s="1"/>
      <c r="I5" s="1"/>
      <c r="J5" s="1"/>
    </row>
    <row r="6" spans="2:10" x14ac:dyDescent="0.4">
      <c r="B6" s="27" t="s">
        <v>22</v>
      </c>
      <c r="C6" s="56">
        <v>44317</v>
      </c>
      <c r="D6" s="160" t="s">
        <v>106</v>
      </c>
      <c r="E6" s="24"/>
      <c r="F6" s="28"/>
      <c r="G6" s="28"/>
      <c r="H6" s="28"/>
      <c r="I6" s="28"/>
      <c r="J6" s="28"/>
    </row>
    <row r="7" spans="2:10" x14ac:dyDescent="0.4">
      <c r="B7" s="27" t="s">
        <v>23</v>
      </c>
      <c r="C7" s="56">
        <v>47848</v>
      </c>
      <c r="D7" s="39"/>
      <c r="E7" s="24"/>
      <c r="F7" s="28"/>
      <c r="G7" s="28"/>
      <c r="H7" s="28"/>
      <c r="I7" s="28"/>
      <c r="J7" s="28"/>
    </row>
    <row r="8" spans="2:10" hidden="1" x14ac:dyDescent="0.4">
      <c r="B8" s="29"/>
      <c r="C8" s="30"/>
      <c r="D8" s="30"/>
      <c r="E8" s="24"/>
      <c r="F8" s="28"/>
      <c r="G8" s="43">
        <f>SUMIFS(TablaEntradas[Cantidad],TablaEntradas[Código],Kardex!C8,TablaEntradas[Fecha],"&lt;"&amp;Kardex!$C$6)-SUMIFS(TablaSalidas[Cantidad],TablaSalidas[Código],Kardex!C8,TablaSalidas[Fecha],"&lt;"&amp;Kardex!$C$6)</f>
        <v>0</v>
      </c>
      <c r="H8" s="43">
        <f>SUMIFS(TablaEntradas[Cantidad],TablaEntradas[Código],Kardex!C8,TablaEntradas[Fecha],"&gt;="&amp;Kardex!$C$6,TablaEntradas[Fecha],"&lt;="&amp;Kardex!$C$7)</f>
        <v>0</v>
      </c>
      <c r="I8" s="43">
        <f>SUMIFS(TablaSalidas[Cantidad],TablaSalidas[Código],Kardex!C8,TablaSalidas[Fecha],"&gt;="&amp;Kardex!$C$6,TablaSalidas[Fecha],"&lt;="&amp;Kardex!$C$7)</f>
        <v>0</v>
      </c>
      <c r="J8" s="43">
        <f>+G8+H8-I8</f>
        <v>0</v>
      </c>
    </row>
    <row r="9" spans="2:10" s="12" customFormat="1" x14ac:dyDescent="0.25">
      <c r="C9" s="31">
        <v>29</v>
      </c>
      <c r="D9" s="31"/>
      <c r="E9" s="32"/>
      <c r="F9" s="32"/>
      <c r="G9" s="164" t="s">
        <v>24</v>
      </c>
      <c r="H9" s="164"/>
      <c r="I9" s="164"/>
      <c r="J9" s="164"/>
    </row>
    <row r="10" spans="2:10" x14ac:dyDescent="0.4">
      <c r="C10" s="33" t="s">
        <v>0</v>
      </c>
      <c r="D10" s="33" t="s">
        <v>36</v>
      </c>
      <c r="E10" s="33" t="s">
        <v>8</v>
      </c>
      <c r="F10" s="34" t="s">
        <v>30</v>
      </c>
      <c r="G10" s="34" t="s">
        <v>25</v>
      </c>
      <c r="H10" s="34" t="s">
        <v>61</v>
      </c>
      <c r="I10" s="34" t="s">
        <v>62</v>
      </c>
      <c r="J10" s="34" t="s">
        <v>26</v>
      </c>
    </row>
    <row r="11" spans="2:10" x14ac:dyDescent="0.4">
      <c r="C11" s="35" t="s">
        <v>55</v>
      </c>
      <c r="D11" s="41" t="s">
        <v>79</v>
      </c>
      <c r="E11" s="36" t="s">
        <v>86</v>
      </c>
      <c r="F11" s="35" t="s">
        <v>104</v>
      </c>
      <c r="G11" s="35">
        <f>SUMIFS(TablaEntradas[Cantidad],TablaEntradas[Código],Kardex!C11,TablaEntradas[Fecha],"&lt;"&amp;Kardex!$C$6)-SUMIFS(TablaSalidas[Cantidad],TablaSalidas[Código],Kardex!C11,TablaSalidas[Fecha],"&lt;"&amp;Kardex!$C$6)</f>
        <v>0</v>
      </c>
      <c r="H11" s="35">
        <f>SUMIFS(TablaEntradas[Cantidad],TablaEntradas[Código],Kardex!C11,TablaEntradas[Fecha],"&gt;="&amp;Kardex!$C$6,TablaEntradas[Fecha],"&lt;="&amp;Kardex!$C$7)</f>
        <v>0</v>
      </c>
      <c r="I11" s="35">
        <f>SUMIFS(TablaSalidas[Cantidad],TablaSalidas[Código],Kardex!C11,TablaSalidas[Fecha],"&gt;="&amp;Kardex!$C$6,TablaSalidas[Fecha],"&lt;="&amp;Kardex!$C$7)</f>
        <v>0</v>
      </c>
      <c r="J11" s="35">
        <f t="shared" ref="J11:J25" si="0">+G11+H11-I11</f>
        <v>0</v>
      </c>
    </row>
    <row r="12" spans="2:10" x14ac:dyDescent="0.4">
      <c r="C12" s="35" t="s">
        <v>56</v>
      </c>
      <c r="D12" s="41" t="s">
        <v>79</v>
      </c>
      <c r="E12" s="36" t="s">
        <v>89</v>
      </c>
      <c r="F12" s="35" t="s">
        <v>4</v>
      </c>
      <c r="G12" s="35">
        <f>SUMIFS(TablaEntradas[Cantidad],TablaEntradas[Código],Kardex!C12,TablaEntradas[Fecha],"&lt;"&amp;Kardex!$C$6)-SUMIFS(TablaSalidas[Cantidad],TablaSalidas[Código],Kardex!C12,TablaSalidas[Fecha],"&lt;"&amp;Kardex!$C$6)</f>
        <v>0</v>
      </c>
      <c r="H12" s="35">
        <f>SUMIFS(TablaEntradas[Cantidad],TablaEntradas[Código],Kardex!C12,TablaEntradas[Fecha],"&gt;="&amp;Kardex!$C$6,TablaEntradas[Fecha],"&lt;="&amp;Kardex!$C$7)</f>
        <v>0</v>
      </c>
      <c r="I12" s="35">
        <f>SUMIFS(TablaSalidas[Cantidad],TablaSalidas[Código],Kardex!C12,TablaSalidas[Fecha],"&gt;="&amp;Kardex!$C$6,TablaSalidas[Fecha],"&lt;="&amp;Kardex!$C$7)</f>
        <v>0</v>
      </c>
      <c r="J12" s="35">
        <f t="shared" si="0"/>
        <v>0</v>
      </c>
    </row>
    <row r="13" spans="2:10" x14ac:dyDescent="0.4">
      <c r="C13" s="35" t="s">
        <v>57</v>
      </c>
      <c r="D13" s="41" t="s">
        <v>79</v>
      </c>
      <c r="E13" s="36" t="s">
        <v>81</v>
      </c>
      <c r="F13" s="35" t="s">
        <v>4</v>
      </c>
      <c r="G13" s="35">
        <f>SUMIFS(TablaEntradas[Cantidad],TablaEntradas[Código],Kardex!C13,TablaEntradas[Fecha],"&lt;"&amp;Kardex!$C$6)-SUMIFS(TablaSalidas[Cantidad],TablaSalidas[Código],Kardex!C13,TablaSalidas[Fecha],"&lt;"&amp;Kardex!$C$6)</f>
        <v>0</v>
      </c>
      <c r="H13" s="35">
        <f>SUMIFS(TablaEntradas[Cantidad],TablaEntradas[Código],Kardex!C13,TablaEntradas[Fecha],"&gt;="&amp;Kardex!$C$6,TablaEntradas[Fecha],"&lt;="&amp;Kardex!$C$7)</f>
        <v>0</v>
      </c>
      <c r="I13" s="35">
        <f>SUMIFS(TablaSalidas[Cantidad],TablaSalidas[Código],Kardex!C13,TablaSalidas[Fecha],"&gt;="&amp;Kardex!$C$6,TablaSalidas[Fecha],"&lt;="&amp;Kardex!$C$7)</f>
        <v>0</v>
      </c>
      <c r="J13" s="35">
        <f t="shared" si="0"/>
        <v>0</v>
      </c>
    </row>
    <row r="14" spans="2:10" x14ac:dyDescent="0.4">
      <c r="C14" s="35" t="s">
        <v>58</v>
      </c>
      <c r="D14" s="41" t="s">
        <v>79</v>
      </c>
      <c r="E14" s="36" t="s">
        <v>88</v>
      </c>
      <c r="F14" s="35" t="s">
        <v>4</v>
      </c>
      <c r="G14" s="35">
        <f>SUMIFS(TablaEntradas[Cantidad],TablaEntradas[Código],Kardex!C14,TablaEntradas[Fecha],"&lt;"&amp;Kardex!$C$6)-SUMIFS(TablaSalidas[Cantidad],TablaSalidas[Código],Kardex!C14,TablaSalidas[Fecha],"&lt;"&amp;Kardex!$C$6)</f>
        <v>0</v>
      </c>
      <c r="H14" s="35">
        <f>SUMIFS(TablaEntradas[Cantidad],TablaEntradas[Código],Kardex!C14,TablaEntradas[Fecha],"&gt;="&amp;Kardex!$C$6,TablaEntradas[Fecha],"&lt;="&amp;Kardex!$C$7)</f>
        <v>0</v>
      </c>
      <c r="I14" s="35">
        <f>SUMIFS(TablaSalidas[Cantidad],TablaSalidas[Código],Kardex!C14,TablaSalidas[Fecha],"&gt;="&amp;Kardex!$C$6,TablaSalidas[Fecha],"&lt;="&amp;Kardex!$C$7)</f>
        <v>0</v>
      </c>
      <c r="J14" s="35">
        <f t="shared" si="0"/>
        <v>0</v>
      </c>
    </row>
    <row r="15" spans="2:10" x14ac:dyDescent="0.4">
      <c r="C15" s="35" t="s">
        <v>59</v>
      </c>
      <c r="D15" s="41" t="s">
        <v>79</v>
      </c>
      <c r="E15" s="36" t="s">
        <v>85</v>
      </c>
      <c r="F15" s="35" t="s">
        <v>4</v>
      </c>
      <c r="G15" s="35">
        <f>SUMIFS(TablaEntradas[Cantidad],TablaEntradas[Código],Kardex!C15,TablaEntradas[Fecha],"&lt;"&amp;Kardex!$C$6)-SUMIFS(TablaSalidas[Cantidad],TablaSalidas[Código],Kardex!C15,TablaSalidas[Fecha],"&lt;"&amp;Kardex!$C$6)</f>
        <v>0</v>
      </c>
      <c r="H15" s="35">
        <f>SUMIFS(TablaEntradas[Cantidad],TablaEntradas[Código],Kardex!C15,TablaEntradas[Fecha],"&gt;="&amp;Kardex!$C$6,TablaEntradas[Fecha],"&lt;="&amp;Kardex!$C$7)</f>
        <v>0</v>
      </c>
      <c r="I15" s="35">
        <f>SUMIFS(TablaSalidas[Cantidad],TablaSalidas[Código],Kardex!C15,TablaSalidas[Fecha],"&gt;="&amp;Kardex!$C$6,TablaSalidas[Fecha],"&lt;="&amp;Kardex!$C$7)</f>
        <v>0</v>
      </c>
      <c r="J15" s="35">
        <f t="shared" si="0"/>
        <v>0</v>
      </c>
    </row>
    <row r="16" spans="2:10" x14ac:dyDescent="0.4">
      <c r="C16" s="35" t="s">
        <v>60</v>
      </c>
      <c r="D16" s="41" t="s">
        <v>79</v>
      </c>
      <c r="E16" s="36" t="s">
        <v>90</v>
      </c>
      <c r="F16" s="35" t="s">
        <v>4</v>
      </c>
      <c r="G16" s="35">
        <f>SUMIFS(TablaEntradas[Cantidad],TablaEntradas[Código],Kardex!C16,TablaEntradas[Fecha],"&lt;"&amp;Kardex!$C$6)-SUMIFS(TablaSalidas[Cantidad],TablaSalidas[Código],Kardex!C16,TablaSalidas[Fecha],"&lt;"&amp;Kardex!$C$6)</f>
        <v>0</v>
      </c>
      <c r="H16" s="35">
        <f>SUMIFS(TablaEntradas[Cantidad],TablaEntradas[Código],Kardex!C16,TablaEntradas[Fecha],"&gt;="&amp;Kardex!$C$6,TablaEntradas[Fecha],"&lt;="&amp;Kardex!$C$7)</f>
        <v>0</v>
      </c>
      <c r="I16" s="35">
        <f>SUMIFS(TablaSalidas[Cantidad],TablaSalidas[Código],Kardex!C16,TablaSalidas[Fecha],"&gt;="&amp;Kardex!$C$6,TablaSalidas[Fecha],"&lt;="&amp;Kardex!$C$7)</f>
        <v>0</v>
      </c>
      <c r="J16" s="35">
        <f t="shared" si="0"/>
        <v>0</v>
      </c>
    </row>
    <row r="17" spans="3:10" x14ac:dyDescent="0.4">
      <c r="C17" s="35" t="s">
        <v>109</v>
      </c>
      <c r="D17" s="41" t="s">
        <v>79</v>
      </c>
      <c r="E17" s="36" t="s">
        <v>110</v>
      </c>
      <c r="F17" s="35" t="s">
        <v>47</v>
      </c>
      <c r="G17" s="35">
        <f>SUMIFS(TablaEntradas[Cantidad],TablaEntradas[Código],Kardex!C17,TablaEntradas[Fecha],"&lt;"&amp;Kardex!$C$6)-SUMIFS(TablaSalidas[Cantidad],TablaSalidas[Código],Kardex!C17,TablaSalidas[Fecha],"&lt;"&amp;Kardex!$C$6)</f>
        <v>0</v>
      </c>
      <c r="H17" s="35">
        <f>SUMIFS(TablaEntradas[Cantidad],TablaEntradas[Código],Kardex!C17,TablaEntradas[Fecha],"&gt;="&amp;Kardex!$C$6,TablaEntradas[Fecha],"&lt;="&amp;Kardex!$C$7)</f>
        <v>0</v>
      </c>
      <c r="I17" s="35">
        <f>SUMIFS(TablaSalidas[Cantidad],TablaSalidas[Código],Kardex!C17,TablaSalidas[Fecha],"&gt;="&amp;Kardex!$C$6,TablaSalidas[Fecha],"&lt;="&amp;Kardex!$C$7)</f>
        <v>0</v>
      </c>
      <c r="J17" s="35">
        <f t="shared" si="0"/>
        <v>0</v>
      </c>
    </row>
    <row r="18" spans="3:10" x14ac:dyDescent="0.4">
      <c r="C18" s="35" t="s">
        <v>111</v>
      </c>
      <c r="D18" s="41" t="s">
        <v>79</v>
      </c>
      <c r="E18" s="36" t="s">
        <v>112</v>
      </c>
      <c r="F18" s="35" t="s">
        <v>47</v>
      </c>
      <c r="G18" s="35">
        <f>SUMIFS(TablaEntradas[Cantidad],TablaEntradas[Código],Kardex!C18,TablaEntradas[Fecha],"&lt;"&amp;Kardex!$C$6)-SUMIFS(TablaSalidas[Cantidad],TablaSalidas[Código],Kardex!C18,TablaSalidas[Fecha],"&lt;"&amp;Kardex!$C$6)</f>
        <v>0</v>
      </c>
      <c r="H18" s="35">
        <f>SUMIFS(TablaEntradas[Cantidad],TablaEntradas[Código],Kardex!C18,TablaEntradas[Fecha],"&gt;="&amp;Kardex!$C$6,TablaEntradas[Fecha],"&lt;="&amp;Kardex!$C$7)</f>
        <v>0</v>
      </c>
      <c r="I18" s="35">
        <f>SUMIFS(TablaSalidas[Cantidad],TablaSalidas[Código],Kardex!C18,TablaSalidas[Fecha],"&gt;="&amp;Kardex!$C$6,TablaSalidas[Fecha],"&lt;="&amp;Kardex!$C$7)</f>
        <v>0</v>
      </c>
      <c r="J18" s="35">
        <f t="shared" si="0"/>
        <v>0</v>
      </c>
    </row>
    <row r="19" spans="3:10" x14ac:dyDescent="0.4">
      <c r="C19" s="35" t="s">
        <v>113</v>
      </c>
      <c r="D19" s="41" t="s">
        <v>79</v>
      </c>
      <c r="E19" s="36" t="s">
        <v>114</v>
      </c>
      <c r="F19" s="35" t="s">
        <v>115</v>
      </c>
      <c r="G19" s="35">
        <f>SUMIFS(TablaEntradas[Cantidad],TablaEntradas[Código],Kardex!C19,TablaEntradas[Fecha],"&lt;"&amp;Kardex!$C$6)-SUMIFS(TablaSalidas[Cantidad],TablaSalidas[Código],Kardex!C19,TablaSalidas[Fecha],"&lt;"&amp;Kardex!$C$6)</f>
        <v>0</v>
      </c>
      <c r="H19" s="35">
        <f>SUMIFS(TablaEntradas[Cantidad],TablaEntradas[Código],Kardex!C19,TablaEntradas[Fecha],"&gt;="&amp;Kardex!$C$6,TablaEntradas[Fecha],"&lt;="&amp;Kardex!$C$7)</f>
        <v>0</v>
      </c>
      <c r="I19" s="35">
        <f>SUMIFS(TablaSalidas[Cantidad],TablaSalidas[Código],Kardex!C19,TablaSalidas[Fecha],"&gt;="&amp;Kardex!$C$6,TablaSalidas[Fecha],"&lt;="&amp;Kardex!$C$7)</f>
        <v>0</v>
      </c>
      <c r="J19" s="35">
        <f t="shared" si="0"/>
        <v>0</v>
      </c>
    </row>
    <row r="20" spans="3:10" x14ac:dyDescent="0.4">
      <c r="C20" s="35" t="s">
        <v>116</v>
      </c>
      <c r="D20" s="41" t="s">
        <v>79</v>
      </c>
      <c r="E20" s="36" t="s">
        <v>117</v>
      </c>
      <c r="F20" s="35" t="s">
        <v>115</v>
      </c>
      <c r="G20" s="35">
        <f>SUMIFS(TablaEntradas[Cantidad],TablaEntradas[Código],Kardex!C20,TablaEntradas[Fecha],"&lt;"&amp;Kardex!$C$6)-SUMIFS(TablaSalidas[Cantidad],TablaSalidas[Código],Kardex!C20,TablaSalidas[Fecha],"&lt;"&amp;Kardex!$C$6)</f>
        <v>0</v>
      </c>
      <c r="H20" s="35">
        <f>SUMIFS(TablaEntradas[Cantidad],TablaEntradas[Código],Kardex!C20,TablaEntradas[Fecha],"&gt;="&amp;Kardex!$C$6,TablaEntradas[Fecha],"&lt;="&amp;Kardex!$C$7)</f>
        <v>0</v>
      </c>
      <c r="I20" s="35">
        <f>SUMIFS(TablaSalidas[Cantidad],TablaSalidas[Código],Kardex!C20,TablaSalidas[Fecha],"&gt;="&amp;Kardex!$C$6,TablaSalidas[Fecha],"&lt;="&amp;Kardex!$C$7)</f>
        <v>0</v>
      </c>
      <c r="J20" s="35">
        <f t="shared" si="0"/>
        <v>0</v>
      </c>
    </row>
    <row r="21" spans="3:10" x14ac:dyDescent="0.4">
      <c r="C21" s="35" t="s">
        <v>118</v>
      </c>
      <c r="D21" s="41" t="s">
        <v>79</v>
      </c>
      <c r="E21" s="36" t="s">
        <v>119</v>
      </c>
      <c r="F21" s="35" t="s">
        <v>115</v>
      </c>
      <c r="G21" s="35">
        <f>SUMIFS(TablaEntradas[Cantidad],TablaEntradas[Código],Kardex!C21,TablaEntradas[Fecha],"&lt;"&amp;Kardex!$C$6)-SUMIFS(TablaSalidas[Cantidad],TablaSalidas[Código],Kardex!C21,TablaSalidas[Fecha],"&lt;"&amp;Kardex!$C$6)</f>
        <v>0</v>
      </c>
      <c r="H21" s="35">
        <f>SUMIFS(TablaEntradas[Cantidad],TablaEntradas[Código],Kardex!C21,TablaEntradas[Fecha],"&gt;="&amp;Kardex!$C$6,TablaEntradas[Fecha],"&lt;="&amp;Kardex!$C$7)</f>
        <v>0</v>
      </c>
      <c r="I21" s="35">
        <f>SUMIFS(TablaSalidas[Cantidad],TablaSalidas[Código],Kardex!C21,TablaSalidas[Fecha],"&gt;="&amp;Kardex!$C$6,TablaSalidas[Fecha],"&lt;="&amp;Kardex!$C$7)</f>
        <v>0</v>
      </c>
      <c r="J21" s="35">
        <f t="shared" si="0"/>
        <v>0</v>
      </c>
    </row>
    <row r="22" spans="3:10" x14ac:dyDescent="0.4">
      <c r="C22" s="35" t="s">
        <v>120</v>
      </c>
      <c r="D22" s="41" t="s">
        <v>79</v>
      </c>
      <c r="E22" s="36" t="s">
        <v>121</v>
      </c>
      <c r="F22" s="35" t="s">
        <v>115</v>
      </c>
      <c r="G22" s="35">
        <f>SUMIFS(TablaEntradas[Cantidad],TablaEntradas[Código],Kardex!C22,TablaEntradas[Fecha],"&lt;"&amp;Kardex!$C$6)-SUMIFS(TablaSalidas[Cantidad],TablaSalidas[Código],Kardex!C22,TablaSalidas[Fecha],"&lt;"&amp;Kardex!$C$6)</f>
        <v>0</v>
      </c>
      <c r="H22" s="35">
        <f>SUMIFS(TablaEntradas[Cantidad],TablaEntradas[Código],Kardex!C22,TablaEntradas[Fecha],"&gt;="&amp;Kardex!$C$6,TablaEntradas[Fecha],"&lt;="&amp;Kardex!$C$7)</f>
        <v>0</v>
      </c>
      <c r="I22" s="35">
        <f>SUMIFS(TablaSalidas[Cantidad],TablaSalidas[Código],Kardex!C22,TablaSalidas[Fecha],"&gt;="&amp;Kardex!$C$6,TablaSalidas[Fecha],"&lt;="&amp;Kardex!$C$7)</f>
        <v>0</v>
      </c>
      <c r="J22" s="35">
        <f t="shared" si="0"/>
        <v>0</v>
      </c>
    </row>
    <row r="23" spans="3:10" x14ac:dyDescent="0.4">
      <c r="C23" s="35" t="s">
        <v>122</v>
      </c>
      <c r="D23" s="41" t="s">
        <v>79</v>
      </c>
      <c r="E23" s="36" t="s">
        <v>123</v>
      </c>
      <c r="F23" s="35" t="s">
        <v>115</v>
      </c>
      <c r="G23" s="35">
        <f>SUMIFS(TablaEntradas[Cantidad],TablaEntradas[Código],Kardex!C23,TablaEntradas[Fecha],"&lt;"&amp;Kardex!$C$6)-SUMIFS(TablaSalidas[Cantidad],TablaSalidas[Código],Kardex!C23,TablaSalidas[Fecha],"&lt;"&amp;Kardex!$C$6)</f>
        <v>0</v>
      </c>
      <c r="H23" s="35">
        <f>SUMIFS(TablaEntradas[Cantidad],TablaEntradas[Código],Kardex!C23,TablaEntradas[Fecha],"&gt;="&amp;Kardex!$C$6,TablaEntradas[Fecha],"&lt;="&amp;Kardex!$C$7)</f>
        <v>0</v>
      </c>
      <c r="I23" s="35">
        <f>SUMIFS(TablaSalidas[Cantidad],TablaSalidas[Código],Kardex!C23,TablaSalidas[Fecha],"&gt;="&amp;Kardex!$C$6,TablaSalidas[Fecha],"&lt;="&amp;Kardex!$C$7)</f>
        <v>0</v>
      </c>
      <c r="J23" s="35">
        <f t="shared" si="0"/>
        <v>0</v>
      </c>
    </row>
    <row r="24" spans="3:10" x14ac:dyDescent="0.4">
      <c r="C24" s="35" t="s">
        <v>124</v>
      </c>
      <c r="D24" s="41" t="s">
        <v>79</v>
      </c>
      <c r="E24" s="36" t="s">
        <v>125</v>
      </c>
      <c r="F24" s="35" t="s">
        <v>115</v>
      </c>
      <c r="G24" s="35">
        <f>SUMIFS(TablaEntradas[Cantidad],TablaEntradas[Código],Kardex!C24,TablaEntradas[Fecha],"&lt;"&amp;Kardex!$C$6)-SUMIFS(TablaSalidas[Cantidad],TablaSalidas[Código],Kardex!C24,TablaSalidas[Fecha],"&lt;"&amp;Kardex!$C$6)</f>
        <v>0</v>
      </c>
      <c r="H24" s="35">
        <f>SUMIFS(TablaEntradas[Cantidad],TablaEntradas[Código],Kardex!C24,TablaEntradas[Fecha],"&gt;="&amp;Kardex!$C$6,TablaEntradas[Fecha],"&lt;="&amp;Kardex!$C$7)</f>
        <v>0</v>
      </c>
      <c r="I24" s="35">
        <f>SUMIFS(TablaSalidas[Cantidad],TablaSalidas[Código],Kardex!C24,TablaSalidas[Fecha],"&gt;="&amp;Kardex!$C$6,TablaSalidas[Fecha],"&lt;="&amp;Kardex!$C$7)</f>
        <v>0</v>
      </c>
      <c r="J24" s="35">
        <f t="shared" si="0"/>
        <v>0</v>
      </c>
    </row>
    <row r="25" spans="3:10" x14ac:dyDescent="0.4">
      <c r="C25" s="35" t="s">
        <v>126</v>
      </c>
      <c r="D25" s="41" t="s">
        <v>79</v>
      </c>
      <c r="E25" s="36" t="s">
        <v>127</v>
      </c>
      <c r="F25" s="35" t="s">
        <v>115</v>
      </c>
      <c r="G25" s="35">
        <f>SUMIFS(TablaEntradas[Cantidad],TablaEntradas[Código],Kardex!C25,TablaEntradas[Fecha],"&lt;"&amp;Kardex!$C$6)-SUMIFS(TablaSalidas[Cantidad],TablaSalidas[Código],Kardex!C25,TablaSalidas[Fecha],"&lt;"&amp;Kardex!$C$6)</f>
        <v>0</v>
      </c>
      <c r="H25" s="35">
        <f>SUMIFS(TablaEntradas[Cantidad],TablaEntradas[Código],Kardex!C25,TablaEntradas[Fecha],"&gt;="&amp;Kardex!$C$6,TablaEntradas[Fecha],"&lt;="&amp;Kardex!$C$7)</f>
        <v>0</v>
      </c>
      <c r="I25" s="35">
        <f>SUMIFS(TablaSalidas[Cantidad],TablaSalidas[Código],Kardex!C25,TablaSalidas[Fecha],"&gt;="&amp;Kardex!$C$6,TablaSalidas[Fecha],"&lt;="&amp;Kardex!$C$7)</f>
        <v>0</v>
      </c>
      <c r="J25" s="35">
        <f t="shared" si="0"/>
        <v>0</v>
      </c>
    </row>
  </sheetData>
  <sheetProtection algorithmName="SHA-512" hashValue="YZe/rhCW2YsMAsYofJHhxlV1oZheCLRxjJUfS1idejqIpHD4czpcN63r4tWSfkL2BKe2FWle8hC+fvipK2n4TQ==" saltValue="0hhUCwl/9yrj7XZ7xISzmw==" spinCount="100000" sheet="1" objects="1" scenarios="1" formatCells="0" formatColumns="0" formatRows="0" autoFilter="0"/>
  <autoFilter ref="C10:J10" xr:uid="{32665C9E-2996-43F7-8765-66DE53870EB8}"/>
  <mergeCells count="1">
    <mergeCell ref="G9:J9"/>
  </mergeCells>
  <pageMargins left="0.15748031496062992" right="0.15748031496062992" top="0.39370078740157483" bottom="0.19685039370078741" header="0.31496062992125984" footer="0.15748031496062992"/>
  <pageSetup scale="70" fitToHeight="20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/>
  <dimension ref="B1:J10"/>
  <sheetViews>
    <sheetView showGridLines="0" topLeftCell="A6" zoomScale="85" zoomScaleNormal="85" workbookViewId="0">
      <selection activeCell="F18" sqref="F18"/>
    </sheetView>
  </sheetViews>
  <sheetFormatPr baseColWidth="10" defaultColWidth="11" defaultRowHeight="16.8" x14ac:dyDescent="0.4"/>
  <cols>
    <col min="1" max="1" width="1.3984375" style="19" customWidth="1"/>
    <col min="2" max="2" width="11.09765625" style="19" customWidth="1"/>
    <col min="3" max="3" width="9.8984375" style="104" bestFit="1" customWidth="1"/>
    <col min="4" max="4" width="19.09765625" style="2" customWidth="1"/>
    <col min="5" max="5" width="11" style="131"/>
    <col min="6" max="6" width="22.59765625" style="2" customWidth="1"/>
    <col min="7" max="7" width="35.8984375" style="19" customWidth="1"/>
    <col min="8" max="8" width="11" style="2"/>
    <col min="9" max="9" width="26.59765625" style="19" customWidth="1"/>
    <col min="10" max="10" width="11.09765625" style="2" bestFit="1" customWidth="1"/>
    <col min="11" max="16384" width="11" style="19"/>
  </cols>
  <sheetData>
    <row r="1" spans="2:10" hidden="1" x14ac:dyDescent="0.4">
      <c r="D1" s="19"/>
      <c r="E1" s="104"/>
      <c r="F1" s="19"/>
      <c r="H1" s="19"/>
      <c r="J1" s="19"/>
    </row>
    <row r="2" spans="2:10" hidden="1" x14ac:dyDescent="0.4">
      <c r="D2" s="19"/>
      <c r="E2" s="104"/>
      <c r="F2" s="19"/>
      <c r="H2" s="19"/>
      <c r="J2" s="19"/>
    </row>
    <row r="3" spans="2:10" hidden="1" x14ac:dyDescent="0.4">
      <c r="D3" s="19"/>
      <c r="E3" s="104"/>
      <c r="F3" s="19"/>
      <c r="H3" s="19"/>
      <c r="J3" s="19"/>
    </row>
    <row r="4" spans="2:10" hidden="1" x14ac:dyDescent="0.4">
      <c r="D4" s="19"/>
      <c r="E4" s="104"/>
      <c r="F4" s="19"/>
      <c r="H4" s="19"/>
      <c r="J4" s="19"/>
    </row>
    <row r="5" spans="2:10" hidden="1" x14ac:dyDescent="0.4">
      <c r="D5" s="19"/>
      <c r="E5" s="104"/>
      <c r="F5" s="19"/>
      <c r="H5" s="19"/>
      <c r="J5" s="19"/>
    </row>
    <row r="6" spans="2:10" ht="30" thickBot="1" x14ac:dyDescent="0.7">
      <c r="D6" s="19"/>
      <c r="E6" s="130" t="s">
        <v>50</v>
      </c>
      <c r="F6" s="62"/>
      <c r="G6" s="62"/>
      <c r="H6" s="19"/>
      <c r="J6" s="19"/>
    </row>
    <row r="7" spans="2:10" ht="17.399999999999999" thickTop="1" x14ac:dyDescent="0.4">
      <c r="D7" s="19"/>
      <c r="E7" s="104"/>
      <c r="F7" s="19"/>
      <c r="H7" s="19"/>
      <c r="J7" s="19"/>
    </row>
    <row r="8" spans="2:10" ht="7.5" customHeight="1" x14ac:dyDescent="0.4">
      <c r="B8" s="20"/>
      <c r="C8" s="105"/>
      <c r="D8" s="20"/>
      <c r="E8" s="105"/>
      <c r="F8" s="20"/>
      <c r="G8" s="20"/>
      <c r="H8" s="20"/>
      <c r="I8" s="20"/>
      <c r="J8" s="20"/>
    </row>
    <row r="9" spans="2:10" s="22" customFormat="1" x14ac:dyDescent="0.4">
      <c r="B9" s="21" t="s">
        <v>5</v>
      </c>
      <c r="C9" s="102" t="s">
        <v>10</v>
      </c>
      <c r="D9" s="21" t="s">
        <v>6</v>
      </c>
      <c r="E9" s="102" t="s">
        <v>29</v>
      </c>
      <c r="F9" s="21" t="s">
        <v>36</v>
      </c>
      <c r="G9" s="21" t="s">
        <v>8</v>
      </c>
      <c r="H9" s="21" t="s">
        <v>4</v>
      </c>
      <c r="I9" s="21" t="s">
        <v>7</v>
      </c>
      <c r="J9" s="21" t="s">
        <v>9</v>
      </c>
    </row>
    <row r="10" spans="2:10" x14ac:dyDescent="0.4">
      <c r="B10" s="82"/>
      <c r="C10" s="103"/>
      <c r="D10" s="84"/>
      <c r="E10" s="103"/>
      <c r="F10" s="84"/>
      <c r="G10" s="84"/>
      <c r="H10" s="83"/>
      <c r="I10" s="84"/>
      <c r="J10" s="83"/>
    </row>
  </sheetData>
  <sheetProtection algorithmName="SHA-512" hashValue="Ug5B8XRiPVXGcktZjfsWliglw7mwXTd8Ejthnj6CvVG/RecwG1zvtexCdes5JPfMZwp6vSZ2h7jU5qiQ5HwX/w==" saltValue="AnaPbqlSBGiR/Az9oFPbRA==" spinCount="100000" sheet="1" objects="1" scenarios="1" formatCells="0" formatColumns="0" formatRows="0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B1:I10"/>
  <sheetViews>
    <sheetView showGridLines="0" topLeftCell="A5" zoomScale="85" zoomScaleNormal="85" workbookViewId="0">
      <selection activeCell="D17" sqref="D17"/>
    </sheetView>
  </sheetViews>
  <sheetFormatPr baseColWidth="10" defaultColWidth="11" defaultRowHeight="16.8" x14ac:dyDescent="0.4"/>
  <cols>
    <col min="1" max="1" width="1.09765625" style="18" customWidth="1"/>
    <col min="2" max="2" width="11.8984375" style="18" customWidth="1"/>
    <col min="3" max="3" width="10.09765625" style="106" customWidth="1"/>
    <col min="4" max="4" width="21" style="59" customWidth="1"/>
    <col min="5" max="5" width="11" style="59"/>
    <col min="6" max="6" width="21.8984375" style="59" customWidth="1"/>
    <col min="7" max="7" width="36.09765625" style="18" customWidth="1"/>
    <col min="8" max="8" width="20.19921875" style="18" customWidth="1"/>
    <col min="9" max="9" width="10.3984375" style="18" customWidth="1"/>
    <col min="10" max="10" width="16" style="18" bestFit="1" customWidth="1"/>
    <col min="11" max="16384" width="11" style="18"/>
  </cols>
  <sheetData>
    <row r="1" spans="2:9" hidden="1" x14ac:dyDescent="0.4">
      <c r="D1" s="18"/>
      <c r="E1" s="18"/>
      <c r="F1" s="18"/>
    </row>
    <row r="2" spans="2:9" hidden="1" x14ac:dyDescent="0.4">
      <c r="D2" s="18"/>
      <c r="E2" s="18"/>
      <c r="F2" s="18"/>
    </row>
    <row r="3" spans="2:9" hidden="1" x14ac:dyDescent="0.4">
      <c r="D3" s="18"/>
      <c r="E3" s="18"/>
      <c r="F3" s="18"/>
    </row>
    <row r="4" spans="2:9" hidden="1" x14ac:dyDescent="0.4">
      <c r="D4" s="18"/>
      <c r="E4" s="18"/>
      <c r="F4" s="18"/>
    </row>
    <row r="5" spans="2:9" x14ac:dyDescent="0.4">
      <c r="D5" s="18"/>
      <c r="E5" s="18"/>
      <c r="F5" s="18"/>
    </row>
    <row r="6" spans="2:9" ht="30" thickBot="1" x14ac:dyDescent="0.7">
      <c r="D6" s="18"/>
      <c r="E6" s="60" t="s">
        <v>70</v>
      </c>
      <c r="F6" s="61"/>
      <c r="G6" s="61"/>
    </row>
    <row r="7" spans="2:9" ht="6" customHeight="1" thickTop="1" x14ac:dyDescent="0.4">
      <c r="D7" s="18"/>
      <c r="E7" s="18"/>
      <c r="F7" s="18"/>
    </row>
    <row r="8" spans="2:9" ht="6" customHeight="1" x14ac:dyDescent="0.4">
      <c r="D8" s="18"/>
      <c r="E8" s="18"/>
      <c r="F8" s="18"/>
    </row>
    <row r="9" spans="2:9" x14ac:dyDescent="0.4">
      <c r="B9" s="65" t="s">
        <v>5</v>
      </c>
      <c r="C9" s="107" t="s">
        <v>10</v>
      </c>
      <c r="D9" s="65" t="s">
        <v>11</v>
      </c>
      <c r="E9" s="66" t="s">
        <v>29</v>
      </c>
      <c r="F9" s="66" t="s">
        <v>36</v>
      </c>
      <c r="G9" s="66" t="s">
        <v>8</v>
      </c>
      <c r="H9" s="66" t="s">
        <v>7</v>
      </c>
      <c r="I9" s="66" t="s">
        <v>9</v>
      </c>
    </row>
    <row r="10" spans="2:9" x14ac:dyDescent="0.4">
      <c r="B10" s="92"/>
      <c r="C10" s="108"/>
      <c r="D10" s="94"/>
      <c r="E10" s="93"/>
      <c r="F10" s="95"/>
      <c r="G10" s="95"/>
      <c r="H10" s="95"/>
      <c r="I10" s="93"/>
    </row>
  </sheetData>
  <sheetProtection algorithmName="SHA-512" hashValue="pmAhOk/m1TJ+GqPlF95Y49l8qRhPa5s/JqR1WhrznQ8oRjCns7PiV+4G7Zu42AoWXUGs2U1Jv+XNU65NS3qssQ==" saltValue="oSJwCVG49Ztez6BfiH7h4Q==" spinCount="100000" sheet="1" objects="1" scenarios="1" formatCells="0" formatColumns="0" formatRows="0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K19"/>
  <sheetViews>
    <sheetView topLeftCell="A2" zoomScale="80" zoomScaleNormal="80" workbookViewId="0"/>
  </sheetViews>
  <sheetFormatPr baseColWidth="10" defaultColWidth="11" defaultRowHeight="16.8" x14ac:dyDescent="0.4"/>
  <cols>
    <col min="1" max="1" width="0.69921875" style="10" customWidth="1"/>
    <col min="2" max="2" width="12.59765625" style="10" customWidth="1"/>
    <col min="3" max="3" width="11.8984375" style="13" bestFit="1" customWidth="1"/>
    <col min="4" max="4" width="11" style="11"/>
    <col min="5" max="5" width="24.09765625" style="10" customWidth="1"/>
    <col min="6" max="6" width="11.19921875" style="11" customWidth="1"/>
    <col min="7" max="7" width="20.59765625" style="23" customWidth="1"/>
    <col min="8" max="8" width="36.09765625" style="10" customWidth="1"/>
    <col min="9" max="9" width="29.09765625" style="10" customWidth="1"/>
    <col min="10" max="10" width="11" style="11" customWidth="1"/>
    <col min="11" max="11" width="11.3984375" style="11" customWidth="1"/>
    <col min="12" max="16384" width="11" style="10"/>
  </cols>
  <sheetData>
    <row r="1" spans="1:11" ht="6.75" hidden="1" customHeight="1" x14ac:dyDescent="0.4">
      <c r="A1" s="48"/>
      <c r="B1" s="48"/>
      <c r="C1" s="54"/>
      <c r="D1" s="47"/>
      <c r="E1" s="48"/>
      <c r="F1" s="47"/>
      <c r="G1" s="55"/>
      <c r="H1" s="48"/>
      <c r="I1" s="48"/>
      <c r="J1" s="47"/>
      <c r="K1" s="47"/>
    </row>
    <row r="2" spans="1:11" s="2" customFormat="1" x14ac:dyDescent="0.4">
      <c r="A2" s="50"/>
      <c r="B2" s="50"/>
      <c r="C2" s="85"/>
      <c r="D2" s="86"/>
      <c r="E2" s="50"/>
      <c r="F2" s="86"/>
      <c r="G2" s="87"/>
      <c r="H2" s="50"/>
      <c r="I2" s="50"/>
      <c r="J2" s="86"/>
      <c r="K2" s="86"/>
    </row>
    <row r="3" spans="1:11" s="2" customFormat="1" ht="30" thickBot="1" x14ac:dyDescent="0.7">
      <c r="A3" s="50"/>
      <c r="B3" s="50"/>
      <c r="C3" s="85"/>
      <c r="D3" s="86"/>
      <c r="E3" s="50"/>
      <c r="F3" s="88" t="s">
        <v>51</v>
      </c>
      <c r="G3" s="89"/>
      <c r="H3" s="89"/>
      <c r="I3" s="50"/>
      <c r="J3" s="86"/>
      <c r="K3" s="86"/>
    </row>
    <row r="4" spans="1:11" s="2" customFormat="1" ht="6.75" customHeight="1" x14ac:dyDescent="0.4">
      <c r="A4" s="50"/>
      <c r="B4" s="50"/>
      <c r="C4" s="85"/>
      <c r="D4" s="86"/>
      <c r="E4" s="50"/>
      <c r="F4" s="86"/>
      <c r="G4" s="87"/>
      <c r="H4" s="50"/>
      <c r="I4" s="50"/>
      <c r="J4" s="86"/>
      <c r="K4" s="86"/>
    </row>
    <row r="5" spans="1:11" s="2" customFormat="1" x14ac:dyDescent="0.4">
      <c r="A5" s="50"/>
      <c r="B5" s="27" t="s">
        <v>22</v>
      </c>
      <c r="C5" s="56">
        <v>44317</v>
      </c>
      <c r="D5" s="86"/>
      <c r="E5" s="50"/>
      <c r="F5" s="86"/>
      <c r="G5" s="87"/>
      <c r="H5" s="50"/>
      <c r="I5" s="50"/>
      <c r="J5" s="86"/>
      <c r="K5" s="86"/>
    </row>
    <row r="6" spans="1:11" s="2" customFormat="1" x14ac:dyDescent="0.4">
      <c r="A6" s="50"/>
      <c r="B6" s="27" t="s">
        <v>23</v>
      </c>
      <c r="C6" s="56">
        <v>44330</v>
      </c>
      <c r="D6" s="86"/>
      <c r="E6" s="50"/>
      <c r="F6" s="86"/>
      <c r="G6" s="87"/>
      <c r="H6" s="50"/>
      <c r="I6" s="50"/>
      <c r="J6" s="86"/>
      <c r="K6" s="86"/>
    </row>
    <row r="7" spans="1:11" s="2" customFormat="1" ht="15.75" customHeight="1" x14ac:dyDescent="0.4">
      <c r="A7" s="50"/>
      <c r="B7" s="50"/>
      <c r="C7" s="90"/>
      <c r="D7" s="86"/>
      <c r="E7" s="50"/>
      <c r="F7" s="86"/>
      <c r="G7" s="87"/>
      <c r="H7" s="50"/>
      <c r="I7" s="50"/>
      <c r="J7" s="91" t="s">
        <v>71</v>
      </c>
      <c r="K7" s="91" t="s">
        <v>68</v>
      </c>
    </row>
    <row r="8" spans="1:11" x14ac:dyDescent="0.4">
      <c r="A8" s="48"/>
      <c r="C8" s="14" t="s">
        <v>5</v>
      </c>
      <c r="D8" s="15" t="s">
        <v>10</v>
      </c>
      <c r="E8" s="16" t="s">
        <v>21</v>
      </c>
      <c r="F8" s="15" t="s">
        <v>29</v>
      </c>
      <c r="G8" s="15" t="s">
        <v>36</v>
      </c>
      <c r="H8" s="15" t="s">
        <v>8</v>
      </c>
      <c r="I8" s="15" t="s">
        <v>7</v>
      </c>
      <c r="J8" s="17" t="s">
        <v>61</v>
      </c>
      <c r="K8" s="15" t="s">
        <v>62</v>
      </c>
    </row>
    <row r="9" spans="1:11" x14ac:dyDescent="0.4">
      <c r="C9" s="13">
        <v>44329</v>
      </c>
      <c r="D9" s="11" t="s">
        <v>72</v>
      </c>
      <c r="E9" s="10" t="s">
        <v>82</v>
      </c>
      <c r="F9" s="11" t="s">
        <v>57</v>
      </c>
      <c r="G9" s="23" t="s">
        <v>79</v>
      </c>
      <c r="H9" s="10" t="s">
        <v>81</v>
      </c>
      <c r="I9" s="10" t="s">
        <v>84</v>
      </c>
      <c r="J9" s="11">
        <v>65</v>
      </c>
    </row>
    <row r="10" spans="1:11" x14ac:dyDescent="0.4">
      <c r="C10" s="13">
        <v>44329</v>
      </c>
      <c r="D10" s="11" t="s">
        <v>72</v>
      </c>
      <c r="E10" s="10" t="s">
        <v>82</v>
      </c>
      <c r="F10" s="11" t="s">
        <v>59</v>
      </c>
      <c r="G10" s="23" t="s">
        <v>79</v>
      </c>
      <c r="H10" s="10" t="s">
        <v>85</v>
      </c>
      <c r="I10" s="10" t="s">
        <v>84</v>
      </c>
      <c r="J10" s="11">
        <v>85</v>
      </c>
    </row>
    <row r="11" spans="1:11" x14ac:dyDescent="0.4">
      <c r="C11" s="13">
        <v>44329</v>
      </c>
      <c r="D11" s="11" t="s">
        <v>72</v>
      </c>
      <c r="E11" s="10" t="s">
        <v>82</v>
      </c>
      <c r="F11" s="11" t="s">
        <v>58</v>
      </c>
      <c r="G11" s="23" t="s">
        <v>79</v>
      </c>
      <c r="H11" s="10" t="s">
        <v>88</v>
      </c>
      <c r="I11" s="10" t="s">
        <v>84</v>
      </c>
      <c r="J11" s="11">
        <v>125</v>
      </c>
    </row>
    <row r="12" spans="1:11" x14ac:dyDescent="0.4">
      <c r="C12" s="13">
        <v>44329</v>
      </c>
      <c r="D12" s="11" t="s">
        <v>72</v>
      </c>
      <c r="E12" s="10" t="s">
        <v>82</v>
      </c>
      <c r="F12" s="11" t="s">
        <v>56</v>
      </c>
      <c r="G12" s="23" t="s">
        <v>79</v>
      </c>
      <c r="H12" s="10" t="s">
        <v>89</v>
      </c>
      <c r="I12" s="10" t="s">
        <v>84</v>
      </c>
      <c r="J12" s="11">
        <v>150</v>
      </c>
    </row>
    <row r="13" spans="1:11" x14ac:dyDescent="0.4">
      <c r="C13" s="13">
        <v>44329</v>
      </c>
      <c r="D13" s="11" t="s">
        <v>72</v>
      </c>
      <c r="E13" s="10" t="s">
        <v>82</v>
      </c>
      <c r="F13" s="11" t="s">
        <v>55</v>
      </c>
      <c r="G13" s="23" t="s">
        <v>79</v>
      </c>
      <c r="H13" s="10" t="s">
        <v>86</v>
      </c>
      <c r="I13" s="10" t="s">
        <v>84</v>
      </c>
      <c r="J13" s="11">
        <v>100</v>
      </c>
    </row>
    <row r="14" spans="1:11" x14ac:dyDescent="0.4">
      <c r="C14" s="13">
        <v>44330</v>
      </c>
      <c r="D14" s="11" t="s">
        <v>95</v>
      </c>
      <c r="E14" s="10" t="s">
        <v>94</v>
      </c>
      <c r="F14" s="11" t="s">
        <v>58</v>
      </c>
      <c r="G14" s="23" t="s">
        <v>79</v>
      </c>
      <c r="H14" s="10" t="s">
        <v>88</v>
      </c>
      <c r="I14" s="10" t="s">
        <v>100</v>
      </c>
      <c r="K14" s="11">
        <v>18</v>
      </c>
    </row>
    <row r="15" spans="1:11" x14ac:dyDescent="0.4">
      <c r="C15" s="13">
        <v>44330</v>
      </c>
      <c r="D15" s="11" t="s">
        <v>95</v>
      </c>
      <c r="E15" s="10" t="s">
        <v>94</v>
      </c>
      <c r="F15" s="11" t="s">
        <v>55</v>
      </c>
      <c r="G15" s="23" t="s">
        <v>79</v>
      </c>
      <c r="H15" s="10" t="s">
        <v>86</v>
      </c>
      <c r="I15" s="10" t="s">
        <v>100</v>
      </c>
      <c r="K15" s="11">
        <v>15</v>
      </c>
    </row>
    <row r="16" spans="1:11" x14ac:dyDescent="0.4">
      <c r="C16" s="13">
        <v>44330</v>
      </c>
      <c r="D16" s="11" t="s">
        <v>95</v>
      </c>
      <c r="E16" s="10" t="s">
        <v>94</v>
      </c>
      <c r="F16" s="11" t="s">
        <v>56</v>
      </c>
      <c r="G16" s="23" t="s">
        <v>79</v>
      </c>
      <c r="H16" s="10" t="s">
        <v>89</v>
      </c>
      <c r="I16" s="10" t="s">
        <v>100</v>
      </c>
      <c r="K16" s="11">
        <v>10</v>
      </c>
    </row>
    <row r="17" spans="3:11" x14ac:dyDescent="0.4">
      <c r="C17" s="13">
        <v>44330</v>
      </c>
      <c r="D17" s="11" t="s">
        <v>95</v>
      </c>
      <c r="E17" s="10" t="s">
        <v>94</v>
      </c>
      <c r="F17" s="11" t="s">
        <v>59</v>
      </c>
      <c r="G17" s="23" t="s">
        <v>79</v>
      </c>
      <c r="H17" s="10" t="s">
        <v>85</v>
      </c>
      <c r="I17" s="10" t="s">
        <v>100</v>
      </c>
      <c r="K17" s="11">
        <v>10</v>
      </c>
    </row>
    <row r="18" spans="3:11" x14ac:dyDescent="0.4">
      <c r="C18" s="13">
        <v>44329</v>
      </c>
      <c r="D18" s="11" t="s">
        <v>72</v>
      </c>
      <c r="E18" s="10" t="s">
        <v>94</v>
      </c>
      <c r="F18" s="11" t="s">
        <v>57</v>
      </c>
      <c r="G18" s="23" t="s">
        <v>79</v>
      </c>
      <c r="H18" s="10" t="s">
        <v>81</v>
      </c>
      <c r="I18" s="10" t="s">
        <v>108</v>
      </c>
      <c r="K18" s="11">
        <v>5</v>
      </c>
    </row>
    <row r="19" spans="3:11" x14ac:dyDescent="0.4">
      <c r="C19" s="13">
        <v>44329</v>
      </c>
      <c r="D19" s="11" t="s">
        <v>72</v>
      </c>
      <c r="E19" s="10" t="s">
        <v>94</v>
      </c>
      <c r="F19" s="11" t="s">
        <v>59</v>
      </c>
      <c r="G19" s="23" t="s">
        <v>79</v>
      </c>
      <c r="H19" s="10" t="s">
        <v>85</v>
      </c>
      <c r="I19" s="10" t="s">
        <v>108</v>
      </c>
      <c r="K19" s="11">
        <v>5</v>
      </c>
    </row>
  </sheetData>
  <sheetProtection algorithmName="SHA-512" hashValue="4c51botwbT/jo8DNFnVGHQuewcmGP+u5NUkw2DtWZwngy9ozv2RghO7WP9BEMkkeBqE/h1PprOOtxM2qgfOZsA==" saltValue="hPrzxa+V/WaYIqgUshpfOA==" spinCount="100000" sheet="1" objects="1" scenarios="1" formatCells="0" formatColumns="0" formatRows="0" autoFilter="0"/>
  <autoFilter ref="C8:K12" xr:uid="{8CBFFAFE-4C15-460A-91EF-5F508EC27ED0}"/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pageSetUpPr fitToPage="1"/>
  </sheetPr>
  <dimension ref="A1:E14"/>
  <sheetViews>
    <sheetView showGridLines="0" workbookViewId="0">
      <selection activeCell="C4" sqref="C4"/>
    </sheetView>
  </sheetViews>
  <sheetFormatPr baseColWidth="10" defaultColWidth="11" defaultRowHeight="16.8" x14ac:dyDescent="0.4"/>
  <cols>
    <col min="1" max="1" width="10.59765625" style="10" customWidth="1"/>
    <col min="2" max="2" width="22.8984375" style="10" customWidth="1"/>
    <col min="3" max="3" width="44.5" style="10" customWidth="1"/>
    <col min="4" max="4" width="10.09765625" style="10" customWidth="1"/>
    <col min="5" max="5" width="11.3984375" style="10" customWidth="1"/>
    <col min="6" max="16384" width="11" style="10"/>
  </cols>
  <sheetData>
    <row r="1" spans="1:5" s="2" customFormat="1" ht="20.399999999999999" x14ac:dyDescent="0.45">
      <c r="A1" s="146" t="s">
        <v>73</v>
      </c>
      <c r="B1" s="133"/>
      <c r="C1" s="133"/>
      <c r="D1" s="133"/>
      <c r="E1" s="133"/>
    </row>
    <row r="2" spans="1:5" s="2" customFormat="1" ht="27" x14ac:dyDescent="0.6">
      <c r="A2" s="147" t="s">
        <v>74</v>
      </c>
      <c r="B2" s="1"/>
      <c r="D2" s="165" t="s">
        <v>52</v>
      </c>
      <c r="E2" s="165"/>
    </row>
    <row r="3" spans="1:5" s="2" customFormat="1" ht="16.5" customHeight="1" x14ac:dyDescent="0.4">
      <c r="A3" s="147" t="s">
        <v>75</v>
      </c>
      <c r="B3" s="1"/>
      <c r="D3" s="134" t="s">
        <v>44</v>
      </c>
      <c r="E3" s="57">
        <v>1</v>
      </c>
    </row>
    <row r="4" spans="1:5" s="2" customFormat="1" ht="16.5" customHeight="1" x14ac:dyDescent="0.4">
      <c r="A4" s="147" t="s">
        <v>76</v>
      </c>
      <c r="B4" s="1"/>
      <c r="E4" s="135"/>
    </row>
    <row r="5" spans="1:5" s="2" customFormat="1" x14ac:dyDescent="0.4">
      <c r="A5" s="1"/>
      <c r="B5" s="1"/>
      <c r="E5" s="1"/>
    </row>
    <row r="6" spans="1:5" s="2" customFormat="1" x14ac:dyDescent="0.4">
      <c r="A6" s="136" t="s">
        <v>31</v>
      </c>
      <c r="B6" s="58" t="s">
        <v>82</v>
      </c>
      <c r="C6" s="137"/>
      <c r="E6" s="1"/>
    </row>
    <row r="7" spans="1:5" s="2" customFormat="1" ht="17.399999999999999" thickBot="1" x14ac:dyDescent="0.45">
      <c r="A7" s="136" t="s">
        <v>32</v>
      </c>
      <c r="B7" s="58" t="s">
        <v>84</v>
      </c>
      <c r="C7" s="137"/>
      <c r="D7" s="138" t="s">
        <v>33</v>
      </c>
      <c r="E7" s="75">
        <v>44329</v>
      </c>
    </row>
    <row r="8" spans="1:5" s="2" customFormat="1" x14ac:dyDescent="0.4">
      <c r="A8" s="1"/>
      <c r="B8" s="1"/>
      <c r="D8" s="1"/>
      <c r="E8" s="1"/>
    </row>
    <row r="9" spans="1:5" x14ac:dyDescent="0.4">
      <c r="A9" s="37" t="s">
        <v>29</v>
      </c>
      <c r="B9" s="37" t="s">
        <v>36</v>
      </c>
      <c r="C9" s="37" t="s">
        <v>8</v>
      </c>
      <c r="D9" s="37" t="s">
        <v>2</v>
      </c>
      <c r="E9" s="37" t="s">
        <v>9</v>
      </c>
    </row>
    <row r="10" spans="1:5" x14ac:dyDescent="0.4">
      <c r="A10" s="103" t="s">
        <v>57</v>
      </c>
      <c r="B10" s="84" t="s">
        <v>79</v>
      </c>
      <c r="C10" s="84" t="s">
        <v>81</v>
      </c>
      <c r="D10" s="83" t="s">
        <v>4</v>
      </c>
      <c r="E10" s="83">
        <v>65</v>
      </c>
    </row>
    <row r="11" spans="1:5" x14ac:dyDescent="0.4">
      <c r="A11" s="103" t="s">
        <v>59</v>
      </c>
      <c r="B11" s="84" t="s">
        <v>79</v>
      </c>
      <c r="C11" s="84" t="s">
        <v>85</v>
      </c>
      <c r="D11" s="83" t="s">
        <v>4</v>
      </c>
      <c r="E11" s="83">
        <v>85</v>
      </c>
    </row>
    <row r="12" spans="1:5" x14ac:dyDescent="0.4">
      <c r="A12" s="103" t="s">
        <v>58</v>
      </c>
      <c r="B12" s="84" t="s">
        <v>79</v>
      </c>
      <c r="C12" s="84" t="s">
        <v>88</v>
      </c>
      <c r="D12" s="83" t="s">
        <v>4</v>
      </c>
      <c r="E12" s="83">
        <v>125</v>
      </c>
    </row>
    <row r="13" spans="1:5" x14ac:dyDescent="0.4">
      <c r="A13" s="103" t="s">
        <v>56</v>
      </c>
      <c r="B13" s="84" t="s">
        <v>79</v>
      </c>
      <c r="C13" s="84" t="s">
        <v>89</v>
      </c>
      <c r="D13" s="83" t="s">
        <v>4</v>
      </c>
      <c r="E13" s="83">
        <v>150</v>
      </c>
    </row>
    <row r="14" spans="1:5" x14ac:dyDescent="0.4">
      <c r="A14" s="103" t="s">
        <v>55</v>
      </c>
      <c r="B14" s="84" t="s">
        <v>79</v>
      </c>
      <c r="C14" s="84" t="s">
        <v>86</v>
      </c>
      <c r="D14" s="83" t="s">
        <v>104</v>
      </c>
      <c r="E14" s="83">
        <v>100</v>
      </c>
    </row>
  </sheetData>
  <sheetProtection algorithmName="SHA-512" hashValue="e0qMfvvEjG3Zvu7x2CANhRAosQPwaslAA7GG17I2x+fCoOhx98TN5/08/A4pDGSopNmU0eDEkKgWH36gbWzB8A==" saltValue="u4dw9QHVUj140MsDSVzi6A==" spinCount="100000" sheet="1" scenarios="1" formatCells="0" formatColumns="0" formatRows="0"/>
  <mergeCells count="1">
    <mergeCell ref="D2:E2"/>
  </mergeCells>
  <pageMargins left="0.4" right="0.23" top="0.47" bottom="0.74803149606299213" header="0.31496062992125984" footer="0.31496062992125984"/>
  <pageSetup scale="77"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>
    <pageSetUpPr fitToPage="1"/>
  </sheetPr>
  <dimension ref="A1:K72"/>
  <sheetViews>
    <sheetView showGridLines="0" zoomScaleNormal="100" zoomScaleSheetLayoutView="130" workbookViewId="0">
      <selection activeCell="M13" sqref="M13"/>
    </sheetView>
  </sheetViews>
  <sheetFormatPr baseColWidth="10" defaultColWidth="11" defaultRowHeight="16.8" x14ac:dyDescent="0.4"/>
  <cols>
    <col min="1" max="1" width="1.69921875" style="2" customWidth="1"/>
    <col min="2" max="2" width="13.09765625" style="2" customWidth="1"/>
    <col min="3" max="3" width="47" style="2" customWidth="1"/>
    <col min="4" max="4" width="12.5" style="2" customWidth="1"/>
    <col min="5" max="5" width="10.59765625" style="2" customWidth="1"/>
    <col min="6" max="6" width="1.09765625" style="10" customWidth="1"/>
    <col min="7" max="7" width="11" style="10" customWidth="1"/>
    <col min="8" max="8" width="10.3984375" style="10" hidden="1" customWidth="1"/>
    <col min="9" max="9" width="4" style="11" hidden="1" customWidth="1"/>
    <col min="10" max="10" width="4.69921875" style="11" hidden="1" customWidth="1"/>
    <col min="11" max="11" width="4.8984375" style="11" hidden="1" customWidth="1"/>
    <col min="12" max="12" width="0" style="10" hidden="1" customWidth="1"/>
    <col min="13" max="16384" width="11" style="10"/>
  </cols>
  <sheetData>
    <row r="1" spans="1:11" ht="20.399999999999999" x14ac:dyDescent="0.45">
      <c r="A1" s="50"/>
      <c r="B1" s="129" t="s">
        <v>73</v>
      </c>
      <c r="C1" s="109"/>
      <c r="D1" s="109"/>
      <c r="E1" s="109"/>
      <c r="F1" s="48"/>
      <c r="G1" s="48"/>
      <c r="H1" s="132" t="s">
        <v>5</v>
      </c>
      <c r="I1" s="49" t="s">
        <v>41</v>
      </c>
      <c r="J1" s="49" t="s">
        <v>43</v>
      </c>
      <c r="K1" s="49" t="s">
        <v>42</v>
      </c>
    </row>
    <row r="2" spans="1:11" ht="26.25" customHeight="1" x14ac:dyDescent="0.55000000000000004">
      <c r="A2" s="50"/>
      <c r="B2" s="87" t="s">
        <v>74</v>
      </c>
      <c r="C2" s="50"/>
      <c r="D2" s="166" t="s">
        <v>66</v>
      </c>
      <c r="E2" s="166"/>
      <c r="F2" s="48"/>
      <c r="G2" s="48"/>
      <c r="H2" s="73">
        <v>44329</v>
      </c>
      <c r="I2" s="74">
        <f>DAY(H2)</f>
        <v>13</v>
      </c>
      <c r="J2" s="74">
        <f>MONTH(H2)</f>
        <v>5</v>
      </c>
      <c r="K2" s="74">
        <f>YEAR(H2)</f>
        <v>2021</v>
      </c>
    </row>
    <row r="3" spans="1:11" ht="16.5" customHeight="1" x14ac:dyDescent="0.4">
      <c r="A3" s="50"/>
      <c r="B3" s="87" t="s">
        <v>75</v>
      </c>
      <c r="C3" s="50"/>
      <c r="D3" s="110" t="s">
        <v>44</v>
      </c>
      <c r="E3" s="71">
        <v>1</v>
      </c>
      <c r="F3" s="48"/>
      <c r="G3" s="50"/>
    </row>
    <row r="4" spans="1:11" ht="16.5" customHeight="1" x14ac:dyDescent="0.4">
      <c r="A4" s="50"/>
      <c r="B4" s="87" t="s">
        <v>76</v>
      </c>
      <c r="C4" s="50"/>
      <c r="D4" s="111"/>
      <c r="E4" s="50"/>
      <c r="F4" s="48"/>
      <c r="G4" s="48"/>
    </row>
    <row r="5" spans="1:11" ht="16.5" customHeight="1" x14ac:dyDescent="0.4">
      <c r="A5" s="50"/>
      <c r="B5" s="86"/>
      <c r="C5" s="50"/>
      <c r="D5" s="111"/>
      <c r="E5" s="50"/>
      <c r="F5" s="48"/>
      <c r="G5" s="48"/>
    </row>
    <row r="6" spans="1:11" ht="16.5" customHeight="1" x14ac:dyDescent="0.4">
      <c r="A6" s="50"/>
      <c r="B6" s="112"/>
      <c r="C6" s="72"/>
      <c r="D6" s="167"/>
      <c r="E6" s="167"/>
      <c r="F6" s="48"/>
      <c r="G6" s="48"/>
    </row>
    <row r="7" spans="1:11" x14ac:dyDescent="0.4">
      <c r="A7" s="50"/>
      <c r="B7" s="113" t="s">
        <v>67</v>
      </c>
      <c r="C7" s="114" t="s">
        <v>94</v>
      </c>
      <c r="D7" s="115"/>
      <c r="E7" s="115"/>
      <c r="F7" s="48"/>
      <c r="G7" s="48"/>
    </row>
    <row r="8" spans="1:11" ht="18.75" hidden="1" customHeight="1" x14ac:dyDescent="0.4">
      <c r="A8" s="50"/>
      <c r="B8" s="116"/>
      <c r="C8" s="117"/>
      <c r="D8" s="118"/>
      <c r="E8" s="118"/>
      <c r="F8" s="48"/>
      <c r="G8" s="48"/>
    </row>
    <row r="9" spans="1:11" ht="16.5" hidden="1" customHeight="1" x14ac:dyDescent="0.4">
      <c r="A9" s="50"/>
      <c r="B9" s="119"/>
      <c r="C9" s="120"/>
      <c r="D9" s="121"/>
      <c r="E9" s="121"/>
      <c r="F9" s="48"/>
      <c r="G9" s="48"/>
    </row>
    <row r="10" spans="1:11" ht="3.75" customHeight="1" x14ac:dyDescent="0.4">
      <c r="A10" s="50"/>
      <c r="B10" s="86"/>
      <c r="C10" s="50"/>
      <c r="D10" s="86"/>
      <c r="E10" s="86"/>
    </row>
    <row r="11" spans="1:11" x14ac:dyDescent="0.4">
      <c r="B11" s="122" t="s">
        <v>45</v>
      </c>
      <c r="C11" s="123" t="s">
        <v>46</v>
      </c>
      <c r="D11" s="123" t="s">
        <v>47</v>
      </c>
      <c r="E11" s="123" t="s">
        <v>48</v>
      </c>
    </row>
    <row r="12" spans="1:11" x14ac:dyDescent="0.4">
      <c r="B12" s="124" t="s">
        <v>57</v>
      </c>
      <c r="C12" s="125" t="s">
        <v>81</v>
      </c>
      <c r="D12" s="124" t="s">
        <v>4</v>
      </c>
      <c r="E12" s="124">
        <v>5</v>
      </c>
    </row>
    <row r="13" spans="1:11" x14ac:dyDescent="0.4">
      <c r="B13" s="124" t="s">
        <v>59</v>
      </c>
      <c r="C13" s="125" t="s">
        <v>85</v>
      </c>
      <c r="D13" s="124" t="s">
        <v>4</v>
      </c>
      <c r="E13" s="124">
        <v>5</v>
      </c>
    </row>
    <row r="14" spans="1:11" x14ac:dyDescent="0.4">
      <c r="B14" s="124"/>
      <c r="C14" s="125"/>
      <c r="D14" s="124"/>
      <c r="E14" s="124"/>
    </row>
    <row r="15" spans="1:11" x14ac:dyDescent="0.4">
      <c r="B15" s="124"/>
      <c r="C15" s="125"/>
      <c r="D15" s="124"/>
      <c r="E15" s="124"/>
    </row>
    <row r="16" spans="1:11" x14ac:dyDescent="0.4">
      <c r="B16" s="124"/>
      <c r="C16" s="125"/>
      <c r="D16" s="124"/>
      <c r="E16" s="124"/>
    </row>
    <row r="17" spans="2:11" x14ac:dyDescent="0.4">
      <c r="B17" s="124"/>
      <c r="C17" s="125"/>
      <c r="D17" s="124"/>
      <c r="E17" s="124"/>
    </row>
    <row r="18" spans="2:11" x14ac:dyDescent="0.4">
      <c r="B18" s="126"/>
      <c r="C18" s="127"/>
      <c r="D18" s="124"/>
      <c r="E18" s="126"/>
    </row>
    <row r="19" spans="2:11" x14ac:dyDescent="0.4">
      <c r="B19" s="126"/>
      <c r="C19" s="127"/>
      <c r="D19" s="124"/>
      <c r="E19" s="126"/>
    </row>
    <row r="20" spans="2:11" x14ac:dyDescent="0.4">
      <c r="B20" s="126"/>
      <c r="C20" s="127"/>
      <c r="D20" s="124"/>
      <c r="E20" s="126"/>
    </row>
    <row r="21" spans="2:11" x14ac:dyDescent="0.4">
      <c r="B21" s="126"/>
      <c r="C21" s="127"/>
      <c r="D21" s="124"/>
      <c r="E21" s="126"/>
    </row>
    <row r="22" spans="2:11" x14ac:dyDescent="0.4">
      <c r="B22" s="126"/>
      <c r="C22" s="127"/>
      <c r="D22" s="124"/>
      <c r="E22" s="126"/>
    </row>
    <row r="23" spans="2:11" x14ac:dyDescent="0.4">
      <c r="B23" s="126"/>
      <c r="C23" s="127"/>
      <c r="D23" s="124"/>
      <c r="E23" s="126"/>
    </row>
    <row r="24" spans="2:11" x14ac:dyDescent="0.4">
      <c r="B24" s="126"/>
      <c r="C24" s="127"/>
      <c r="D24" s="124"/>
      <c r="E24" s="126"/>
    </row>
    <row r="25" spans="2:11" x14ac:dyDescent="0.4">
      <c r="B25" s="126"/>
      <c r="C25" s="127"/>
      <c r="D25" s="124"/>
      <c r="E25" s="126"/>
    </row>
    <row r="26" spans="2:11" x14ac:dyDescent="0.4">
      <c r="B26" s="126"/>
      <c r="C26" s="127"/>
      <c r="D26" s="124"/>
      <c r="E26" s="126"/>
    </row>
    <row r="27" spans="2:11" x14ac:dyDescent="0.4">
      <c r="B27" s="126"/>
      <c r="C27" s="127"/>
      <c r="D27" s="124"/>
      <c r="E27" s="126"/>
    </row>
    <row r="28" spans="2:11" x14ac:dyDescent="0.4">
      <c r="B28" s="126"/>
      <c r="C28" s="127"/>
      <c r="D28" s="124"/>
      <c r="E28" s="126"/>
    </row>
    <row r="29" spans="2:11" x14ac:dyDescent="0.4">
      <c r="B29" s="126"/>
      <c r="C29" s="127"/>
      <c r="D29" s="124"/>
      <c r="E29" s="126"/>
    </row>
    <row r="30" spans="2:11" x14ac:dyDescent="0.4">
      <c r="B30" s="126"/>
      <c r="C30" s="127"/>
      <c r="D30" s="124"/>
      <c r="E30" s="126"/>
    </row>
    <row r="31" spans="2:11" x14ac:dyDescent="0.4">
      <c r="B31" s="126"/>
      <c r="C31" s="127"/>
      <c r="D31" s="124"/>
      <c r="E31" s="126"/>
      <c r="I31" s="10"/>
      <c r="J31" s="10"/>
      <c r="K31" s="10"/>
    </row>
    <row r="32" spans="2:11" x14ac:dyDescent="0.4">
      <c r="B32" s="126"/>
      <c r="C32" s="127"/>
      <c r="D32" s="124"/>
      <c r="E32" s="126"/>
      <c r="I32" s="10"/>
      <c r="J32" s="10"/>
      <c r="K32" s="10"/>
    </row>
    <row r="33" spans="2:11" x14ac:dyDescent="0.4">
      <c r="B33" s="126"/>
      <c r="C33" s="127"/>
      <c r="D33" s="124"/>
      <c r="E33" s="126"/>
      <c r="I33" s="10"/>
      <c r="J33" s="10"/>
      <c r="K33" s="10"/>
    </row>
    <row r="34" spans="2:11" x14ac:dyDescent="0.4">
      <c r="B34" s="126"/>
      <c r="C34" s="127"/>
      <c r="D34" s="124"/>
      <c r="E34" s="126"/>
      <c r="I34" s="10"/>
      <c r="J34" s="10"/>
      <c r="K34" s="10"/>
    </row>
    <row r="35" spans="2:11" x14ac:dyDescent="0.4">
      <c r="B35" s="126"/>
      <c r="C35" s="127"/>
      <c r="D35" s="124"/>
      <c r="E35" s="126"/>
      <c r="I35" s="10"/>
      <c r="J35" s="10"/>
      <c r="K35" s="10"/>
    </row>
    <row r="36" spans="2:11" x14ac:dyDescent="0.4">
      <c r="B36" s="126"/>
      <c r="C36" s="127"/>
      <c r="D36" s="124"/>
      <c r="E36" s="126"/>
      <c r="I36" s="10"/>
      <c r="J36" s="10"/>
      <c r="K36" s="10"/>
    </row>
    <row r="37" spans="2:11" x14ac:dyDescent="0.4">
      <c r="B37" s="126"/>
      <c r="C37" s="127"/>
      <c r="D37" s="124"/>
      <c r="E37" s="126"/>
      <c r="I37" s="10"/>
      <c r="J37" s="10"/>
      <c r="K37" s="10"/>
    </row>
    <row r="38" spans="2:11" x14ac:dyDescent="0.4">
      <c r="B38" s="126"/>
      <c r="C38" s="127"/>
      <c r="D38" s="124"/>
      <c r="E38" s="126"/>
      <c r="I38" s="10"/>
      <c r="J38" s="10"/>
      <c r="K38" s="10"/>
    </row>
    <row r="39" spans="2:11" ht="15.75" customHeight="1" x14ac:dyDescent="0.4">
      <c r="B39" s="126"/>
      <c r="C39" s="127"/>
      <c r="D39" s="124"/>
      <c r="E39" s="126"/>
      <c r="I39" s="10"/>
      <c r="J39" s="10"/>
      <c r="K39" s="10"/>
    </row>
    <row r="40" spans="2:11" x14ac:dyDescent="0.4">
      <c r="B40" s="126"/>
      <c r="C40" s="127"/>
      <c r="D40" s="124"/>
      <c r="E40" s="126"/>
      <c r="I40" s="10"/>
      <c r="J40" s="10"/>
      <c r="K40" s="10"/>
    </row>
    <row r="41" spans="2:11" x14ac:dyDescent="0.4">
      <c r="B41" s="126"/>
      <c r="C41" s="127"/>
      <c r="D41" s="124"/>
      <c r="E41" s="126"/>
      <c r="I41" s="10"/>
      <c r="J41" s="10"/>
      <c r="K41" s="10"/>
    </row>
    <row r="42" spans="2:11" x14ac:dyDescent="0.4">
      <c r="B42" s="126"/>
      <c r="C42" s="127"/>
      <c r="D42" s="124"/>
      <c r="E42" s="126"/>
      <c r="I42" s="10"/>
      <c r="J42" s="10"/>
      <c r="K42" s="10"/>
    </row>
    <row r="43" spans="2:11" x14ac:dyDescent="0.4">
      <c r="B43" s="126"/>
      <c r="C43" s="127"/>
      <c r="D43" s="124"/>
      <c r="E43" s="126"/>
      <c r="I43" s="10"/>
      <c r="J43" s="10"/>
      <c r="K43" s="10"/>
    </row>
    <row r="44" spans="2:11" x14ac:dyDescent="0.4">
      <c r="B44" s="126"/>
      <c r="C44" s="127"/>
      <c r="D44" s="124"/>
      <c r="E44" s="126"/>
      <c r="I44" s="10"/>
      <c r="J44" s="10"/>
      <c r="K44" s="10"/>
    </row>
    <row r="45" spans="2:11" x14ac:dyDescent="0.4">
      <c r="B45" s="126"/>
      <c r="C45" s="127"/>
      <c r="D45" s="124"/>
      <c r="E45" s="126"/>
      <c r="I45" s="10"/>
      <c r="J45" s="10"/>
      <c r="K45" s="10"/>
    </row>
    <row r="46" spans="2:11" x14ac:dyDescent="0.4">
      <c r="B46" s="126"/>
      <c r="C46" s="127"/>
      <c r="D46" s="124"/>
      <c r="E46" s="126"/>
      <c r="I46" s="10"/>
      <c r="J46" s="10"/>
      <c r="K46" s="10"/>
    </row>
    <row r="47" spans="2:11" x14ac:dyDescent="0.4">
      <c r="B47" s="126"/>
      <c r="C47" s="127"/>
      <c r="D47" s="124"/>
      <c r="E47" s="126"/>
      <c r="I47" s="10"/>
      <c r="J47" s="10"/>
      <c r="K47" s="10"/>
    </row>
    <row r="48" spans="2:11" x14ac:dyDescent="0.4">
      <c r="B48" s="126"/>
      <c r="C48" s="127"/>
      <c r="D48" s="124"/>
      <c r="E48" s="126"/>
      <c r="I48" s="10"/>
      <c r="J48" s="10"/>
      <c r="K48" s="10"/>
    </row>
    <row r="49" spans="2:11" ht="15.75" customHeight="1" x14ac:dyDescent="0.4">
      <c r="B49" s="126"/>
      <c r="C49" s="127"/>
      <c r="D49" s="124"/>
      <c r="E49" s="126"/>
      <c r="I49" s="10"/>
      <c r="J49" s="10"/>
      <c r="K49" s="10"/>
    </row>
    <row r="50" spans="2:11" ht="4.5" customHeight="1" x14ac:dyDescent="0.4">
      <c r="B50" s="126"/>
      <c r="C50" s="127"/>
      <c r="D50" s="124"/>
      <c r="E50" s="126"/>
      <c r="I50" s="10"/>
      <c r="J50" s="10"/>
      <c r="K50" s="10"/>
    </row>
    <row r="51" spans="2:11" ht="2.25" customHeight="1" x14ac:dyDescent="0.4">
      <c r="B51" s="128"/>
      <c r="C51" s="128"/>
      <c r="D51" s="128"/>
      <c r="E51" s="128"/>
      <c r="I51" s="10"/>
      <c r="J51" s="10"/>
      <c r="K51" s="10"/>
    </row>
    <row r="52" spans="2:11" s="2" customFormat="1" x14ac:dyDescent="0.4"/>
    <row r="53" spans="2:11" s="2" customFormat="1" ht="18" customHeight="1" x14ac:dyDescent="0.4">
      <c r="B53" s="168" t="s">
        <v>49</v>
      </c>
      <c r="C53" s="168"/>
      <c r="D53" s="79"/>
      <c r="E53" s="79"/>
    </row>
    <row r="54" spans="2:11" s="2" customFormat="1" x14ac:dyDescent="0.4">
      <c r="B54" s="169" t="s">
        <v>108</v>
      </c>
      <c r="C54" s="169"/>
      <c r="D54" s="78"/>
      <c r="E54" s="78"/>
    </row>
    <row r="55" spans="2:11" s="2" customFormat="1" x14ac:dyDescent="0.4">
      <c r="B55" s="169"/>
      <c r="C55" s="169"/>
      <c r="D55" s="78"/>
      <c r="E55" s="78"/>
    </row>
    <row r="56" spans="2:11" s="2" customFormat="1" x14ac:dyDescent="0.4">
      <c r="B56" s="169"/>
      <c r="C56" s="169"/>
      <c r="D56" s="78"/>
      <c r="E56" s="78"/>
    </row>
    <row r="57" spans="2:11" s="2" customFormat="1" x14ac:dyDescent="0.4">
      <c r="I57" s="1"/>
      <c r="J57" s="1"/>
      <c r="K57" s="1"/>
    </row>
    <row r="58" spans="2:11" s="2" customFormat="1" x14ac:dyDescent="0.4">
      <c r="I58" s="1"/>
      <c r="J58" s="1"/>
      <c r="K58" s="1"/>
    </row>
    <row r="59" spans="2:11" s="2" customFormat="1" x14ac:dyDescent="0.4">
      <c r="I59" s="1"/>
      <c r="J59" s="1"/>
      <c r="K59" s="1"/>
    </row>
    <row r="60" spans="2:11" s="2" customFormat="1" ht="16.5" customHeight="1" x14ac:dyDescent="0.4">
      <c r="C60" s="76"/>
      <c r="D60" s="76"/>
      <c r="E60" s="80"/>
    </row>
    <row r="61" spans="2:11" s="2" customFormat="1" x14ac:dyDescent="0.4">
      <c r="C61" s="76"/>
      <c r="D61" s="76"/>
      <c r="E61" s="76"/>
    </row>
    <row r="62" spans="2:11" s="2" customFormat="1" x14ac:dyDescent="0.4">
      <c r="C62" s="81"/>
      <c r="D62" s="76"/>
      <c r="E62" s="76"/>
      <c r="I62" s="1"/>
      <c r="J62" s="1"/>
      <c r="K62" s="1"/>
    </row>
    <row r="63" spans="2:11" s="2" customFormat="1" x14ac:dyDescent="0.4">
      <c r="I63" s="1"/>
      <c r="J63" s="1"/>
      <c r="K63" s="1"/>
    </row>
    <row r="64" spans="2:11" s="2" customFormat="1" x14ac:dyDescent="0.4">
      <c r="I64" s="1"/>
      <c r="J64" s="1"/>
      <c r="K64" s="1"/>
    </row>
    <row r="65" spans="9:11" s="2" customFormat="1" x14ac:dyDescent="0.4">
      <c r="I65" s="1"/>
      <c r="J65" s="1"/>
      <c r="K65" s="1"/>
    </row>
    <row r="66" spans="9:11" s="2" customFormat="1" x14ac:dyDescent="0.4">
      <c r="I66" s="1"/>
      <c r="J66" s="1"/>
      <c r="K66" s="1"/>
    </row>
    <row r="67" spans="9:11" s="2" customFormat="1" x14ac:dyDescent="0.4">
      <c r="I67" s="1"/>
      <c r="J67" s="1"/>
      <c r="K67" s="1"/>
    </row>
    <row r="68" spans="9:11" s="2" customFormat="1" x14ac:dyDescent="0.4">
      <c r="I68" s="1"/>
      <c r="J68" s="1"/>
      <c r="K68" s="1"/>
    </row>
    <row r="69" spans="9:11" s="2" customFormat="1" x14ac:dyDescent="0.4">
      <c r="I69" s="1"/>
      <c r="J69" s="1"/>
      <c r="K69" s="1"/>
    </row>
    <row r="70" spans="9:11" s="2" customFormat="1" x14ac:dyDescent="0.4">
      <c r="I70" s="1"/>
      <c r="J70" s="1"/>
      <c r="K70" s="1"/>
    </row>
    <row r="71" spans="9:11" s="2" customFormat="1" x14ac:dyDescent="0.4">
      <c r="I71" s="1"/>
      <c r="J71" s="1"/>
      <c r="K71" s="1"/>
    </row>
    <row r="72" spans="9:11" s="2" customFormat="1" x14ac:dyDescent="0.4">
      <c r="I72" s="1"/>
      <c r="J72" s="1"/>
      <c r="K72" s="1"/>
    </row>
  </sheetData>
  <sheetProtection algorithmName="SHA-512" hashValue="wII+mows0Fg70zRGTCje85bBtZfFv15b4QQkRXg3eOPDYcv7soHAXINapQg3gIjFA1HqQdOhPGb7SHtDsm1+MQ==" saltValue="zkNUvSU/VxvAb7gS+iBh+w==" spinCount="100000" sheet="1" scenarios="1" formatCells="0" formatColumns="0" formatRows="0"/>
  <mergeCells count="4">
    <mergeCell ref="D2:E2"/>
    <mergeCell ref="D6:E6"/>
    <mergeCell ref="B53:C53"/>
    <mergeCell ref="B54:C56"/>
  </mergeCells>
  <phoneticPr fontId="13" type="noConversion"/>
  <conditionalFormatting sqref="B12:E51">
    <cfRule type="expression" dxfId="1" priority="1">
      <formula>MOD(ROW(),2)=1</formula>
    </cfRule>
  </conditionalFormatting>
  <pageMargins left="0.98425196850393704" right="0.15748031496062992" top="0.36" bottom="0.18" header="0.31496062992125984" footer="0.27"/>
  <pageSetup scale="92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6"/>
  <dimension ref="A1:P40"/>
  <sheetViews>
    <sheetView workbookViewId="0">
      <selection activeCell="N5" sqref="N5"/>
    </sheetView>
  </sheetViews>
  <sheetFormatPr baseColWidth="10" defaultColWidth="11" defaultRowHeight="14.4" x14ac:dyDescent="0.3"/>
  <cols>
    <col min="1" max="1" width="12.19921875" style="3" customWidth="1"/>
    <col min="2" max="2" width="11" style="3"/>
    <col min="3" max="3" width="12.19921875" style="3" customWidth="1"/>
    <col min="4" max="4" width="30.5" style="3" customWidth="1"/>
    <col min="5" max="5" width="13.59765625" style="3" customWidth="1"/>
    <col min="6" max="6" width="11" style="3"/>
    <col min="7" max="7" width="8.5" style="3" customWidth="1"/>
    <col min="8" max="8" width="11" style="3"/>
    <col min="9" max="9" width="8" style="3" customWidth="1"/>
    <col min="10" max="11" width="3" style="3" customWidth="1"/>
    <col min="12" max="12" width="2.3984375" style="3" customWidth="1"/>
    <col min="13" max="13" width="13" style="3" customWidth="1"/>
    <col min="14" max="14" width="11" style="3"/>
    <col min="15" max="15" width="15.3984375" style="3" customWidth="1"/>
    <col min="16" max="16384" width="11" style="3"/>
  </cols>
  <sheetData>
    <row r="1" spans="1:16" ht="16.5" customHeight="1" x14ac:dyDescent="0.3">
      <c r="F1" s="173"/>
      <c r="G1" s="171"/>
      <c r="H1" s="171"/>
      <c r="M1" s="3" t="s">
        <v>53</v>
      </c>
      <c r="N1" s="44"/>
      <c r="O1" s="46" t="s">
        <v>54</v>
      </c>
      <c r="P1" s="44"/>
    </row>
    <row r="2" spans="1:16" x14ac:dyDescent="0.3">
      <c r="F2" s="173"/>
      <c r="G2" s="171"/>
      <c r="H2" s="171"/>
      <c r="M2" s="46" t="s">
        <v>38</v>
      </c>
      <c r="N2" s="44">
        <f>SUMIF(M5:M1048576,CodProducto_Venta,N5:N1048576)</f>
        <v>0</v>
      </c>
      <c r="O2" s="44">
        <f>SUMIFS(Salidas!I:I,Salidas!E:E,CodProducto_Venta,Salidas!C:C,Calculos!N1)</f>
        <v>0</v>
      </c>
      <c r="P2" s="44"/>
    </row>
    <row r="3" spans="1:16" ht="16.8" x14ac:dyDescent="0.4">
      <c r="F3" s="40"/>
      <c r="G3" s="76"/>
      <c r="H3" s="77"/>
      <c r="M3" s="46" t="s">
        <v>37</v>
      </c>
      <c r="N3" s="44"/>
    </row>
    <row r="4" spans="1:16" x14ac:dyDescent="0.3">
      <c r="A4" s="172" t="s">
        <v>12</v>
      </c>
      <c r="B4" s="172"/>
      <c r="C4" s="172"/>
      <c r="D4" s="4" t="s">
        <v>59</v>
      </c>
      <c r="M4" s="45" t="s">
        <v>0</v>
      </c>
      <c r="N4" s="45" t="s">
        <v>9</v>
      </c>
    </row>
    <row r="5" spans="1:16" x14ac:dyDescent="0.3">
      <c r="A5" s="170" t="s">
        <v>13</v>
      </c>
      <c r="B5" s="170"/>
      <c r="C5" s="170"/>
      <c r="D5" s="5" t="str">
        <f>IFERROR(VLOOKUP(CodProducto_Compra,Productos!A:D,3,0),"")</f>
        <v>SPLITER RG6 2 VIAS</v>
      </c>
      <c r="E5" s="42" t="str">
        <f>IFERROR(VLOOKUP(CodProducto_Compra,Productos!A:D,2,0),"")</f>
        <v>CATV</v>
      </c>
      <c r="M5" s="44"/>
    </row>
    <row r="6" spans="1:16" x14ac:dyDescent="0.3">
      <c r="A6" s="170" t="s">
        <v>14</v>
      </c>
      <c r="B6" s="170"/>
      <c r="C6" s="170"/>
      <c r="D6" s="67" t="str">
        <f>IFERROR(VLOOKUP(CodProducto_Compra,Productos!A:E,4,0),"")</f>
        <v>Und</v>
      </c>
      <c r="E6" s="68"/>
      <c r="M6" s="44"/>
    </row>
    <row r="7" spans="1:16" x14ac:dyDescent="0.3">
      <c r="M7" s="44"/>
    </row>
    <row r="8" spans="1:16" x14ac:dyDescent="0.3">
      <c r="A8" s="172" t="s">
        <v>15</v>
      </c>
      <c r="B8" s="172"/>
      <c r="C8" s="172"/>
      <c r="D8" s="143" t="s">
        <v>56</v>
      </c>
      <c r="M8" s="44"/>
    </row>
    <row r="9" spans="1:16" x14ac:dyDescent="0.3">
      <c r="A9" s="170" t="s">
        <v>16</v>
      </c>
      <c r="B9" s="170"/>
      <c r="C9" s="170"/>
      <c r="D9" s="6" t="str">
        <f>IFERROR(VLOOKUP(CodProducto_Venta,Productos!A:D,3,0),"")</f>
        <v>CABLE RG6 SIN MENSAJERO</v>
      </c>
      <c r="E9" s="42" t="str">
        <f>IFERROR(VLOOKUP(CodProducto_Venta,Productos!A:D,2,0),"")</f>
        <v>CATV</v>
      </c>
      <c r="M9" s="44"/>
    </row>
    <row r="10" spans="1:16" x14ac:dyDescent="0.3">
      <c r="A10" s="170" t="s">
        <v>17</v>
      </c>
      <c r="B10" s="170"/>
      <c r="C10" s="170"/>
      <c r="D10" s="7" t="str">
        <f>IFERROR(VLOOKUP(CodProducto_Venta,Productos!A:E,4,0),"")</f>
        <v>Und</v>
      </c>
      <c r="M10" s="44"/>
    </row>
    <row r="11" spans="1:16" x14ac:dyDescent="0.3">
      <c r="A11" s="170" t="s">
        <v>19</v>
      </c>
      <c r="B11" s="170"/>
      <c r="C11" s="170"/>
      <c r="D11" s="8">
        <f>IFERROR(VLOOKUP(CodProducto_Venta,Productos!A:E,5,0)-N2-N3+O2,"")</f>
        <v>0</v>
      </c>
      <c r="M11" s="44"/>
    </row>
    <row r="12" spans="1:16" x14ac:dyDescent="0.3">
      <c r="A12" s="170" t="s">
        <v>18</v>
      </c>
      <c r="B12" s="170"/>
      <c r="C12" s="170"/>
      <c r="D12" s="8" t="str">
        <f>IFERROR(VLOOKUP(CodProducto_Venta,Productos!A:E,6,0),"")</f>
        <v/>
      </c>
      <c r="M12" s="44"/>
    </row>
    <row r="13" spans="1:16" x14ac:dyDescent="0.3">
      <c r="A13" s="170" t="s">
        <v>20</v>
      </c>
      <c r="B13" s="170"/>
      <c r="C13" s="170"/>
      <c r="D13" s="8">
        <f>IFERROR(VLOOKUP(CodProducto_Venta,Productos!A:E,5,0),"")</f>
        <v>0</v>
      </c>
      <c r="M13" s="44"/>
    </row>
    <row r="14" spans="1:16" x14ac:dyDescent="0.3">
      <c r="D14" s="9"/>
      <c r="M14" s="44"/>
    </row>
    <row r="15" spans="1:16" x14ac:dyDescent="0.3">
      <c r="A15" s="170" t="s">
        <v>34</v>
      </c>
      <c r="B15" s="170"/>
      <c r="C15" s="170"/>
      <c r="D15" s="38" t="str">
        <f>IFERROR(MATCH(TEXT(E15,"@"),Entradas!C:C,0),"0")</f>
        <v>0</v>
      </c>
      <c r="E15" s="69" t="s">
        <v>72</v>
      </c>
      <c r="M15" s="44"/>
    </row>
    <row r="16" spans="1:16" x14ac:dyDescent="0.3">
      <c r="A16" s="170" t="s">
        <v>35</v>
      </c>
      <c r="B16" s="170"/>
      <c r="C16" s="170"/>
      <c r="D16" s="38" t="str">
        <f>IFERROR(MATCH(TEXT(E16,"@"),Salidas!C:C,0),"0")</f>
        <v>0</v>
      </c>
      <c r="E16" s="69" t="s">
        <v>72</v>
      </c>
      <c r="M16" s="44"/>
    </row>
    <row r="17" spans="1:13" x14ac:dyDescent="0.3">
      <c r="M17" s="44"/>
    </row>
    <row r="18" spans="1:13" x14ac:dyDescent="0.3">
      <c r="A18" s="170" t="s">
        <v>39</v>
      </c>
      <c r="B18" s="170"/>
      <c r="C18" s="170"/>
      <c r="D18" s="67">
        <f>IFERROR(MATCH(TEXT(PrintCompras!E3,"@"),Entradas!C:C,0),0)</f>
        <v>0</v>
      </c>
      <c r="M18" s="44"/>
    </row>
    <row r="19" spans="1:13" x14ac:dyDescent="0.3">
      <c r="A19" s="170" t="s">
        <v>40</v>
      </c>
      <c r="B19" s="170"/>
      <c r="C19" s="170"/>
      <c r="D19" s="67">
        <f>IFERROR(MATCH(TEXT(PrintVentas!E3,"@"),Salidas!C:C,0),0)</f>
        <v>0</v>
      </c>
      <c r="M19" s="44"/>
    </row>
    <row r="20" spans="1:13" x14ac:dyDescent="0.3">
      <c r="M20" s="44"/>
    </row>
    <row r="21" spans="1:13" x14ac:dyDescent="0.3">
      <c r="A21" s="170" t="s">
        <v>63</v>
      </c>
      <c r="B21" s="170"/>
      <c r="C21" s="170"/>
      <c r="D21" s="69"/>
      <c r="E21" s="70">
        <f>IF(D21&lt;&gt;"",1,0)</f>
        <v>0</v>
      </c>
      <c r="M21" s="44"/>
    </row>
    <row r="22" spans="1:13" x14ac:dyDescent="0.3">
      <c r="A22" s="170" t="s">
        <v>64</v>
      </c>
      <c r="B22" s="170"/>
      <c r="C22" s="170"/>
      <c r="D22" s="69"/>
      <c r="E22" s="70">
        <f>IF(D22&lt;&gt;"",1,0)</f>
        <v>0</v>
      </c>
      <c r="M22" s="44"/>
    </row>
    <row r="23" spans="1:13" x14ac:dyDescent="0.3">
      <c r="M23" s="44"/>
    </row>
    <row r="24" spans="1:13" x14ac:dyDescent="0.3">
      <c r="M24" s="44"/>
    </row>
    <row r="25" spans="1:13" x14ac:dyDescent="0.3">
      <c r="M25" s="44"/>
    </row>
    <row r="26" spans="1:13" x14ac:dyDescent="0.3">
      <c r="M26" s="44"/>
    </row>
    <row r="27" spans="1:13" x14ac:dyDescent="0.3">
      <c r="M27" s="44"/>
    </row>
    <row r="28" spans="1:13" x14ac:dyDescent="0.3">
      <c r="M28" s="44"/>
    </row>
    <row r="29" spans="1:13" x14ac:dyDescent="0.3">
      <c r="M29" s="44"/>
    </row>
    <row r="30" spans="1:13" x14ac:dyDescent="0.3">
      <c r="M30" s="44"/>
    </row>
    <row r="31" spans="1:13" x14ac:dyDescent="0.3">
      <c r="M31" s="44"/>
    </row>
    <row r="32" spans="1:13" x14ac:dyDescent="0.3">
      <c r="M32" s="44"/>
    </row>
    <row r="33" spans="13:13" x14ac:dyDescent="0.3">
      <c r="M33" s="44"/>
    </row>
    <row r="34" spans="13:13" x14ac:dyDescent="0.3">
      <c r="M34" s="44"/>
    </row>
    <row r="35" spans="13:13" x14ac:dyDescent="0.3">
      <c r="M35" s="44"/>
    </row>
    <row r="36" spans="13:13" x14ac:dyDescent="0.3">
      <c r="M36" s="44"/>
    </row>
    <row r="37" spans="13:13" x14ac:dyDescent="0.3">
      <c r="M37" s="44"/>
    </row>
    <row r="38" spans="13:13" x14ac:dyDescent="0.3">
      <c r="M38" s="44"/>
    </row>
    <row r="39" spans="13:13" x14ac:dyDescent="0.3">
      <c r="M39" s="44"/>
    </row>
    <row r="40" spans="13:13" x14ac:dyDescent="0.3">
      <c r="M40" s="44"/>
    </row>
  </sheetData>
  <mergeCells count="18">
    <mergeCell ref="A15:C15"/>
    <mergeCell ref="H1:H2"/>
    <mergeCell ref="G1:G2"/>
    <mergeCell ref="A4:C4"/>
    <mergeCell ref="A5:C5"/>
    <mergeCell ref="A6:C6"/>
    <mergeCell ref="A11:C11"/>
    <mergeCell ref="A12:C12"/>
    <mergeCell ref="A13:C13"/>
    <mergeCell ref="A10:C10"/>
    <mergeCell ref="F1:F2"/>
    <mergeCell ref="A8:C8"/>
    <mergeCell ref="A9:C9"/>
    <mergeCell ref="A21:C21"/>
    <mergeCell ref="A22:C22"/>
    <mergeCell ref="A18:C18"/>
    <mergeCell ref="A19:C19"/>
    <mergeCell ref="A16:C16"/>
  </mergeCells>
  <conditionalFormatting sqref="F3:H3">
    <cfRule type="expression" dxfId="0" priority="1">
      <formula>AND($C3&lt;&gt;"",$E3="")</formula>
    </cfRule>
  </conditionalFormatting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8B60D54-218D-474B-AD45-EE729972224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13</vt:i4>
      </vt:variant>
    </vt:vector>
  </HeadingPairs>
  <TitlesOfParts>
    <vt:vector size="23" baseType="lpstr">
      <vt:lpstr>Inicio</vt:lpstr>
      <vt:lpstr>listProductos</vt:lpstr>
      <vt:lpstr>Proveedor</vt:lpstr>
      <vt:lpstr>Clientes</vt:lpstr>
      <vt:lpstr>Kardex</vt:lpstr>
      <vt:lpstr>Entradas</vt:lpstr>
      <vt:lpstr>Salidas</vt:lpstr>
      <vt:lpstr>Movimientos</vt:lpstr>
      <vt:lpstr>PrintCompras</vt:lpstr>
      <vt:lpstr>PrintVentas</vt:lpstr>
      <vt:lpstr>PrintVentas!Área_de_impresión</vt:lpstr>
      <vt:lpstr>Categoria_Compra</vt:lpstr>
      <vt:lpstr>Categoria_Venta</vt:lpstr>
      <vt:lpstr>CodProducto_Compra</vt:lpstr>
      <vt:lpstr>CodProducto_Venta</vt:lpstr>
      <vt:lpstr>CostoUnit_Venta</vt:lpstr>
      <vt:lpstr>Existencia_Venta</vt:lpstr>
      <vt:lpstr>Formulas</vt:lpstr>
      <vt:lpstr>NombreProducto_Compra</vt:lpstr>
      <vt:lpstr>NombreProducto_Venta</vt:lpstr>
      <vt:lpstr>PrecioUnit_Venta</vt:lpstr>
      <vt:lpstr>UndMedida_Compra</vt:lpstr>
      <vt:lpstr>UndMedida_Venta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Torres</dc:creator>
  <cp:lastModifiedBy>Luis Torres</cp:lastModifiedBy>
  <cp:lastPrinted>2020-06-21T23:15:07Z</cp:lastPrinted>
  <dcterms:created xsi:type="dcterms:W3CDTF">2020-03-19T15:36:22Z</dcterms:created>
  <dcterms:modified xsi:type="dcterms:W3CDTF">2021-11-29T03:09:44Z</dcterms:modified>
</cp:coreProperties>
</file>