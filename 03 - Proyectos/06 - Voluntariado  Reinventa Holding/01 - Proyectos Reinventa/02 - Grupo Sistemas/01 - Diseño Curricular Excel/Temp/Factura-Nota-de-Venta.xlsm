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E:\PLANTILLAS YOUTUBE\FACTURA\"/>
    </mc:Choice>
  </mc:AlternateContent>
  <xr:revisionPtr revIDLastSave="0" documentId="13_ncr:1_{83525DD5-27FC-446D-92FC-9F1A31FAD12A}" xr6:coauthVersionLast="45" xr6:coauthVersionMax="45" xr10:uidLastSave="{00000000-0000-0000-0000-000000000000}"/>
  <bookViews>
    <workbookView xWindow="-120" yWindow="-120" windowWidth="20730" windowHeight="11160" activeTab="2" xr2:uid="{33A77EA2-95CA-4826-8A1A-595D9DBC2040}"/>
  </bookViews>
  <sheets>
    <sheet name="Clientes" sheetId="1" r:id="rId1"/>
    <sheet name="Productos" sheetId="4" r:id="rId2"/>
    <sheet name="Factura" sheetId="2" r:id="rId3"/>
  </sheets>
  <definedNames>
    <definedName name="_xlnm.Print_Area" localSheetId="2">Factura!$A$1:$G$73</definedName>
    <definedName name="Cliente">Factura!$C$12</definedName>
    <definedName name="Cliente1">Factura!$C$13</definedName>
    <definedName name="Cliente2">Factura!$C$14</definedName>
    <definedName name="Cliente3">Factura!$C$15</definedName>
    <definedName name="Cliente4">Factura!$C$16</definedName>
    <definedName name="Cliente5">Factura!$C$17</definedName>
    <definedName name="Comentario">Factura!$B$56</definedName>
    <definedName name="Fecha">Factura!$G$5</definedName>
    <definedName name="IDClliente">Factura!$G$7</definedName>
    <definedName name="LimpiarTodo">Factura!$C$12:$C$17,Factura!$B$21:$F$52,Factura!$G$5:$G$8</definedName>
    <definedName name="NumCotizacion">Factura!$G$6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1" i="4" l="1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G52" i="2" l="1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54" i="2" l="1"/>
  <c r="G56" i="2" s="1"/>
  <c r="G57" i="2" s="1"/>
  <c r="G58" i="2" l="1"/>
</calcChain>
</file>

<file path=xl/sharedStrings.xml><?xml version="1.0" encoding="utf-8"?>
<sst xmlns="http://schemas.openxmlformats.org/spreadsheetml/2006/main" count="755" uniqueCount="554">
  <si>
    <t>Empresa:</t>
  </si>
  <si>
    <t>Ofimática Empresarial</t>
  </si>
  <si>
    <t>Fecha:</t>
  </si>
  <si>
    <t>Teléfono:</t>
  </si>
  <si>
    <t>Brazo para patada, Rifel</t>
  </si>
  <si>
    <t>Email:</t>
  </si>
  <si>
    <t>etorres@ofimaticaempresarial.com</t>
  </si>
  <si>
    <t>ID Cliente</t>
  </si>
  <si>
    <t>Sitio Web:</t>
  </si>
  <si>
    <t>https://ofimaticaempresarial.com</t>
  </si>
  <si>
    <t>Dirección:</t>
  </si>
  <si>
    <t>Charlotte, West W.T.Harris Boulevard, Charlotte, Carolina del Norte, EE. UU.</t>
  </si>
  <si>
    <t>CLIENTE</t>
  </si>
  <si>
    <t>Código</t>
  </si>
  <si>
    <t>Descripción</t>
  </si>
  <si>
    <t>Medida</t>
  </si>
  <si>
    <t>Cant.</t>
  </si>
  <si>
    <t>Precio</t>
  </si>
  <si>
    <t>Descuento</t>
  </si>
  <si>
    <t>Comentario</t>
  </si>
  <si>
    <t>IVA</t>
  </si>
  <si>
    <t>Total</t>
  </si>
  <si>
    <t xml:space="preserve">          ………………………………………..               ……………………………………..........</t>
  </si>
  <si>
    <t>Firma                                         Nombre</t>
  </si>
  <si>
    <t>Si tienes alguna pregunta por favor contáctanos</t>
  </si>
  <si>
    <t>Telf:  51 9 222 420-3128 / E-mail :info@minegocio.com</t>
  </si>
  <si>
    <t xml:space="preserve"> Gracias por tu Preferencia !</t>
  </si>
  <si>
    <t>Compañía:</t>
  </si>
  <si>
    <t>Cedula:</t>
  </si>
  <si>
    <t>FACTURA</t>
  </si>
  <si>
    <t>Factura # :</t>
  </si>
  <si>
    <t>Cliente</t>
  </si>
  <si>
    <t>LISTA DE CLIENTES</t>
  </si>
  <si>
    <t>Alfreds Futterkiste</t>
  </si>
  <si>
    <t>Ana Trujillo Emparedados y helados</t>
  </si>
  <si>
    <t>Antonio Moreno Taquería</t>
  </si>
  <si>
    <t>Around the Horn</t>
  </si>
  <si>
    <t>Berglunds snabbköp</t>
  </si>
  <si>
    <t>Blauer See Delikatessen</t>
  </si>
  <si>
    <t>Blondel père et fils</t>
  </si>
  <si>
    <t>Bólido Comidas preparadas</t>
  </si>
  <si>
    <t>Bon app'</t>
  </si>
  <si>
    <t>Bottom-Dollar Markets</t>
  </si>
  <si>
    <t>B's Beverages</t>
  </si>
  <si>
    <t>Cactus Comidas para llevar</t>
  </si>
  <si>
    <t>Centro comercial Moctezuma</t>
  </si>
  <si>
    <t>Chop-suey Chinese</t>
  </si>
  <si>
    <t>Comércio Mineiro</t>
  </si>
  <si>
    <t>Consolidated Holdings</t>
  </si>
  <si>
    <t>Drachenblut Delikatessen</t>
  </si>
  <si>
    <t>Du monde entier</t>
  </si>
  <si>
    <t>Eastern Connection</t>
  </si>
  <si>
    <t>Ernst Handel</t>
  </si>
  <si>
    <t>Familia Arquibaldo</t>
  </si>
  <si>
    <t>FISSA Fabrica Inter. Salchichas S.A.</t>
  </si>
  <si>
    <t>Folies gourmandes</t>
  </si>
  <si>
    <t>Folk och fä HB</t>
  </si>
  <si>
    <t>Frankenversand</t>
  </si>
  <si>
    <t>France restauration</t>
  </si>
  <si>
    <t>Franchi S.p.A.</t>
  </si>
  <si>
    <t>Furia Bacalhau e Frutos do Mar</t>
  </si>
  <si>
    <t>Galería del gastrónomo</t>
  </si>
  <si>
    <t>Godos Cocina Típica</t>
  </si>
  <si>
    <t>Gourmet Lanchonetes</t>
  </si>
  <si>
    <t>Great Lakes Food Market</t>
  </si>
  <si>
    <t>GROSELLA-Restaurante</t>
  </si>
  <si>
    <t>Hanari Carnes</t>
  </si>
  <si>
    <t>HILARIÓN-Abastos</t>
  </si>
  <si>
    <t>Hungry Coyote Import Store</t>
  </si>
  <si>
    <t>Hungry Owl All-Night Grocers</t>
  </si>
  <si>
    <t>Island Trading</t>
  </si>
  <si>
    <t>Königlich Essen</t>
  </si>
  <si>
    <t>La corne d'abondance</t>
  </si>
  <si>
    <t>La maison d'Asie</t>
  </si>
  <si>
    <t>Laughing Bacchus Wine Cellars</t>
  </si>
  <si>
    <t>Lazy K Kountry Store</t>
  </si>
  <si>
    <t>Lehmanns Marktstand</t>
  </si>
  <si>
    <t>Let's Stop N Shop</t>
  </si>
  <si>
    <t>LILA-Supermercado</t>
  </si>
  <si>
    <t>LINO-Delicateses</t>
  </si>
  <si>
    <t>Lonesome Pine Restaurant</t>
  </si>
  <si>
    <t>Magazzini Alimentari Riuniti</t>
  </si>
  <si>
    <t>Maison Dewey</t>
  </si>
  <si>
    <t>Mère Paillarde</t>
  </si>
  <si>
    <t>Morgenstern Gesundkost</t>
  </si>
  <si>
    <t>North/South</t>
  </si>
  <si>
    <t>Océano Atlántico Ltda.</t>
  </si>
  <si>
    <t>Old World Delicatessen</t>
  </si>
  <si>
    <t>Ottilies Käseladen</t>
  </si>
  <si>
    <t>Paris spécialités</t>
  </si>
  <si>
    <t>Pericles Comidas clásicas</t>
  </si>
  <si>
    <t>Piccolo und mehr</t>
  </si>
  <si>
    <t>Princesa Isabel Vinhos</t>
  </si>
  <si>
    <t>Que Delícia</t>
  </si>
  <si>
    <t>Queen Cozinha</t>
  </si>
  <si>
    <t>QUICK-Stop</t>
  </si>
  <si>
    <t>Rancho grande</t>
  </si>
  <si>
    <t>Rattlesnake Canyon Grocery</t>
  </si>
  <si>
    <t>Reggiani Caseifici</t>
  </si>
  <si>
    <t>Ricardo Adocicados</t>
  </si>
  <si>
    <t>Richter Supermarkt</t>
  </si>
  <si>
    <t>Romero y tomillo</t>
  </si>
  <si>
    <t>Santé Gourmet</t>
  </si>
  <si>
    <t>Save-a-lot Markets</t>
  </si>
  <si>
    <t>Seven Seas Imports</t>
  </si>
  <si>
    <t>Simons bistro</t>
  </si>
  <si>
    <t>Spécialités du monde</t>
  </si>
  <si>
    <t>Split Rail Beer &amp; Ale</t>
  </si>
  <si>
    <t>Suprêmes délices</t>
  </si>
  <si>
    <t>The Big Cheese</t>
  </si>
  <si>
    <t>The Cracker Box</t>
  </si>
  <si>
    <t>Toms Spezialitäten</t>
  </si>
  <si>
    <t>Tortuga Restaurante</t>
  </si>
  <si>
    <t>Tradição Hipermercados</t>
  </si>
  <si>
    <t>Trail's Head Gourmet Provisioners</t>
  </si>
  <si>
    <t>Vaffeljernet</t>
  </si>
  <si>
    <t>Victuailles en stock</t>
  </si>
  <si>
    <t>Vins et alcools Chevalier</t>
  </si>
  <si>
    <t>Die Wandernde Kuh</t>
  </si>
  <si>
    <t>Wartian Herkku</t>
  </si>
  <si>
    <t>Wellington Importadora</t>
  </si>
  <si>
    <t>White Clover Markets</t>
  </si>
  <si>
    <t>Wilman Kala</t>
  </si>
  <si>
    <t>Wolski  Zajazd</t>
  </si>
  <si>
    <t>Maria Anders</t>
  </si>
  <si>
    <t>Ana Trujillo</t>
  </si>
  <si>
    <t>Antonio Moreno</t>
  </si>
  <si>
    <t>Thomas Hardy</t>
  </si>
  <si>
    <t>Christina Berglund</t>
  </si>
  <si>
    <t>Hanna Moos</t>
  </si>
  <si>
    <t>Frédérique Citeaux</t>
  </si>
  <si>
    <t>Martín Sommer</t>
  </si>
  <si>
    <t>Laurence Lebihan</t>
  </si>
  <si>
    <t>Elizabeth Lincoln</t>
  </si>
  <si>
    <t>Victoria Ashworth</t>
  </si>
  <si>
    <t>Patricio Simpson</t>
  </si>
  <si>
    <t>Francisco Chang</t>
  </si>
  <si>
    <t>Yang Wang</t>
  </si>
  <si>
    <t>Pedro Afonso</t>
  </si>
  <si>
    <t>Elizabeth Brown</t>
  </si>
  <si>
    <t>Sven Ottlieb</t>
  </si>
  <si>
    <t>Janine Labrune</t>
  </si>
  <si>
    <t>Ann Devon</t>
  </si>
  <si>
    <t>Roland Mendel</t>
  </si>
  <si>
    <t>Aria Cruz</t>
  </si>
  <si>
    <t>Diego Roel</t>
  </si>
  <si>
    <t>Martine Rancé</t>
  </si>
  <si>
    <t>Maria Larsson</t>
  </si>
  <si>
    <t>Peter Franken</t>
  </si>
  <si>
    <t>Carine Schmitt</t>
  </si>
  <si>
    <t>Paolo Accorti</t>
  </si>
  <si>
    <t>Lino Rodriguez</t>
  </si>
  <si>
    <t>Eduardo Saavedra</t>
  </si>
  <si>
    <t>José Pedro Freyre</t>
  </si>
  <si>
    <t>André Fonseca</t>
  </si>
  <si>
    <t>Howard Snyder</t>
  </si>
  <si>
    <t>Manuel Pereira</t>
  </si>
  <si>
    <t>Mario Pontes</t>
  </si>
  <si>
    <t>Carlos Hernández</t>
  </si>
  <si>
    <t>Yoshi Latimer</t>
  </si>
  <si>
    <t>Patricia McKenna</t>
  </si>
  <si>
    <t>Helen Bennett</t>
  </si>
  <si>
    <t>Philip Cramer</t>
  </si>
  <si>
    <t>Daniel Tonini</t>
  </si>
  <si>
    <t>Annette Roulet</t>
  </si>
  <si>
    <t>Yoshi Tannamuri</t>
  </si>
  <si>
    <t>John Steel</t>
  </si>
  <si>
    <t>Renate Messner</t>
  </si>
  <si>
    <t>Jaime Yorres</t>
  </si>
  <si>
    <t>Carlos González</t>
  </si>
  <si>
    <t>Felipe Izquierdo</t>
  </si>
  <si>
    <t>Fran Wilson</t>
  </si>
  <si>
    <t>Giovanni Rovelli</t>
  </si>
  <si>
    <t>Catherine Dewey</t>
  </si>
  <si>
    <t>Jean Fresnière</t>
  </si>
  <si>
    <t>Alexander Feuer</t>
  </si>
  <si>
    <t>Simon Crowther</t>
  </si>
  <si>
    <t>Yvonne Moncada</t>
  </si>
  <si>
    <t>Rene Phillips</t>
  </si>
  <si>
    <t>Henriette Pfalzheim</t>
  </si>
  <si>
    <t>Marie Bertrand</t>
  </si>
  <si>
    <t>Guillermo Fernández</t>
  </si>
  <si>
    <t>Georg Pipps</t>
  </si>
  <si>
    <t>Isabel de Castro</t>
  </si>
  <si>
    <t>Bernardo Batista</t>
  </si>
  <si>
    <t>Lúcia Carvalho</t>
  </si>
  <si>
    <t>Horst Kloss</t>
  </si>
  <si>
    <t>Sergio Gutiérrez</t>
  </si>
  <si>
    <t>Paula Wilson</t>
  </si>
  <si>
    <t>Maurizio Moroni</t>
  </si>
  <si>
    <t>Janete Limeira</t>
  </si>
  <si>
    <t>Michael Holz</t>
  </si>
  <si>
    <t>Alejandra Camino</t>
  </si>
  <si>
    <t>Jonas Bergulfsen</t>
  </si>
  <si>
    <t>Jose Pavarotti</t>
  </si>
  <si>
    <t>Hari Kumar</t>
  </si>
  <si>
    <t>Jytte Petersen</t>
  </si>
  <si>
    <t>Dominique Perrier</t>
  </si>
  <si>
    <t>Art Braunschweiger</t>
  </si>
  <si>
    <t>Pascale Cartrain</t>
  </si>
  <si>
    <t>Liz Nixon</t>
  </si>
  <si>
    <t>Liu Wong</t>
  </si>
  <si>
    <t>Karin Josephs</t>
  </si>
  <si>
    <t>Miguel Angel Paolino</t>
  </si>
  <si>
    <t>Anabela Domingues</t>
  </si>
  <si>
    <t>Helvetius Nagy</t>
  </si>
  <si>
    <t>Palle Ibsen</t>
  </si>
  <si>
    <t>Mary Saveley</t>
  </si>
  <si>
    <t>Paul Henriot</t>
  </si>
  <si>
    <t>Rita Müller</t>
  </si>
  <si>
    <t>Pirkko Koskitalo</t>
  </si>
  <si>
    <t>Paula Parente</t>
  </si>
  <si>
    <t>Karl Jablonski</t>
  </si>
  <si>
    <t>Matti Karttunen</t>
  </si>
  <si>
    <t>Zbyszek Piestrzeniewicz</t>
  </si>
  <si>
    <t>030-0074321</t>
  </si>
  <si>
    <t>(5) 555-4729</t>
  </si>
  <si>
    <t>(5) 555-3932</t>
  </si>
  <si>
    <t>(171) 555-7788</t>
  </si>
  <si>
    <t>0921-12 34 65</t>
  </si>
  <si>
    <t>0621-08460</t>
  </si>
  <si>
    <t>88.60.15.31</t>
  </si>
  <si>
    <t>(91) 555 22 82</t>
  </si>
  <si>
    <t>91.24.45.40</t>
  </si>
  <si>
    <t>(604) 555-4729</t>
  </si>
  <si>
    <t>(171) 555-1212</t>
  </si>
  <si>
    <t>(1) 135-5555</t>
  </si>
  <si>
    <t>(5) 555-3392</t>
  </si>
  <si>
    <t>0452-076545</t>
  </si>
  <si>
    <t>(11) 555-7647</t>
  </si>
  <si>
    <t>(171) 555-2282</t>
  </si>
  <si>
    <t>0241-039123</t>
  </si>
  <si>
    <t>40.67.88.88</t>
  </si>
  <si>
    <t>(171) 555-0297</t>
  </si>
  <si>
    <t>7675-3425</t>
  </si>
  <si>
    <t>(11) 555-9857</t>
  </si>
  <si>
    <t>(91) 555 94 44</t>
  </si>
  <si>
    <t>20.16.10.16</t>
  </si>
  <si>
    <t>0695-34 67 21</t>
  </si>
  <si>
    <t>089-0877310</t>
  </si>
  <si>
    <t>40.32.21.21</t>
  </si>
  <si>
    <t>011-4988260</t>
  </si>
  <si>
    <t>(1) 354-2534</t>
  </si>
  <si>
    <t>(93) 203 4560</t>
  </si>
  <si>
    <t>(95) 555 82 82</t>
  </si>
  <si>
    <t>(11) 555-9482</t>
  </si>
  <si>
    <t>(503) 555-7555</t>
  </si>
  <si>
    <t>(2) 283-2951</t>
  </si>
  <si>
    <t>(21) 555-0091</t>
  </si>
  <si>
    <t>(5) 555-1340</t>
  </si>
  <si>
    <t>(503) 555-6874</t>
  </si>
  <si>
    <t>2967 542</t>
  </si>
  <si>
    <t>(198) 555-8888</t>
  </si>
  <si>
    <t>0555-09876</t>
  </si>
  <si>
    <t>30.59.84.10</t>
  </si>
  <si>
    <t>61.77.61.10</t>
  </si>
  <si>
    <t>(604) 555-3392</t>
  </si>
  <si>
    <t>(509) 555-7969</t>
  </si>
  <si>
    <t>069-0245984</t>
  </si>
  <si>
    <t>(415) 555-5938</t>
  </si>
  <si>
    <t>(9) 331-6954</t>
  </si>
  <si>
    <t>(8) 34-56-12</t>
  </si>
  <si>
    <t>(503) 555-9573</t>
  </si>
  <si>
    <t>035-640230</t>
  </si>
  <si>
    <t>(02) 201 24 67</t>
  </si>
  <si>
    <t>(514) 555-8054</t>
  </si>
  <si>
    <t>0342-023176</t>
  </si>
  <si>
    <t>(171) 555-7733</t>
  </si>
  <si>
    <t>(1) 135-5333</t>
  </si>
  <si>
    <t>(907) 555-7584</t>
  </si>
  <si>
    <t>0221-0644327</t>
  </si>
  <si>
    <t>(1) 42.34.22.66</t>
  </si>
  <si>
    <t>(5) 552-3745</t>
  </si>
  <si>
    <t>6562-9722</t>
  </si>
  <si>
    <t>(1) 356-5634</t>
  </si>
  <si>
    <t>(21) 555-4252</t>
  </si>
  <si>
    <t>(11) 555-1189</t>
  </si>
  <si>
    <t>0372-035188</t>
  </si>
  <si>
    <t>(1) 123-5555</t>
  </si>
  <si>
    <t>(505) 555-5939</t>
  </si>
  <si>
    <t>0522-556721</t>
  </si>
  <si>
    <t>(21) 555-3412</t>
  </si>
  <si>
    <t>0897-034214</t>
  </si>
  <si>
    <t>(91) 745 6200</t>
  </si>
  <si>
    <t>07-98 92 35</t>
  </si>
  <si>
    <t>(208) 555-8097</t>
  </si>
  <si>
    <t>(171) 555-1717</t>
  </si>
  <si>
    <t>31 12 34 56</t>
  </si>
  <si>
    <t>(1) 47.55.60.10</t>
  </si>
  <si>
    <t>(307) 555-4680</t>
  </si>
  <si>
    <t>(071) 23 67 22 20</t>
  </si>
  <si>
    <t>(503) 555-3612</t>
  </si>
  <si>
    <t>(406) 555-5834</t>
  </si>
  <si>
    <t>0251-031259</t>
  </si>
  <si>
    <t>(5) 555-2933</t>
  </si>
  <si>
    <t>(11) 555-2167</t>
  </si>
  <si>
    <t>(206) 555-8257</t>
  </si>
  <si>
    <t>86 21 32 43</t>
  </si>
  <si>
    <t>78.32.54.86</t>
  </si>
  <si>
    <t>26.47.15.10</t>
  </si>
  <si>
    <t>0711-020361</t>
  </si>
  <si>
    <t>981-443655</t>
  </si>
  <si>
    <t>(14) 555-8122</t>
  </si>
  <si>
    <t>(206) 555-4112</t>
  </si>
  <si>
    <t>90-224 8858</t>
  </si>
  <si>
    <t>(26) 642-7012</t>
  </si>
  <si>
    <t>Obere Str. 57</t>
  </si>
  <si>
    <t>Avda. de la Constitución 2222</t>
  </si>
  <si>
    <t>Mataderos  2312</t>
  </si>
  <si>
    <t>120 Hanover Sq.</t>
  </si>
  <si>
    <t>Berguvsvägen  8</t>
  </si>
  <si>
    <t>Forsterstr. 57</t>
  </si>
  <si>
    <t>24, place Kléber</t>
  </si>
  <si>
    <t>C/ Araquil, 67</t>
  </si>
  <si>
    <t>12, rue des Bouchers</t>
  </si>
  <si>
    <t>23 Tsawassen Blvd.</t>
  </si>
  <si>
    <t>Fauntleroy Circus</t>
  </si>
  <si>
    <t>Cerrito 333</t>
  </si>
  <si>
    <t>Sierras de Granada 9993</t>
  </si>
  <si>
    <t>Hauptstr. 29</t>
  </si>
  <si>
    <t>Av. dos Lusíadas, 23</t>
  </si>
  <si>
    <t>Berkeley Gardens_x000D_
12  Brewery</t>
  </si>
  <si>
    <t>Walserweg 21</t>
  </si>
  <si>
    <t>67, rue des Cinquante Otages</t>
  </si>
  <si>
    <t>35 King George</t>
  </si>
  <si>
    <t>Kirchgasse 6</t>
  </si>
  <si>
    <t>Rua Orós, 92</t>
  </si>
  <si>
    <t>C/ Moralzarzal, 86</t>
  </si>
  <si>
    <t>184, chaussée de Tournai</t>
  </si>
  <si>
    <t>Åkergatan 24</t>
  </si>
  <si>
    <t>Berliner Platz 43</t>
  </si>
  <si>
    <t>54, rue Royale</t>
  </si>
  <si>
    <t>Via Monte Bianco 34</t>
  </si>
  <si>
    <t>Jardim das rosas n. 32</t>
  </si>
  <si>
    <t>Rambla de Cataluña, 23</t>
  </si>
  <si>
    <t>C/ Romero, 33</t>
  </si>
  <si>
    <t>Av. Brasil, 442</t>
  </si>
  <si>
    <t>2732 Baker Blvd.</t>
  </si>
  <si>
    <t>5ª Ave. Los Palos Grandes</t>
  </si>
  <si>
    <t>Rua do Paço, 67</t>
  </si>
  <si>
    <t>Carrera 22 con Ave. Carlos Soublette #8-35</t>
  </si>
  <si>
    <t>City Center Plaza_x000D_
516 Main St.</t>
  </si>
  <si>
    <t>8 Johnstown Road</t>
  </si>
  <si>
    <t>Garden House_x000D_
Crowther Way</t>
  </si>
  <si>
    <t>Maubelstr. 90</t>
  </si>
  <si>
    <t>67, avenue de l'Europe</t>
  </si>
  <si>
    <t>1 rue Alsace-Lorraine</t>
  </si>
  <si>
    <t>1900 Oak St.</t>
  </si>
  <si>
    <t>12 Orchestra Terrace</t>
  </si>
  <si>
    <t>Magazinweg 7</t>
  </si>
  <si>
    <t>87 Polk St._x000D_
Suite 5</t>
  </si>
  <si>
    <t>Carrera 52 con Ave. Bolívar #65-98 Llano Largo</t>
  </si>
  <si>
    <t>Ave. 5 de Mayo Porlamar</t>
  </si>
  <si>
    <t>89 Chiaroscuro Rd.</t>
  </si>
  <si>
    <t>Via Ludovico il Moro 22</t>
  </si>
  <si>
    <t>Rue Joseph-Bens 532</t>
  </si>
  <si>
    <t>43 rue St. Laurent</t>
  </si>
  <si>
    <t>Heerstr. 22</t>
  </si>
  <si>
    <t>South House_x000D_
300 Queensbridge</t>
  </si>
  <si>
    <t>Ing. Gustavo Moncada 8585_x000D_
Piso 20-A</t>
  </si>
  <si>
    <t>2743 Bering St.</t>
  </si>
  <si>
    <t>Mehrheimerstr. 369</t>
  </si>
  <si>
    <t>265, boulevard Charonne</t>
  </si>
  <si>
    <t>Calle Dr. Jorge Cash 321</t>
  </si>
  <si>
    <t>Geislweg 14</t>
  </si>
  <si>
    <t>Estrada da saúde n. 58</t>
  </si>
  <si>
    <t>Rua da Panificadora, 12</t>
  </si>
  <si>
    <t>Alameda dos Canàrios, 891</t>
  </si>
  <si>
    <t>Taucherstraße 10</t>
  </si>
  <si>
    <t>Av. del Libertador 900</t>
  </si>
  <si>
    <t>2817 Milton Dr.</t>
  </si>
  <si>
    <t>Strada Provinciale 124</t>
  </si>
  <si>
    <t>Av. Copacabana, 267</t>
  </si>
  <si>
    <t>Grenzacherweg 237</t>
  </si>
  <si>
    <t>Gran Vía, 1</t>
  </si>
  <si>
    <t>Erling Skakkes gate 78</t>
  </si>
  <si>
    <t>187 Suffolk Ln.</t>
  </si>
  <si>
    <t>90 Wadhurst Rd.</t>
  </si>
  <si>
    <t>Vinbæltet 34</t>
  </si>
  <si>
    <t>25, rue Lauriston</t>
  </si>
  <si>
    <t>P.O. Box 555</t>
  </si>
  <si>
    <t>Boulevard Tirou, 255</t>
  </si>
  <si>
    <t>89 Jefferson Way_x000D_
Suite 2</t>
  </si>
  <si>
    <t>55 Grizzly Peak Rd.</t>
  </si>
  <si>
    <t>Luisenstr. 48</t>
  </si>
  <si>
    <t>Avda. Azteca 123</t>
  </si>
  <si>
    <t>Av. Inês de Castro, 414</t>
  </si>
  <si>
    <t>722 DaVinci Blvd.</t>
  </si>
  <si>
    <t>Smagsløget 45</t>
  </si>
  <si>
    <t>2, rue du Commerce</t>
  </si>
  <si>
    <t>59 rue de l'Abbaye</t>
  </si>
  <si>
    <t>Adenauerallee 900</t>
  </si>
  <si>
    <t>Torikatu 38</t>
  </si>
  <si>
    <t>Rua do Mercado, 12</t>
  </si>
  <si>
    <t>305 - 14th Ave. S._x000D_
Suite 3B</t>
  </si>
  <si>
    <t>Keskuskatu 45</t>
  </si>
  <si>
    <t>ul. Filtrowa 68</t>
  </si>
  <si>
    <t>030-0076545</t>
  </si>
  <si>
    <t>(5) 555-3745</t>
  </si>
  <si>
    <t>(171) 555-6750</t>
  </si>
  <si>
    <t>0921-12 34 67</t>
  </si>
  <si>
    <t>0621-08924</t>
  </si>
  <si>
    <t>88.60.15.32</t>
  </si>
  <si>
    <t>(91) 555 91 99</t>
  </si>
  <si>
    <t>91.24.45.41</t>
  </si>
  <si>
    <t>(604) 555-3745</t>
  </si>
  <si>
    <t>(1) 135-4892</t>
  </si>
  <si>
    <t>(5) 555-7293</t>
  </si>
  <si>
    <t>(171) 555-9199</t>
  </si>
  <si>
    <t>0241-059428</t>
  </si>
  <si>
    <t>40.67.89.89</t>
  </si>
  <si>
    <t>(171) 555-3373</t>
  </si>
  <si>
    <t>7675-3426</t>
  </si>
  <si>
    <t>(91) 555 55 93</t>
  </si>
  <si>
    <t>20.16.10.17</t>
  </si>
  <si>
    <t>089-0877451</t>
  </si>
  <si>
    <t>40.32.21.20</t>
  </si>
  <si>
    <t>011-4988261</t>
  </si>
  <si>
    <t>(1) 354-2535</t>
  </si>
  <si>
    <t>(93) 203 4561</t>
  </si>
  <si>
    <t>(2) 283-3397</t>
  </si>
  <si>
    <t>(21) 555-8765</t>
  </si>
  <si>
    <t>(5) 555-1948</t>
  </si>
  <si>
    <t>(503) 555-2376</t>
  </si>
  <si>
    <t>2967 3333</t>
  </si>
  <si>
    <t>30.59.85.11</t>
  </si>
  <si>
    <t>61.77.61.11</t>
  </si>
  <si>
    <t>(604) 555-7293</t>
  </si>
  <si>
    <t>(509) 555-6221</t>
  </si>
  <si>
    <t>069-0245874</t>
  </si>
  <si>
    <t>(9) 331-7256</t>
  </si>
  <si>
    <t>(8) 34-93-93</t>
  </si>
  <si>
    <t>(503) 555-9646</t>
  </si>
  <si>
    <t>035-640231</t>
  </si>
  <si>
    <t>(02) 201 24 68</t>
  </si>
  <si>
    <t>(514) 555-8055</t>
  </si>
  <si>
    <t>(171) 555-2530</t>
  </si>
  <si>
    <t>(1) 135-5535</t>
  </si>
  <si>
    <t>(907) 555-2880</t>
  </si>
  <si>
    <t>0221-0765721</t>
  </si>
  <si>
    <t>(1) 42.34.22.77</t>
  </si>
  <si>
    <t>(5) 545-3745</t>
  </si>
  <si>
    <t>6562-9723</t>
  </si>
  <si>
    <t>(21) 555-4545</t>
  </si>
  <si>
    <t>(1) 123-5556</t>
  </si>
  <si>
    <t>(505) 555-3620</t>
  </si>
  <si>
    <t>0522-556722</t>
  </si>
  <si>
    <t>(91) 745 6210</t>
  </si>
  <si>
    <t>07-98 92 47</t>
  </si>
  <si>
    <t>(171) 555-5646</t>
  </si>
  <si>
    <t>31 13 35 57</t>
  </si>
  <si>
    <t>(1) 47.55.60.20</t>
  </si>
  <si>
    <t>(307) 555-6525</t>
  </si>
  <si>
    <t>(071) 23 67 22 21</t>
  </si>
  <si>
    <t>(406) 555-8083</t>
  </si>
  <si>
    <t>0251-035695</t>
  </si>
  <si>
    <t>(11) 555-2168</t>
  </si>
  <si>
    <t>(206) 555-2174</t>
  </si>
  <si>
    <t>86 22 33 44</t>
  </si>
  <si>
    <t>78.32.54.87</t>
  </si>
  <si>
    <t>26.47.15.11</t>
  </si>
  <si>
    <t>0711-035428</t>
  </si>
  <si>
    <t>(206) 555-4115</t>
  </si>
  <si>
    <t>correocliente@gmail.com</t>
  </si>
  <si>
    <t>Chai</t>
  </si>
  <si>
    <t>Chang</t>
  </si>
  <si>
    <t>Jarabe de anís</t>
  </si>
  <si>
    <t>Condimento Cajún del Chef Anton</t>
  </si>
  <si>
    <t>Mezcla de Gumbo del Chef Anton</t>
  </si>
  <si>
    <t>Crema de arándanos de la abuela</t>
  </si>
  <si>
    <t>Peras secas orgánicas del tío Bob</t>
  </si>
  <si>
    <t>Salsa de arándanos Northwoods</t>
  </si>
  <si>
    <t>Mishi Kobe Niku</t>
  </si>
  <si>
    <t>Ikura</t>
  </si>
  <si>
    <t>Queso Cabrales</t>
  </si>
  <si>
    <t>Queso Manchego La Pastora</t>
  </si>
  <si>
    <t>Konbu</t>
  </si>
  <si>
    <t>tofu</t>
  </si>
  <si>
    <t>Genes Shouyu</t>
  </si>
  <si>
    <t>Pavlova</t>
  </si>
  <si>
    <t>Alice Cordero</t>
  </si>
  <si>
    <t>Tigres de Carnarvon</t>
  </si>
  <si>
    <t>Galletas de chocolate a la hora del té</t>
  </si>
  <si>
    <t>Mermelada de Sir Rodney</t>
  </si>
  <si>
    <t>Scones de Sir Rodney</t>
  </si>
  <si>
    <t>Pan crujiente de Gustaf</t>
  </si>
  <si>
    <t>Pan plano</t>
  </si>
  <si>
    <t>Guaraná Fantástica</t>
  </si>
  <si>
    <t>Crema de Turrón de Nueces NuNuCa</t>
  </si>
  <si>
    <t>Gummär Gummibärchen</t>
  </si>
  <si>
    <t>Chocolate Schoggi</t>
  </si>
  <si>
    <t>Chucrut Rössle</t>
  </si>
  <si>
    <t>Salchicha asada de Turingia</t>
  </si>
  <si>
    <t>Nord-Ost Matjeshering</t>
  </si>
  <si>
    <t>Gorgonzola Telino</t>
  </si>
  <si>
    <t>Mascarpone Fabioli</t>
  </si>
  <si>
    <t>Queso de cabra</t>
  </si>
  <si>
    <t>Sasquatch Ale</t>
  </si>
  <si>
    <t>Steeleye Stout</t>
  </si>
  <si>
    <t>Arenque en escabeche</t>
  </si>
  <si>
    <t>Gravad laxo</t>
  </si>
  <si>
    <t>Côte de Blaye</t>
  </si>
  <si>
    <t>Chartreuse verde</t>
  </si>
  <si>
    <t>Carne de cangrejo de Boston</t>
  </si>
  <si>
    <t>Sopa de almejas de Nueva Inglaterra de Jack</t>
  </si>
  <si>
    <t>Fried Mee de hockey de Singapur</t>
  </si>
  <si>
    <t>Café Ipoh</t>
  </si>
  <si>
    <t>Gula Malacca</t>
  </si>
  <si>
    <t>Arenque ahumado</t>
  </si>
  <si>
    <t>arenque</t>
  </si>
  <si>
    <t>Tortas Zaanse</t>
  </si>
  <si>
    <t>Chocolate</t>
  </si>
  <si>
    <t>Maxilaku</t>
  </si>
  <si>
    <t>Valkoinen suklaa</t>
  </si>
  <si>
    <t>Manjimup Dry Apples</t>
  </si>
  <si>
    <t>Filo Mix</t>
  </si>
  <si>
    <t>Empanadas de Perth</t>
  </si>
  <si>
    <t>Tourtière</t>
  </si>
  <si>
    <t>Paté chino</t>
  </si>
  <si>
    <t>Gnocchi di nonna Alice</t>
  </si>
  <si>
    <t>Ravioli Angelo</t>
  </si>
  <si>
    <t>Escorts borgoña</t>
  </si>
  <si>
    <t>Raclette Courdavault</t>
  </si>
  <si>
    <t>Pierrot camembert</t>
  </si>
  <si>
    <t>miel de maple</t>
  </si>
  <si>
    <t>Tarta de azúcar</t>
  </si>
  <si>
    <t>Crema de verduras</t>
  </si>
  <si>
    <t>El buen Semmelknödel de Wimmer</t>
  </si>
  <si>
    <t>Salsa de pimiento picante de Luisiana</t>
  </si>
  <si>
    <t>Okra picante de Louisiana</t>
  </si>
  <si>
    <t>Lager de leñador riendo</t>
  </si>
  <si>
    <t>Pan largo escocés</t>
  </si>
  <si>
    <t>Gudbrandsdalsost</t>
  </si>
  <si>
    <t>Outback Lager</t>
  </si>
  <si>
    <t>Queso crema</t>
  </si>
  <si>
    <t>Mozzarella di Giovanni</t>
  </si>
  <si>
    <t>Caviar rojo</t>
  </si>
  <si>
    <t>Tofu de larga duración</t>
  </si>
  <si>
    <t>Rhönbräu Klosterbier</t>
  </si>
  <si>
    <t>Lakkalikööri</t>
  </si>
  <si>
    <t>Salsa verde original de Frankfurt</t>
  </si>
  <si>
    <t>LISTA DE PRODUCTOS</t>
  </si>
  <si>
    <t>ID Producto</t>
  </si>
  <si>
    <t>Producto</t>
  </si>
  <si>
    <t>Notas Especiales e Instrucciones</t>
  </si>
  <si>
    <t>2.- Por favor incluir en número de factura de pago en su cheque o depósito bancario</t>
  </si>
  <si>
    <t>1.- Terminos de pago son 20 días después de la fecha de la factura.</t>
  </si>
  <si>
    <t>Kg</t>
  </si>
  <si>
    <t>lb</t>
  </si>
  <si>
    <t>und</t>
  </si>
  <si>
    <t>Fecha de Pago:</t>
  </si>
  <si>
    <t>Suma</t>
  </si>
  <si>
    <t>Subtotal</t>
  </si>
  <si>
    <t>ID Cliente: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</si>
</sst>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&quot;S/&quot;#,##0.00"/>
  </numFmts>
  <fonts count="24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0"/>
      <color theme="1"/>
      <name val="Segoe UI"/>
      <family val="2"/>
    </font>
    <font>
      <u/>
      <sz val="11"/>
      <color theme="10"/>
      <name val="Century Gothic"/>
      <family val="2"/>
      <scheme val="minor"/>
    </font>
    <font>
      <sz val="11"/>
      <color theme="1"/>
      <name val="Segoe UI"/>
      <family val="2"/>
    </font>
    <font>
      <b/>
      <sz val="14"/>
      <color theme="1"/>
      <name val="Segoe UI"/>
      <family val="2"/>
    </font>
    <font>
      <b/>
      <sz val="11"/>
      <color theme="0"/>
      <name val="Segoe UI"/>
      <family val="2"/>
    </font>
    <font>
      <b/>
      <sz val="20"/>
      <color theme="4"/>
      <name val="Segoe UI"/>
      <family val="2"/>
    </font>
    <font>
      <b/>
      <sz val="15"/>
      <color theme="4"/>
      <name val="Segoe UI"/>
      <family val="2"/>
    </font>
    <font>
      <b/>
      <sz val="12"/>
      <color theme="1"/>
      <name val="Segoe UI"/>
      <family val="2"/>
    </font>
    <font>
      <b/>
      <sz val="11"/>
      <color theme="1"/>
      <name val="Segoe UI"/>
      <family val="2"/>
    </font>
    <font>
      <b/>
      <sz val="12"/>
      <name val="Segoe UI"/>
      <family val="2"/>
    </font>
    <font>
      <u/>
      <sz val="11"/>
      <color theme="10"/>
      <name val="Segoe UI"/>
      <family val="2"/>
    </font>
    <font>
      <sz val="12"/>
      <color theme="1"/>
      <name val="Segoe UI"/>
      <family val="2"/>
    </font>
    <font>
      <sz val="11"/>
      <name val="Segoe UI"/>
      <family val="2"/>
    </font>
    <font>
      <b/>
      <sz val="11"/>
      <name val="Segoe UI"/>
      <family val="2"/>
    </font>
    <font>
      <sz val="11"/>
      <color theme="4"/>
      <name val="Segoe UI"/>
      <family val="2"/>
    </font>
    <font>
      <sz val="10"/>
      <name val="Trebuchet MS"/>
      <family val="2"/>
    </font>
    <font>
      <b/>
      <sz val="13"/>
      <color indexed="9"/>
      <name val="Segoe UI"/>
      <family val="2"/>
    </font>
    <font>
      <b/>
      <sz val="10"/>
      <color indexed="9"/>
      <name val="Segoe UI"/>
      <family val="2"/>
    </font>
    <font>
      <sz val="10"/>
      <name val="Segoe UI"/>
      <family val="2"/>
    </font>
    <font>
      <sz val="14"/>
      <color theme="1"/>
      <name val="Segoe UI"/>
      <family val="2"/>
    </font>
    <font>
      <b/>
      <sz val="11"/>
      <color theme="4"/>
      <name val="Segoe UI"/>
      <family val="2"/>
    </font>
    <font>
      <b/>
      <sz val="18"/>
      <color theme="4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rgb="FF002060"/>
      </bottom>
      <diagonal/>
    </border>
    <border>
      <left style="medium">
        <color indexed="64"/>
      </left>
      <right style="thin">
        <color theme="3" tint="0.79998168889431442"/>
      </right>
      <top style="medium">
        <color indexed="64"/>
      </top>
      <bottom style="thin">
        <color theme="3" tint="0.7999816888943144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3" tint="0.79998168889431442"/>
      </right>
      <top style="thin">
        <color theme="3" tint="0.79998168889431442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C000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17" fillId="0" borderId="0"/>
  </cellStyleXfs>
  <cellXfs count="85">
    <xf numFmtId="0" fontId="0" fillId="0" borderId="0" xfId="0"/>
    <xf numFmtId="0" fontId="4" fillId="2" borderId="0" xfId="0" applyFont="1" applyFill="1" applyAlignment="1" applyProtection="1">
      <alignment vertical="center"/>
      <protection locked="0"/>
    </xf>
    <xf numFmtId="0" fontId="5" fillId="2" borderId="0" xfId="0" applyFont="1" applyFill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8" fillId="2" borderId="0" xfId="0" applyFont="1" applyFill="1" applyAlignment="1" applyProtection="1">
      <alignment vertical="center"/>
      <protection locked="0"/>
    </xf>
    <xf numFmtId="49" fontId="4" fillId="2" borderId="0" xfId="0" applyNumberFormat="1" applyFont="1" applyFill="1" applyAlignment="1" applyProtection="1">
      <alignment horizontal="left" vertical="center"/>
      <protection locked="0"/>
    </xf>
    <xf numFmtId="14" fontId="9" fillId="2" borderId="3" xfId="0" applyNumberFormat="1" applyFont="1" applyFill="1" applyBorder="1" applyAlignment="1" applyProtection="1">
      <alignment horizontal="center" vertical="center"/>
      <protection locked="0"/>
    </xf>
    <xf numFmtId="0" fontId="11" fillId="4" borderId="6" xfId="0" applyFont="1" applyFill="1" applyBorder="1" applyAlignment="1" applyProtection="1">
      <alignment horizontal="center" vertical="center"/>
      <protection locked="0"/>
    </xf>
    <xf numFmtId="0" fontId="12" fillId="2" borderId="0" xfId="2" applyFont="1" applyFill="1" applyAlignment="1" applyProtection="1">
      <alignment horizontal="left" vertical="center"/>
      <protection locked="0"/>
    </xf>
    <xf numFmtId="0" fontId="9" fillId="2" borderId="6" xfId="0" applyFont="1" applyFill="1" applyBorder="1" applyAlignment="1" applyProtection="1">
      <alignment horizontal="center" vertical="center"/>
      <protection locked="0"/>
    </xf>
    <xf numFmtId="0" fontId="10" fillId="4" borderId="7" xfId="0" applyFont="1" applyFill="1" applyBorder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6" fillId="3" borderId="0" xfId="0" applyFont="1" applyFill="1" applyAlignment="1" applyProtection="1">
      <alignment vertical="center"/>
      <protection locked="0"/>
    </xf>
    <xf numFmtId="0" fontId="13" fillId="2" borderId="0" xfId="0" applyFont="1" applyFill="1" applyAlignment="1" applyProtection="1">
      <alignment horizontal="left" vertical="center"/>
      <protection locked="0"/>
    </xf>
    <xf numFmtId="0" fontId="6" fillId="5" borderId="10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164" fontId="6" fillId="5" borderId="11" xfId="3" applyFont="1" applyFill="1" applyBorder="1" applyAlignment="1" applyProtection="1">
      <alignment horizontal="center" vertical="center"/>
      <protection locked="0"/>
    </xf>
    <xf numFmtId="164" fontId="6" fillId="5" borderId="12" xfId="3" applyFont="1" applyFill="1" applyBorder="1" applyAlignment="1" applyProtection="1">
      <alignment horizontal="center" vertical="center"/>
      <protection locked="0"/>
    </xf>
    <xf numFmtId="0" fontId="14" fillId="0" borderId="13" xfId="0" applyFont="1" applyBorder="1" applyAlignment="1" applyProtection="1">
      <alignment horizontal="center" vertical="center"/>
      <protection locked="0"/>
    </xf>
    <xf numFmtId="0" fontId="14" fillId="0" borderId="13" xfId="0" applyFont="1" applyBorder="1" applyAlignment="1" applyProtection="1">
      <alignment horizontal="left" vertical="center"/>
      <protection locked="0"/>
    </xf>
    <xf numFmtId="0" fontId="4" fillId="0" borderId="13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 applyProtection="1">
      <alignment vertical="center"/>
      <protection locked="0"/>
    </xf>
    <xf numFmtId="0" fontId="14" fillId="0" borderId="15" xfId="0" applyFont="1" applyBorder="1" applyAlignment="1" applyProtection="1">
      <alignment horizontal="left" vertical="center"/>
      <protection locked="0"/>
    </xf>
    <xf numFmtId="0" fontId="14" fillId="2" borderId="0" xfId="0" applyFont="1" applyFill="1" applyAlignment="1" applyProtection="1">
      <alignment horizontal="left"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4" fillId="0" borderId="0" xfId="0" applyFont="1" applyAlignment="1" applyProtection="1">
      <alignment vertical="center" wrapText="1"/>
      <protection locked="0"/>
    </xf>
    <xf numFmtId="165" fontId="19" fillId="0" borderId="0" xfId="1" applyNumberFormat="1" applyFont="1" applyFill="1" applyBorder="1" applyAlignment="1" applyProtection="1">
      <alignment horizontal="left" vertical="center"/>
      <protection locked="0"/>
    </xf>
    <xf numFmtId="0" fontId="13" fillId="0" borderId="0" xfId="0" applyFont="1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vertical="center"/>
      <protection locked="0"/>
    </xf>
    <xf numFmtId="0" fontId="21" fillId="2" borderId="0" xfId="0" applyFont="1" applyFill="1" applyAlignment="1" applyProtection="1">
      <alignment horizontal="center" vertical="center"/>
      <protection locked="0"/>
    </xf>
    <xf numFmtId="0" fontId="20" fillId="0" borderId="0" xfId="4" applyFont="1" applyAlignment="1" applyProtection="1">
      <alignment vertical="center"/>
      <protection locked="0"/>
    </xf>
    <xf numFmtId="0" fontId="22" fillId="0" borderId="0" xfId="0" applyFont="1" applyAlignment="1" applyProtection="1">
      <alignment vertical="center"/>
      <protection locked="0"/>
    </xf>
    <xf numFmtId="0" fontId="4" fillId="0" borderId="18" xfId="0" applyFont="1" applyBorder="1" applyAlignment="1" applyProtection="1">
      <alignment vertical="center"/>
      <protection locked="0"/>
    </xf>
    <xf numFmtId="0" fontId="22" fillId="0" borderId="18" xfId="0" applyFont="1" applyBorder="1" applyAlignment="1" applyProtection="1">
      <alignment vertical="center"/>
      <protection locked="0"/>
    </xf>
    <xf numFmtId="0" fontId="4" fillId="0" borderId="0" xfId="0" applyFont="1"/>
    <xf numFmtId="0" fontId="6" fillId="3" borderId="0" xfId="0" applyFont="1" applyFill="1" applyAlignment="1">
      <alignment horizontal="center"/>
    </xf>
    <xf numFmtId="0" fontId="4" fillId="2" borderId="0" xfId="0" applyFont="1" applyFill="1"/>
    <xf numFmtId="0" fontId="3" fillId="0" borderId="0" xfId="2"/>
    <xf numFmtId="0" fontId="4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9" fillId="2" borderId="1" xfId="0" applyFont="1" applyFill="1" applyBorder="1" applyAlignment="1" applyProtection="1">
      <alignment horizontal="right" vertical="center"/>
      <protection locked="0"/>
    </xf>
    <xf numFmtId="0" fontId="9" fillId="4" borderId="4" xfId="0" applyFont="1" applyFill="1" applyBorder="1" applyAlignment="1" applyProtection="1">
      <alignment horizontal="right" vertical="center"/>
      <protection locked="0"/>
    </xf>
    <xf numFmtId="0" fontId="9" fillId="2" borderId="4" xfId="0" applyFont="1" applyFill="1" applyBorder="1" applyAlignment="1" applyProtection="1">
      <alignment horizontal="right" vertical="center"/>
      <protection locked="0"/>
    </xf>
    <xf numFmtId="0" fontId="23" fillId="2" borderId="27" xfId="0" applyFont="1" applyFill="1" applyBorder="1" applyAlignment="1">
      <alignment horizontal="left"/>
    </xf>
    <xf numFmtId="0" fontId="4" fillId="2" borderId="27" xfId="0" applyFont="1" applyFill="1" applyBorder="1"/>
    <xf numFmtId="44" fontId="4" fillId="2" borderId="0" xfId="1" applyFont="1" applyFill="1"/>
    <xf numFmtId="44" fontId="6" fillId="3" borderId="0" xfId="1" applyFont="1" applyFill="1" applyAlignment="1">
      <alignment horizontal="center"/>
    </xf>
    <xf numFmtId="44" fontId="4" fillId="0" borderId="0" xfId="1" applyFont="1"/>
    <xf numFmtId="14" fontId="9" fillId="4" borderId="9" xfId="0" applyNumberFormat="1" applyFont="1" applyFill="1" applyBorder="1" applyAlignment="1" applyProtection="1">
      <alignment horizontal="center" vertical="center"/>
      <protection locked="0"/>
    </xf>
    <xf numFmtId="44" fontId="14" fillId="0" borderId="13" xfId="1" applyFont="1" applyBorder="1" applyAlignment="1" applyProtection="1">
      <alignment horizontal="center" vertical="center"/>
      <protection locked="0"/>
    </xf>
    <xf numFmtId="44" fontId="14" fillId="0" borderId="13" xfId="1" applyFont="1" applyBorder="1" applyAlignment="1" applyProtection="1">
      <alignment horizontal="center" vertical="center"/>
    </xf>
    <xf numFmtId="44" fontId="14" fillId="0" borderId="15" xfId="1" applyFont="1" applyBorder="1" applyAlignment="1" applyProtection="1">
      <alignment horizontal="center" vertical="center"/>
      <protection locked="0"/>
    </xf>
    <xf numFmtId="44" fontId="14" fillId="0" borderId="14" xfId="1" applyFont="1" applyBorder="1" applyAlignment="1" applyProtection="1">
      <alignment horizontal="center" vertical="center"/>
    </xf>
    <xf numFmtId="44" fontId="4" fillId="2" borderId="0" xfId="1" applyFont="1" applyFill="1" applyAlignment="1" applyProtection="1">
      <alignment vertical="center"/>
      <protection locked="0"/>
    </xf>
    <xf numFmtId="44" fontId="6" fillId="3" borderId="19" xfId="1" applyFont="1" applyFill="1" applyBorder="1" applyAlignment="1" applyProtection="1">
      <alignment vertical="center"/>
      <protection locked="0"/>
    </xf>
    <xf numFmtId="44" fontId="10" fillId="0" borderId="20" xfId="1" applyFont="1" applyBorder="1" applyAlignment="1" applyProtection="1">
      <alignment vertical="center"/>
      <protection locked="0"/>
    </xf>
    <xf numFmtId="44" fontId="6" fillId="3" borderId="21" xfId="1" applyFont="1" applyFill="1" applyBorder="1" applyAlignment="1" applyProtection="1">
      <alignment vertical="center"/>
      <protection locked="0"/>
    </xf>
    <xf numFmtId="44" fontId="10" fillId="0" borderId="22" xfId="1" applyFont="1" applyBorder="1" applyAlignment="1" applyProtection="1">
      <alignment vertical="center"/>
      <protection locked="0"/>
    </xf>
    <xf numFmtId="44" fontId="6" fillId="3" borderId="23" xfId="1" applyFont="1" applyFill="1" applyBorder="1" applyAlignment="1" applyProtection="1">
      <alignment vertical="center"/>
      <protection locked="0"/>
    </xf>
    <xf numFmtId="44" fontId="10" fillId="0" borderId="24" xfId="1" applyFont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6" fillId="3" borderId="25" xfId="0" applyFont="1" applyFill="1" applyBorder="1" applyAlignment="1" applyProtection="1">
      <alignment horizontal="center" vertical="center"/>
      <protection locked="0"/>
    </xf>
    <xf numFmtId="0" fontId="6" fillId="3" borderId="26" xfId="0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top"/>
      <protection locked="0"/>
    </xf>
    <xf numFmtId="0" fontId="4" fillId="0" borderId="2" xfId="0" applyFont="1" applyBorder="1" applyAlignment="1" applyProtection="1">
      <alignment horizontal="left" vertical="top"/>
      <protection locked="0"/>
    </xf>
    <xf numFmtId="0" fontId="4" fillId="0" borderId="4" xfId="0" applyFont="1" applyBorder="1" applyAlignment="1" applyProtection="1">
      <alignment horizontal="left" vertical="top"/>
      <protection locked="0"/>
    </xf>
    <xf numFmtId="0" fontId="4" fillId="0" borderId="5" xfId="0" applyFont="1" applyBorder="1" applyAlignment="1" applyProtection="1">
      <alignment horizontal="left" vertical="top"/>
      <protection locked="0"/>
    </xf>
    <xf numFmtId="0" fontId="4" fillId="0" borderId="7" xfId="0" applyFont="1" applyBorder="1" applyAlignment="1" applyProtection="1">
      <alignment horizontal="left" vertical="top"/>
      <protection locked="0"/>
    </xf>
    <xf numFmtId="0" fontId="4" fillId="0" borderId="8" xfId="0" applyFont="1" applyBorder="1" applyAlignment="1" applyProtection="1">
      <alignment horizontal="left" vertical="top"/>
      <protection locked="0"/>
    </xf>
    <xf numFmtId="0" fontId="18" fillId="3" borderId="16" xfId="4" applyFont="1" applyFill="1" applyBorder="1" applyAlignment="1" applyProtection="1">
      <alignment horizontal="center" vertical="center"/>
      <protection locked="0"/>
    </xf>
    <xf numFmtId="0" fontId="18" fillId="3" borderId="17" xfId="4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left" vertical="top"/>
      <protection locked="0"/>
    </xf>
    <xf numFmtId="0" fontId="2" fillId="0" borderId="2" xfId="0" applyFont="1" applyBorder="1" applyAlignment="1" applyProtection="1">
      <alignment horizontal="left" vertical="top"/>
      <protection locked="0"/>
    </xf>
    <xf numFmtId="0" fontId="2" fillId="0" borderId="4" xfId="0" applyFont="1" applyBorder="1" applyAlignment="1" applyProtection="1">
      <alignment horizontal="left" vertical="top" wrapText="1"/>
      <protection locked="0"/>
    </xf>
    <xf numFmtId="0" fontId="2" fillId="0" borderId="5" xfId="0" applyFont="1" applyBorder="1" applyAlignment="1" applyProtection="1">
      <alignment horizontal="left" vertical="top" wrapText="1"/>
      <protection locked="0"/>
    </xf>
    <xf numFmtId="0" fontId="2" fillId="0" borderId="7" xfId="0" applyFont="1" applyBorder="1" applyAlignment="1" applyProtection="1">
      <alignment horizontal="left" vertical="top" wrapText="1"/>
      <protection locked="0"/>
    </xf>
    <xf numFmtId="0" fontId="2" fillId="0" borderId="8" xfId="0" applyFont="1" applyBorder="1" applyAlignment="1" applyProtection="1">
      <alignment horizontal="left" vertical="top" wrapText="1"/>
      <protection locked="0"/>
    </xf>
  </cellXfs>
  <cellStyles count="5">
    <cellStyle name="Hipervínculo" xfId="2" builtinId="8"/>
    <cellStyle name="Moneda" xfId="1" builtinId="4"/>
    <cellStyle name="Moneda 2" xfId="3" xr:uid="{606A85DE-2593-44B6-8E09-6135F4F3C28D}"/>
    <cellStyle name="Normal" xfId="0" builtinId="0"/>
    <cellStyle name="Normal 2" xfId="4" xr:uid="{F36784D0-9BCC-4EF8-8BB7-74293CED3539}"/>
  </cellStyles>
  <dxfs count="2">
    <dxf>
      <fill>
        <patternFill>
          <bgColor rgb="FFFFFFB3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5" Type="http://schemas.microsoft.com/office/2007/relationships/hdphoto" Target="../media/hdphoto1.wdp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19</xdr:row>
      <xdr:rowOff>103717</xdr:rowOff>
    </xdr:from>
    <xdr:to>
      <xdr:col>8</xdr:col>
      <xdr:colOff>348191</xdr:colOff>
      <xdr:row>20</xdr:row>
      <xdr:rowOff>195678</xdr:rowOff>
    </xdr:to>
    <xdr:pic macro="[0]!EliminarFilas">
      <xdr:nvPicPr>
        <xdr:cNvPr id="2" name="Imagen 1">
          <a:extLst>
            <a:ext uri="{FF2B5EF4-FFF2-40B4-BE49-F238E27FC236}">
              <a16:creationId xmlns:a16="http://schemas.microsoft.com/office/drawing/2014/main" id="{BD8EABB3-22DE-439B-A6CC-23EA12CEB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5492" y="3504142"/>
          <a:ext cx="348191" cy="301511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247121</xdr:colOff>
      <xdr:row>10</xdr:row>
      <xdr:rowOff>81492</xdr:rowOff>
    </xdr:from>
    <xdr:to>
      <xdr:col>9</xdr:col>
      <xdr:colOff>47624</xdr:colOff>
      <xdr:row>13</xdr:row>
      <xdr:rowOff>105298</xdr:rowOff>
    </xdr:to>
    <xdr:pic macro="[0]!Limpiar">
      <xdr:nvPicPr>
        <xdr:cNvPr id="5" name="Imagen 4">
          <a:extLst>
            <a:ext uri="{FF2B5EF4-FFF2-40B4-BE49-F238E27FC236}">
              <a16:creationId xmlns:a16="http://schemas.microsoft.com/office/drawing/2014/main" id="{F04810F5-518D-40C3-9217-920013A8D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346" y="1929342"/>
          <a:ext cx="638703" cy="671506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367140</xdr:colOff>
      <xdr:row>0</xdr:row>
      <xdr:rowOff>34924</xdr:rowOff>
    </xdr:from>
    <xdr:to>
      <xdr:col>2</xdr:col>
      <xdr:colOff>1726143</xdr:colOff>
      <xdr:row>3</xdr:row>
      <xdr:rowOff>213782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DFD134C2-26F3-406A-819F-AA842CF1BC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390" y="34924"/>
          <a:ext cx="2140053" cy="683683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71964</xdr:colOff>
      <xdr:row>4</xdr:row>
      <xdr:rowOff>55032</xdr:rowOff>
    </xdr:from>
    <xdr:to>
      <xdr:col>9</xdr:col>
      <xdr:colOff>101599</xdr:colOff>
      <xdr:row>8</xdr:row>
      <xdr:rowOff>78979</xdr:rowOff>
    </xdr:to>
    <xdr:pic macro="[0]!AbrirFormClientes">
      <xdr:nvPicPr>
        <xdr:cNvPr id="9" name="Imagen 8">
          <a:extLst>
            <a:ext uri="{FF2B5EF4-FFF2-40B4-BE49-F238E27FC236}">
              <a16:creationId xmlns:a16="http://schemas.microsoft.com/office/drawing/2014/main" id="{778E9188-BB47-4798-88EB-21DB8138AE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harpenSoften amount="2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6930" b="7313"/>
        <a:stretch/>
      </xdr:blipFill>
      <xdr:spPr>
        <a:xfrm>
          <a:off x="9273114" y="797982"/>
          <a:ext cx="867835" cy="881197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ofimaticaempresarial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4220F-B16E-42D4-B0C6-76C8CA340ED1}">
  <sheetPr codeName="Hoja1"/>
  <dimension ref="A1:G95"/>
  <sheetViews>
    <sheetView workbookViewId="0">
      <selection activeCell="C8" sqref="C8"/>
    </sheetView>
  </sheetViews>
  <sheetFormatPr baseColWidth="10" defaultRowHeight="16.5" x14ac:dyDescent="0.3"/>
  <cols>
    <col min="1" max="1" width="11" style="46"/>
    <col min="2" max="2" width="37.625" style="40" customWidth="1"/>
    <col min="3" max="3" width="32.875" style="40" customWidth="1"/>
    <col min="4" max="4" width="14.5" style="40" customWidth="1"/>
    <col min="5" max="5" width="30.375" style="40" customWidth="1"/>
    <col min="6" max="6" width="15" style="40" customWidth="1"/>
    <col min="7" max="7" width="31.25" style="40" customWidth="1"/>
    <col min="8" max="16384" width="11" style="40"/>
  </cols>
  <sheetData>
    <row r="1" spans="1:7" s="42" customFormat="1" ht="8.25" customHeight="1" x14ac:dyDescent="0.3">
      <c r="A1" s="44"/>
    </row>
    <row r="2" spans="1:7" s="42" customFormat="1" ht="27" thickBot="1" x14ac:dyDescent="0.5">
      <c r="A2" s="50" t="s">
        <v>32</v>
      </c>
      <c r="B2" s="51"/>
      <c r="C2" s="51"/>
    </row>
    <row r="3" spans="1:7" s="42" customFormat="1" ht="9.75" customHeight="1" thickTop="1" x14ac:dyDescent="0.3">
      <c r="A3" s="44"/>
    </row>
    <row r="4" spans="1:7" x14ac:dyDescent="0.3">
      <c r="A4" s="41" t="s">
        <v>7</v>
      </c>
      <c r="B4" s="41" t="s">
        <v>31</v>
      </c>
      <c r="C4" s="41" t="s">
        <v>27</v>
      </c>
      <c r="D4" s="41" t="s">
        <v>28</v>
      </c>
      <c r="E4" s="41" t="s">
        <v>5</v>
      </c>
      <c r="F4" s="41" t="s">
        <v>3</v>
      </c>
      <c r="G4" s="41" t="s">
        <v>10</v>
      </c>
    </row>
    <row r="5" spans="1:7" x14ac:dyDescent="0.3">
      <c r="A5" s="45">
        <v>100</v>
      </c>
      <c r="B5" t="s">
        <v>124</v>
      </c>
      <c r="C5" t="s">
        <v>33</v>
      </c>
      <c r="D5" t="s">
        <v>397</v>
      </c>
      <c r="E5" s="43" t="s">
        <v>463</v>
      </c>
      <c r="F5" t="s">
        <v>215</v>
      </c>
      <c r="G5" t="s">
        <v>306</v>
      </c>
    </row>
    <row r="6" spans="1:7" x14ac:dyDescent="0.3">
      <c r="A6" s="45">
        <v>101</v>
      </c>
      <c r="B6" t="s">
        <v>125</v>
      </c>
      <c r="C6" t="s">
        <v>34</v>
      </c>
      <c r="D6" t="s">
        <v>398</v>
      </c>
      <c r="E6" s="43" t="s">
        <v>463</v>
      </c>
      <c r="F6" t="s">
        <v>216</v>
      </c>
      <c r="G6" t="s">
        <v>307</v>
      </c>
    </row>
    <row r="7" spans="1:7" x14ac:dyDescent="0.3">
      <c r="A7" s="45">
        <v>102</v>
      </c>
      <c r="B7" t="s">
        <v>126</v>
      </c>
      <c r="C7" t="s">
        <v>35</v>
      </c>
      <c r="D7"/>
      <c r="E7" s="43" t="s">
        <v>463</v>
      </c>
      <c r="F7" t="s">
        <v>217</v>
      </c>
      <c r="G7" t="s">
        <v>308</v>
      </c>
    </row>
    <row r="8" spans="1:7" x14ac:dyDescent="0.3">
      <c r="A8" s="45">
        <v>103</v>
      </c>
      <c r="B8" t="s">
        <v>127</v>
      </c>
      <c r="C8" t="s">
        <v>36</v>
      </c>
      <c r="D8" t="s">
        <v>399</v>
      </c>
      <c r="E8" s="43" t="s">
        <v>463</v>
      </c>
      <c r="F8" t="s">
        <v>218</v>
      </c>
      <c r="G8" t="s">
        <v>309</v>
      </c>
    </row>
    <row r="9" spans="1:7" x14ac:dyDescent="0.3">
      <c r="A9" s="45">
        <v>104</v>
      </c>
      <c r="B9" t="s">
        <v>128</v>
      </c>
      <c r="C9" t="s">
        <v>37</v>
      </c>
      <c r="D9" t="s">
        <v>400</v>
      </c>
      <c r="E9" s="43" t="s">
        <v>463</v>
      </c>
      <c r="F9" t="s">
        <v>219</v>
      </c>
      <c r="G9" t="s">
        <v>310</v>
      </c>
    </row>
    <row r="10" spans="1:7" x14ac:dyDescent="0.3">
      <c r="A10" s="45">
        <v>105</v>
      </c>
      <c r="B10" t="s">
        <v>129</v>
      </c>
      <c r="C10" t="s">
        <v>38</v>
      </c>
      <c r="D10" t="s">
        <v>401</v>
      </c>
      <c r="E10" s="43" t="s">
        <v>463</v>
      </c>
      <c r="F10" t="s">
        <v>220</v>
      </c>
      <c r="G10" t="s">
        <v>311</v>
      </c>
    </row>
    <row r="11" spans="1:7" x14ac:dyDescent="0.3">
      <c r="A11" s="45">
        <v>106</v>
      </c>
      <c r="B11" t="s">
        <v>130</v>
      </c>
      <c r="C11" t="s">
        <v>39</v>
      </c>
      <c r="D11" t="s">
        <v>402</v>
      </c>
      <c r="E11" s="43" t="s">
        <v>463</v>
      </c>
      <c r="F11" t="s">
        <v>221</v>
      </c>
      <c r="G11" t="s">
        <v>312</v>
      </c>
    </row>
    <row r="12" spans="1:7" x14ac:dyDescent="0.3">
      <c r="A12" s="45">
        <v>107</v>
      </c>
      <c r="B12" t="s">
        <v>131</v>
      </c>
      <c r="C12" t="s">
        <v>40</v>
      </c>
      <c r="D12" t="s">
        <v>403</v>
      </c>
      <c r="E12" s="43" t="s">
        <v>463</v>
      </c>
      <c r="F12" t="s">
        <v>222</v>
      </c>
      <c r="G12" t="s">
        <v>313</v>
      </c>
    </row>
    <row r="13" spans="1:7" x14ac:dyDescent="0.3">
      <c r="A13" s="45">
        <v>108</v>
      </c>
      <c r="B13" t="s">
        <v>132</v>
      </c>
      <c r="C13" t="s">
        <v>41</v>
      </c>
      <c r="D13" t="s">
        <v>404</v>
      </c>
      <c r="E13" s="43" t="s">
        <v>463</v>
      </c>
      <c r="F13" t="s">
        <v>223</v>
      </c>
      <c r="G13" t="s">
        <v>314</v>
      </c>
    </row>
    <row r="14" spans="1:7" x14ac:dyDescent="0.3">
      <c r="A14" s="45">
        <v>109</v>
      </c>
      <c r="B14" t="s">
        <v>133</v>
      </c>
      <c r="C14" t="s">
        <v>42</v>
      </c>
      <c r="D14" t="s">
        <v>405</v>
      </c>
      <c r="E14" s="43" t="s">
        <v>463</v>
      </c>
      <c r="F14" t="s">
        <v>224</v>
      </c>
      <c r="G14" t="s">
        <v>315</v>
      </c>
    </row>
    <row r="15" spans="1:7" x14ac:dyDescent="0.3">
      <c r="A15" s="45">
        <v>110</v>
      </c>
      <c r="B15" t="s">
        <v>134</v>
      </c>
      <c r="C15" t="s">
        <v>43</v>
      </c>
      <c r="D15"/>
      <c r="E15" s="43" t="s">
        <v>463</v>
      </c>
      <c r="F15" t="s">
        <v>225</v>
      </c>
      <c r="G15" t="s">
        <v>316</v>
      </c>
    </row>
    <row r="16" spans="1:7" x14ac:dyDescent="0.3">
      <c r="A16" s="45">
        <v>111</v>
      </c>
      <c r="B16" t="s">
        <v>135</v>
      </c>
      <c r="C16" t="s">
        <v>44</v>
      </c>
      <c r="D16" t="s">
        <v>406</v>
      </c>
      <c r="E16" s="43" t="s">
        <v>463</v>
      </c>
      <c r="F16" t="s">
        <v>226</v>
      </c>
      <c r="G16" t="s">
        <v>317</v>
      </c>
    </row>
    <row r="17" spans="1:7" x14ac:dyDescent="0.3">
      <c r="A17" s="45">
        <v>112</v>
      </c>
      <c r="B17" t="s">
        <v>136</v>
      </c>
      <c r="C17" t="s">
        <v>45</v>
      </c>
      <c r="D17" t="s">
        <v>407</v>
      </c>
      <c r="E17" s="43" t="s">
        <v>463</v>
      </c>
      <c r="F17" t="s">
        <v>227</v>
      </c>
      <c r="G17" t="s">
        <v>318</v>
      </c>
    </row>
    <row r="18" spans="1:7" x14ac:dyDescent="0.3">
      <c r="A18" s="45">
        <v>113</v>
      </c>
      <c r="B18" t="s">
        <v>137</v>
      </c>
      <c r="C18" t="s">
        <v>46</v>
      </c>
      <c r="D18"/>
      <c r="E18" s="43" t="s">
        <v>463</v>
      </c>
      <c r="F18" t="s">
        <v>228</v>
      </c>
      <c r="G18" t="s">
        <v>319</v>
      </c>
    </row>
    <row r="19" spans="1:7" x14ac:dyDescent="0.3">
      <c r="A19" s="45">
        <v>114</v>
      </c>
      <c r="B19" t="s">
        <v>138</v>
      </c>
      <c r="C19" t="s">
        <v>47</v>
      </c>
      <c r="D19"/>
      <c r="E19" s="43" t="s">
        <v>463</v>
      </c>
      <c r="F19" t="s">
        <v>229</v>
      </c>
      <c r="G19" t="s">
        <v>320</v>
      </c>
    </row>
    <row r="20" spans="1:7" x14ac:dyDescent="0.3">
      <c r="A20" s="45">
        <v>115</v>
      </c>
      <c r="B20" t="s">
        <v>139</v>
      </c>
      <c r="C20" t="s">
        <v>48</v>
      </c>
      <c r="D20" t="s">
        <v>408</v>
      </c>
      <c r="E20" s="43" t="s">
        <v>463</v>
      </c>
      <c r="F20" t="s">
        <v>230</v>
      </c>
      <c r="G20" t="s">
        <v>321</v>
      </c>
    </row>
    <row r="21" spans="1:7" x14ac:dyDescent="0.3">
      <c r="A21" s="45">
        <v>116</v>
      </c>
      <c r="B21" t="s">
        <v>140</v>
      </c>
      <c r="C21" t="s">
        <v>49</v>
      </c>
      <c r="D21" t="s">
        <v>409</v>
      </c>
      <c r="E21" s="43" t="s">
        <v>463</v>
      </c>
      <c r="F21" t="s">
        <v>231</v>
      </c>
      <c r="G21" t="s">
        <v>322</v>
      </c>
    </row>
    <row r="22" spans="1:7" x14ac:dyDescent="0.3">
      <c r="A22" s="45">
        <v>117</v>
      </c>
      <c r="B22" t="s">
        <v>141</v>
      </c>
      <c r="C22" t="s">
        <v>50</v>
      </c>
      <c r="D22" t="s">
        <v>410</v>
      </c>
      <c r="E22" s="43" t="s">
        <v>463</v>
      </c>
      <c r="F22" t="s">
        <v>232</v>
      </c>
      <c r="G22" t="s">
        <v>323</v>
      </c>
    </row>
    <row r="23" spans="1:7" x14ac:dyDescent="0.3">
      <c r="A23" s="45">
        <v>118</v>
      </c>
      <c r="B23" t="s">
        <v>142</v>
      </c>
      <c r="C23" t="s">
        <v>51</v>
      </c>
      <c r="D23" t="s">
        <v>411</v>
      </c>
      <c r="E23" s="43" t="s">
        <v>463</v>
      </c>
      <c r="F23" t="s">
        <v>233</v>
      </c>
      <c r="G23" t="s">
        <v>324</v>
      </c>
    </row>
    <row r="24" spans="1:7" x14ac:dyDescent="0.3">
      <c r="A24" s="45">
        <v>119</v>
      </c>
      <c r="B24" t="s">
        <v>143</v>
      </c>
      <c r="C24" t="s">
        <v>52</v>
      </c>
      <c r="D24" t="s">
        <v>412</v>
      </c>
      <c r="E24" s="43" t="s">
        <v>463</v>
      </c>
      <c r="F24" t="s">
        <v>234</v>
      </c>
      <c r="G24" t="s">
        <v>325</v>
      </c>
    </row>
    <row r="25" spans="1:7" x14ac:dyDescent="0.3">
      <c r="A25" s="45">
        <v>120</v>
      </c>
      <c r="B25" t="s">
        <v>144</v>
      </c>
      <c r="C25" t="s">
        <v>53</v>
      </c>
      <c r="D25"/>
      <c r="E25" s="43" t="s">
        <v>463</v>
      </c>
      <c r="F25" t="s">
        <v>235</v>
      </c>
      <c r="G25" t="s">
        <v>326</v>
      </c>
    </row>
    <row r="26" spans="1:7" x14ac:dyDescent="0.3">
      <c r="A26" s="45">
        <v>121</v>
      </c>
      <c r="B26" t="s">
        <v>145</v>
      </c>
      <c r="C26" t="s">
        <v>54</v>
      </c>
      <c r="D26" t="s">
        <v>413</v>
      </c>
      <c r="E26" s="43" t="s">
        <v>463</v>
      </c>
      <c r="F26" t="s">
        <v>236</v>
      </c>
      <c r="G26" t="s">
        <v>327</v>
      </c>
    </row>
    <row r="27" spans="1:7" x14ac:dyDescent="0.3">
      <c r="A27" s="45">
        <v>122</v>
      </c>
      <c r="B27" t="s">
        <v>146</v>
      </c>
      <c r="C27" t="s">
        <v>55</v>
      </c>
      <c r="D27" t="s">
        <v>414</v>
      </c>
      <c r="E27" s="43" t="s">
        <v>463</v>
      </c>
      <c r="F27" t="s">
        <v>237</v>
      </c>
      <c r="G27" t="s">
        <v>328</v>
      </c>
    </row>
    <row r="28" spans="1:7" x14ac:dyDescent="0.3">
      <c r="A28" s="45">
        <v>123</v>
      </c>
      <c r="B28" t="s">
        <v>147</v>
      </c>
      <c r="C28" t="s">
        <v>56</v>
      </c>
      <c r="D28"/>
      <c r="E28" s="43" t="s">
        <v>463</v>
      </c>
      <c r="F28" t="s">
        <v>238</v>
      </c>
      <c r="G28" t="s">
        <v>329</v>
      </c>
    </row>
    <row r="29" spans="1:7" x14ac:dyDescent="0.3">
      <c r="A29" s="45">
        <v>124</v>
      </c>
      <c r="B29" t="s">
        <v>148</v>
      </c>
      <c r="C29" t="s">
        <v>57</v>
      </c>
      <c r="D29" t="s">
        <v>415</v>
      </c>
      <c r="E29" s="43" t="s">
        <v>463</v>
      </c>
      <c r="F29" t="s">
        <v>239</v>
      </c>
      <c r="G29" t="s">
        <v>330</v>
      </c>
    </row>
    <row r="30" spans="1:7" x14ac:dyDescent="0.3">
      <c r="A30" s="45">
        <v>125</v>
      </c>
      <c r="B30" t="s">
        <v>149</v>
      </c>
      <c r="C30" t="s">
        <v>58</v>
      </c>
      <c r="D30" t="s">
        <v>416</v>
      </c>
      <c r="E30" s="43" t="s">
        <v>463</v>
      </c>
      <c r="F30" t="s">
        <v>240</v>
      </c>
      <c r="G30" t="s">
        <v>331</v>
      </c>
    </row>
    <row r="31" spans="1:7" x14ac:dyDescent="0.3">
      <c r="A31" s="45">
        <v>126</v>
      </c>
      <c r="B31" t="s">
        <v>150</v>
      </c>
      <c r="C31" t="s">
        <v>59</v>
      </c>
      <c r="D31" t="s">
        <v>417</v>
      </c>
      <c r="E31" s="43" t="s">
        <v>463</v>
      </c>
      <c r="F31" t="s">
        <v>241</v>
      </c>
      <c r="G31" t="s">
        <v>332</v>
      </c>
    </row>
    <row r="32" spans="1:7" x14ac:dyDescent="0.3">
      <c r="A32" s="45">
        <v>127</v>
      </c>
      <c r="B32" t="s">
        <v>151</v>
      </c>
      <c r="C32" t="s">
        <v>60</v>
      </c>
      <c r="D32" t="s">
        <v>418</v>
      </c>
      <c r="E32" s="43" t="s">
        <v>463</v>
      </c>
      <c r="F32" t="s">
        <v>242</v>
      </c>
      <c r="G32" t="s">
        <v>333</v>
      </c>
    </row>
    <row r="33" spans="1:7" x14ac:dyDescent="0.3">
      <c r="A33" s="45">
        <v>128</v>
      </c>
      <c r="B33" t="s">
        <v>152</v>
      </c>
      <c r="C33" t="s">
        <v>61</v>
      </c>
      <c r="D33" t="s">
        <v>419</v>
      </c>
      <c r="E33" s="43" t="s">
        <v>463</v>
      </c>
      <c r="F33" t="s">
        <v>243</v>
      </c>
      <c r="G33" t="s">
        <v>334</v>
      </c>
    </row>
    <row r="34" spans="1:7" x14ac:dyDescent="0.3">
      <c r="A34" s="45">
        <v>129</v>
      </c>
      <c r="B34" t="s">
        <v>153</v>
      </c>
      <c r="C34" t="s">
        <v>62</v>
      </c>
      <c r="D34"/>
      <c r="E34" s="43" t="s">
        <v>463</v>
      </c>
      <c r="F34" t="s">
        <v>244</v>
      </c>
      <c r="G34" t="s">
        <v>335</v>
      </c>
    </row>
    <row r="35" spans="1:7" x14ac:dyDescent="0.3">
      <c r="A35" s="45">
        <v>130</v>
      </c>
      <c r="B35" t="s">
        <v>154</v>
      </c>
      <c r="C35" t="s">
        <v>63</v>
      </c>
      <c r="D35"/>
      <c r="E35" s="43" t="s">
        <v>463</v>
      </c>
      <c r="F35" t="s">
        <v>245</v>
      </c>
      <c r="G35" t="s">
        <v>336</v>
      </c>
    </row>
    <row r="36" spans="1:7" x14ac:dyDescent="0.3">
      <c r="A36" s="45">
        <v>131</v>
      </c>
      <c r="B36" t="s">
        <v>155</v>
      </c>
      <c r="C36" t="s">
        <v>64</v>
      </c>
      <c r="D36"/>
      <c r="E36" s="43" t="s">
        <v>463</v>
      </c>
      <c r="F36" t="s">
        <v>246</v>
      </c>
      <c r="G36" t="s">
        <v>337</v>
      </c>
    </row>
    <row r="37" spans="1:7" x14ac:dyDescent="0.3">
      <c r="A37" s="45">
        <v>132</v>
      </c>
      <c r="B37" t="s">
        <v>156</v>
      </c>
      <c r="C37" t="s">
        <v>65</v>
      </c>
      <c r="D37" t="s">
        <v>420</v>
      </c>
      <c r="E37" s="43" t="s">
        <v>463</v>
      </c>
      <c r="F37" t="s">
        <v>247</v>
      </c>
      <c r="G37" t="s">
        <v>338</v>
      </c>
    </row>
    <row r="38" spans="1:7" x14ac:dyDescent="0.3">
      <c r="A38" s="45">
        <v>133</v>
      </c>
      <c r="B38" t="s">
        <v>157</v>
      </c>
      <c r="C38" t="s">
        <v>66</v>
      </c>
      <c r="D38" t="s">
        <v>421</v>
      </c>
      <c r="E38" s="43" t="s">
        <v>463</v>
      </c>
      <c r="F38" t="s">
        <v>248</v>
      </c>
      <c r="G38" t="s">
        <v>339</v>
      </c>
    </row>
    <row r="39" spans="1:7" x14ac:dyDescent="0.3">
      <c r="A39" s="45">
        <v>134</v>
      </c>
      <c r="B39" t="s">
        <v>158</v>
      </c>
      <c r="C39" t="s">
        <v>67</v>
      </c>
      <c r="D39" t="s">
        <v>422</v>
      </c>
      <c r="E39" s="43" t="s">
        <v>463</v>
      </c>
      <c r="F39" t="s">
        <v>249</v>
      </c>
      <c r="G39" t="s">
        <v>340</v>
      </c>
    </row>
    <row r="40" spans="1:7" x14ac:dyDescent="0.3">
      <c r="A40" s="45">
        <v>135</v>
      </c>
      <c r="B40" t="s">
        <v>159</v>
      </c>
      <c r="C40" t="s">
        <v>68</v>
      </c>
      <c r="D40" t="s">
        <v>423</v>
      </c>
      <c r="E40" s="43" t="s">
        <v>463</v>
      </c>
      <c r="F40" t="s">
        <v>250</v>
      </c>
      <c r="G40" t="s">
        <v>341</v>
      </c>
    </row>
    <row r="41" spans="1:7" x14ac:dyDescent="0.3">
      <c r="A41" s="45">
        <v>136</v>
      </c>
      <c r="B41" t="s">
        <v>160</v>
      </c>
      <c r="C41" t="s">
        <v>69</v>
      </c>
      <c r="D41" t="s">
        <v>424</v>
      </c>
      <c r="E41" s="43" t="s">
        <v>463</v>
      </c>
      <c r="F41" t="s">
        <v>251</v>
      </c>
      <c r="G41" t="s">
        <v>342</v>
      </c>
    </row>
    <row r="42" spans="1:7" x14ac:dyDescent="0.3">
      <c r="A42" s="45">
        <v>137</v>
      </c>
      <c r="B42" t="s">
        <v>161</v>
      </c>
      <c r="C42" t="s">
        <v>70</v>
      </c>
      <c r="D42"/>
      <c r="E42" s="43" t="s">
        <v>463</v>
      </c>
      <c r="F42" t="s">
        <v>252</v>
      </c>
      <c r="G42" t="s">
        <v>343</v>
      </c>
    </row>
    <row r="43" spans="1:7" x14ac:dyDescent="0.3">
      <c r="A43" s="45">
        <v>138</v>
      </c>
      <c r="B43" t="s">
        <v>162</v>
      </c>
      <c r="C43" t="s">
        <v>71</v>
      </c>
      <c r="D43"/>
      <c r="E43" s="43" t="s">
        <v>463</v>
      </c>
      <c r="F43" t="s">
        <v>253</v>
      </c>
      <c r="G43" t="s">
        <v>344</v>
      </c>
    </row>
    <row r="44" spans="1:7" x14ac:dyDescent="0.3">
      <c r="A44" s="45">
        <v>139</v>
      </c>
      <c r="B44" t="s">
        <v>163</v>
      </c>
      <c r="C44" t="s">
        <v>72</v>
      </c>
      <c r="D44" t="s">
        <v>425</v>
      </c>
      <c r="E44" s="43" t="s">
        <v>463</v>
      </c>
      <c r="F44" t="s">
        <v>254</v>
      </c>
      <c r="G44" t="s">
        <v>345</v>
      </c>
    </row>
    <row r="45" spans="1:7" x14ac:dyDescent="0.3">
      <c r="A45" s="45">
        <v>140</v>
      </c>
      <c r="B45" t="s">
        <v>164</v>
      </c>
      <c r="C45" t="s">
        <v>73</v>
      </c>
      <c r="D45" t="s">
        <v>426</v>
      </c>
      <c r="E45" s="43" t="s">
        <v>463</v>
      </c>
      <c r="F45" t="s">
        <v>255</v>
      </c>
      <c r="G45" t="s">
        <v>346</v>
      </c>
    </row>
    <row r="46" spans="1:7" x14ac:dyDescent="0.3">
      <c r="A46" s="45">
        <v>141</v>
      </c>
      <c r="B46" t="s">
        <v>165</v>
      </c>
      <c r="C46" t="s">
        <v>74</v>
      </c>
      <c r="D46" t="s">
        <v>427</v>
      </c>
      <c r="E46" s="43" t="s">
        <v>463</v>
      </c>
      <c r="F46" t="s">
        <v>256</v>
      </c>
      <c r="G46" t="s">
        <v>347</v>
      </c>
    </row>
    <row r="47" spans="1:7" x14ac:dyDescent="0.3">
      <c r="A47" s="45">
        <v>142</v>
      </c>
      <c r="B47" t="s">
        <v>166</v>
      </c>
      <c r="C47" t="s">
        <v>75</v>
      </c>
      <c r="D47" t="s">
        <v>428</v>
      </c>
      <c r="E47" s="43" t="s">
        <v>463</v>
      </c>
      <c r="F47" t="s">
        <v>257</v>
      </c>
      <c r="G47" t="s">
        <v>348</v>
      </c>
    </row>
    <row r="48" spans="1:7" x14ac:dyDescent="0.3">
      <c r="A48" s="45">
        <v>143</v>
      </c>
      <c r="B48" t="s">
        <v>167</v>
      </c>
      <c r="C48" t="s">
        <v>76</v>
      </c>
      <c r="D48" t="s">
        <v>429</v>
      </c>
      <c r="E48" s="43" t="s">
        <v>463</v>
      </c>
      <c r="F48" t="s">
        <v>258</v>
      </c>
      <c r="G48" t="s">
        <v>349</v>
      </c>
    </row>
    <row r="49" spans="1:7" x14ac:dyDescent="0.3">
      <c r="A49" s="45">
        <v>144</v>
      </c>
      <c r="B49" t="s">
        <v>168</v>
      </c>
      <c r="C49" t="s">
        <v>77</v>
      </c>
      <c r="D49"/>
      <c r="E49" s="43" t="s">
        <v>463</v>
      </c>
      <c r="F49" t="s">
        <v>259</v>
      </c>
      <c r="G49" t="s">
        <v>350</v>
      </c>
    </row>
    <row r="50" spans="1:7" x14ac:dyDescent="0.3">
      <c r="A50" s="45">
        <v>145</v>
      </c>
      <c r="B50" t="s">
        <v>169</v>
      </c>
      <c r="C50" t="s">
        <v>78</v>
      </c>
      <c r="D50" t="s">
        <v>430</v>
      </c>
      <c r="E50" s="43" t="s">
        <v>463</v>
      </c>
      <c r="F50" t="s">
        <v>260</v>
      </c>
      <c r="G50" t="s">
        <v>351</v>
      </c>
    </row>
    <row r="51" spans="1:7" x14ac:dyDescent="0.3">
      <c r="A51" s="45">
        <v>146</v>
      </c>
      <c r="B51" t="s">
        <v>170</v>
      </c>
      <c r="C51" t="s">
        <v>79</v>
      </c>
      <c r="D51" t="s">
        <v>431</v>
      </c>
      <c r="E51" s="43" t="s">
        <v>463</v>
      </c>
      <c r="F51" t="s">
        <v>261</v>
      </c>
      <c r="G51" t="s">
        <v>352</v>
      </c>
    </row>
    <row r="52" spans="1:7" x14ac:dyDescent="0.3">
      <c r="A52" s="45">
        <v>147</v>
      </c>
      <c r="B52" t="s">
        <v>171</v>
      </c>
      <c r="C52" t="s">
        <v>80</v>
      </c>
      <c r="D52" t="s">
        <v>432</v>
      </c>
      <c r="E52" s="43" t="s">
        <v>463</v>
      </c>
      <c r="F52" t="s">
        <v>262</v>
      </c>
      <c r="G52" t="s">
        <v>353</v>
      </c>
    </row>
    <row r="53" spans="1:7" x14ac:dyDescent="0.3">
      <c r="A53" s="45">
        <v>148</v>
      </c>
      <c r="B53" t="s">
        <v>172</v>
      </c>
      <c r="C53" t="s">
        <v>81</v>
      </c>
      <c r="D53" t="s">
        <v>433</v>
      </c>
      <c r="E53" s="43" t="s">
        <v>463</v>
      </c>
      <c r="F53" t="s">
        <v>263</v>
      </c>
      <c r="G53" t="s">
        <v>354</v>
      </c>
    </row>
    <row r="54" spans="1:7" x14ac:dyDescent="0.3">
      <c r="A54" s="45">
        <v>149</v>
      </c>
      <c r="B54" t="s">
        <v>173</v>
      </c>
      <c r="C54" t="s">
        <v>82</v>
      </c>
      <c r="D54" t="s">
        <v>434</v>
      </c>
      <c r="E54" s="43" t="s">
        <v>463</v>
      </c>
      <c r="F54" t="s">
        <v>264</v>
      </c>
      <c r="G54" t="s">
        <v>355</v>
      </c>
    </row>
    <row r="55" spans="1:7" x14ac:dyDescent="0.3">
      <c r="A55" s="45">
        <v>150</v>
      </c>
      <c r="B55" t="s">
        <v>174</v>
      </c>
      <c r="C55" t="s">
        <v>83</v>
      </c>
      <c r="D55" t="s">
        <v>435</v>
      </c>
      <c r="E55" s="43" t="s">
        <v>463</v>
      </c>
      <c r="F55" t="s">
        <v>265</v>
      </c>
      <c r="G55" t="s">
        <v>356</v>
      </c>
    </row>
    <row r="56" spans="1:7" x14ac:dyDescent="0.3">
      <c r="A56" s="45">
        <v>151</v>
      </c>
      <c r="B56" t="s">
        <v>175</v>
      </c>
      <c r="C56" t="s">
        <v>84</v>
      </c>
      <c r="D56"/>
      <c r="E56" s="43" t="s">
        <v>463</v>
      </c>
      <c r="F56" t="s">
        <v>266</v>
      </c>
      <c r="G56" t="s">
        <v>357</v>
      </c>
    </row>
    <row r="57" spans="1:7" x14ac:dyDescent="0.3">
      <c r="A57" s="45">
        <v>152</v>
      </c>
      <c r="B57" t="s">
        <v>176</v>
      </c>
      <c r="C57" t="s">
        <v>85</v>
      </c>
      <c r="D57" t="s">
        <v>436</v>
      </c>
      <c r="E57" s="43" t="s">
        <v>463</v>
      </c>
      <c r="F57" t="s">
        <v>267</v>
      </c>
      <c r="G57" t="s">
        <v>358</v>
      </c>
    </row>
    <row r="58" spans="1:7" x14ac:dyDescent="0.3">
      <c r="A58" s="45">
        <v>153</v>
      </c>
      <c r="B58" t="s">
        <v>177</v>
      </c>
      <c r="C58" t="s">
        <v>86</v>
      </c>
      <c r="D58" t="s">
        <v>437</v>
      </c>
      <c r="E58" s="43" t="s">
        <v>463</v>
      </c>
      <c r="F58" t="s">
        <v>268</v>
      </c>
      <c r="G58" t="s">
        <v>359</v>
      </c>
    </row>
    <row r="59" spans="1:7" x14ac:dyDescent="0.3">
      <c r="A59" s="45">
        <v>154</v>
      </c>
      <c r="B59" t="s">
        <v>178</v>
      </c>
      <c r="C59" t="s">
        <v>87</v>
      </c>
      <c r="D59" t="s">
        <v>438</v>
      </c>
      <c r="E59" s="43" t="s">
        <v>463</v>
      </c>
      <c r="F59" t="s">
        <v>269</v>
      </c>
      <c r="G59" t="s">
        <v>360</v>
      </c>
    </row>
    <row r="60" spans="1:7" x14ac:dyDescent="0.3">
      <c r="A60" s="45">
        <v>155</v>
      </c>
      <c r="B60" t="s">
        <v>179</v>
      </c>
      <c r="C60" t="s">
        <v>88</v>
      </c>
      <c r="D60" t="s">
        <v>439</v>
      </c>
      <c r="E60" s="43" t="s">
        <v>463</v>
      </c>
      <c r="F60" t="s">
        <v>270</v>
      </c>
      <c r="G60" t="s">
        <v>361</v>
      </c>
    </row>
    <row r="61" spans="1:7" x14ac:dyDescent="0.3">
      <c r="A61" s="45">
        <v>156</v>
      </c>
      <c r="B61" t="s">
        <v>180</v>
      </c>
      <c r="C61" t="s">
        <v>89</v>
      </c>
      <c r="D61" t="s">
        <v>440</v>
      </c>
      <c r="E61" s="43" t="s">
        <v>463</v>
      </c>
      <c r="F61" t="s">
        <v>271</v>
      </c>
      <c r="G61" t="s">
        <v>362</v>
      </c>
    </row>
    <row r="62" spans="1:7" x14ac:dyDescent="0.3">
      <c r="A62" s="45">
        <v>157</v>
      </c>
      <c r="B62" t="s">
        <v>181</v>
      </c>
      <c r="C62" t="s">
        <v>90</v>
      </c>
      <c r="D62" t="s">
        <v>441</v>
      </c>
      <c r="E62" s="43" t="s">
        <v>463</v>
      </c>
      <c r="F62" t="s">
        <v>272</v>
      </c>
      <c r="G62" t="s">
        <v>363</v>
      </c>
    </row>
    <row r="63" spans="1:7" x14ac:dyDescent="0.3">
      <c r="A63" s="45">
        <v>158</v>
      </c>
      <c r="B63" t="s">
        <v>182</v>
      </c>
      <c r="C63" t="s">
        <v>91</v>
      </c>
      <c r="D63" t="s">
        <v>442</v>
      </c>
      <c r="E63" s="43" t="s">
        <v>463</v>
      </c>
      <c r="F63" t="s">
        <v>273</v>
      </c>
      <c r="G63" t="s">
        <v>364</v>
      </c>
    </row>
    <row r="64" spans="1:7" x14ac:dyDescent="0.3">
      <c r="A64" s="45">
        <v>159</v>
      </c>
      <c r="B64" t="s">
        <v>183</v>
      </c>
      <c r="C64" t="s">
        <v>92</v>
      </c>
      <c r="D64"/>
      <c r="E64" s="43" t="s">
        <v>463</v>
      </c>
      <c r="F64" t="s">
        <v>274</v>
      </c>
      <c r="G64" t="s">
        <v>365</v>
      </c>
    </row>
    <row r="65" spans="1:7" x14ac:dyDescent="0.3">
      <c r="A65" s="45">
        <v>160</v>
      </c>
      <c r="B65" t="s">
        <v>184</v>
      </c>
      <c r="C65" t="s">
        <v>93</v>
      </c>
      <c r="D65" t="s">
        <v>443</v>
      </c>
      <c r="E65" s="43" t="s">
        <v>463</v>
      </c>
      <c r="F65" t="s">
        <v>275</v>
      </c>
      <c r="G65" t="s">
        <v>366</v>
      </c>
    </row>
    <row r="66" spans="1:7" x14ac:dyDescent="0.3">
      <c r="A66" s="45">
        <v>161</v>
      </c>
      <c r="B66" t="s">
        <v>185</v>
      </c>
      <c r="C66" t="s">
        <v>94</v>
      </c>
      <c r="D66"/>
      <c r="E66" s="43" t="s">
        <v>463</v>
      </c>
      <c r="F66" t="s">
        <v>276</v>
      </c>
      <c r="G66" t="s">
        <v>367</v>
      </c>
    </row>
    <row r="67" spans="1:7" x14ac:dyDescent="0.3">
      <c r="A67" s="45">
        <v>162</v>
      </c>
      <c r="B67" t="s">
        <v>186</v>
      </c>
      <c r="C67" t="s">
        <v>95</v>
      </c>
      <c r="D67"/>
      <c r="E67" s="43" t="s">
        <v>463</v>
      </c>
      <c r="F67" t="s">
        <v>277</v>
      </c>
      <c r="G67" t="s">
        <v>368</v>
      </c>
    </row>
    <row r="68" spans="1:7" x14ac:dyDescent="0.3">
      <c r="A68" s="45">
        <v>163</v>
      </c>
      <c r="B68" t="s">
        <v>187</v>
      </c>
      <c r="C68" t="s">
        <v>96</v>
      </c>
      <c r="D68" t="s">
        <v>444</v>
      </c>
      <c r="E68" s="43" t="s">
        <v>463</v>
      </c>
      <c r="F68" t="s">
        <v>278</v>
      </c>
      <c r="G68" t="s">
        <v>369</v>
      </c>
    </row>
    <row r="69" spans="1:7" x14ac:dyDescent="0.3">
      <c r="A69" s="45">
        <v>164</v>
      </c>
      <c r="B69" t="s">
        <v>188</v>
      </c>
      <c r="C69" t="s">
        <v>97</v>
      </c>
      <c r="D69" t="s">
        <v>445</v>
      </c>
      <c r="E69" s="43" t="s">
        <v>463</v>
      </c>
      <c r="F69" t="s">
        <v>279</v>
      </c>
      <c r="G69" t="s">
        <v>370</v>
      </c>
    </row>
    <row r="70" spans="1:7" x14ac:dyDescent="0.3">
      <c r="A70" s="45">
        <v>165</v>
      </c>
      <c r="B70" t="s">
        <v>189</v>
      </c>
      <c r="C70" t="s">
        <v>98</v>
      </c>
      <c r="D70" t="s">
        <v>446</v>
      </c>
      <c r="E70" s="43" t="s">
        <v>463</v>
      </c>
      <c r="F70" t="s">
        <v>280</v>
      </c>
      <c r="G70" t="s">
        <v>371</v>
      </c>
    </row>
    <row r="71" spans="1:7" x14ac:dyDescent="0.3">
      <c r="A71" s="45">
        <v>166</v>
      </c>
      <c r="B71" t="s">
        <v>190</v>
      </c>
      <c r="C71" t="s">
        <v>99</v>
      </c>
      <c r="D71"/>
      <c r="E71" s="43" t="s">
        <v>463</v>
      </c>
      <c r="F71" t="s">
        <v>281</v>
      </c>
      <c r="G71" t="s">
        <v>372</v>
      </c>
    </row>
    <row r="72" spans="1:7" x14ac:dyDescent="0.3">
      <c r="A72" s="45">
        <v>167</v>
      </c>
      <c r="B72" t="s">
        <v>191</v>
      </c>
      <c r="C72" t="s">
        <v>100</v>
      </c>
      <c r="D72"/>
      <c r="E72" s="43" t="s">
        <v>463</v>
      </c>
      <c r="F72" t="s">
        <v>282</v>
      </c>
      <c r="G72" t="s">
        <v>373</v>
      </c>
    </row>
    <row r="73" spans="1:7" x14ac:dyDescent="0.3">
      <c r="A73" s="45">
        <v>168</v>
      </c>
      <c r="B73" t="s">
        <v>192</v>
      </c>
      <c r="C73" t="s">
        <v>101</v>
      </c>
      <c r="D73" t="s">
        <v>447</v>
      </c>
      <c r="E73" s="43" t="s">
        <v>463</v>
      </c>
      <c r="F73" t="s">
        <v>283</v>
      </c>
      <c r="G73" t="s">
        <v>374</v>
      </c>
    </row>
    <row r="74" spans="1:7" x14ac:dyDescent="0.3">
      <c r="A74" s="45">
        <v>169</v>
      </c>
      <c r="B74" t="s">
        <v>193</v>
      </c>
      <c r="C74" t="s">
        <v>102</v>
      </c>
      <c r="D74" t="s">
        <v>448</v>
      </c>
      <c r="E74" s="43" t="s">
        <v>463</v>
      </c>
      <c r="F74" t="s">
        <v>284</v>
      </c>
      <c r="G74" t="s">
        <v>375</v>
      </c>
    </row>
    <row r="75" spans="1:7" x14ac:dyDescent="0.3">
      <c r="A75" s="45">
        <v>170</v>
      </c>
      <c r="B75" t="s">
        <v>194</v>
      </c>
      <c r="C75" t="s">
        <v>103</v>
      </c>
      <c r="D75"/>
      <c r="E75" s="43" t="s">
        <v>463</v>
      </c>
      <c r="F75" t="s">
        <v>285</v>
      </c>
      <c r="G75" t="s">
        <v>376</v>
      </c>
    </row>
    <row r="76" spans="1:7" x14ac:dyDescent="0.3">
      <c r="A76" s="45">
        <v>171</v>
      </c>
      <c r="B76" t="s">
        <v>195</v>
      </c>
      <c r="C76" t="s">
        <v>104</v>
      </c>
      <c r="D76" t="s">
        <v>449</v>
      </c>
      <c r="E76" s="43" t="s">
        <v>463</v>
      </c>
      <c r="F76" t="s">
        <v>286</v>
      </c>
      <c r="G76" t="s">
        <v>377</v>
      </c>
    </row>
    <row r="77" spans="1:7" x14ac:dyDescent="0.3">
      <c r="A77" s="45">
        <v>172</v>
      </c>
      <c r="B77" t="s">
        <v>196</v>
      </c>
      <c r="C77" t="s">
        <v>105</v>
      </c>
      <c r="D77" t="s">
        <v>450</v>
      </c>
      <c r="E77" s="43" t="s">
        <v>463</v>
      </c>
      <c r="F77" t="s">
        <v>287</v>
      </c>
      <c r="G77" t="s">
        <v>378</v>
      </c>
    </row>
    <row r="78" spans="1:7" x14ac:dyDescent="0.3">
      <c r="A78" s="45">
        <v>173</v>
      </c>
      <c r="B78" t="s">
        <v>197</v>
      </c>
      <c r="C78" t="s">
        <v>106</v>
      </c>
      <c r="D78" t="s">
        <v>451</v>
      </c>
      <c r="E78" s="43" t="s">
        <v>463</v>
      </c>
      <c r="F78" t="s">
        <v>288</v>
      </c>
      <c r="G78" t="s">
        <v>379</v>
      </c>
    </row>
    <row r="79" spans="1:7" x14ac:dyDescent="0.3">
      <c r="A79" s="45">
        <v>174</v>
      </c>
      <c r="B79" t="s">
        <v>198</v>
      </c>
      <c r="C79" t="s">
        <v>107</v>
      </c>
      <c r="D79" t="s">
        <v>452</v>
      </c>
      <c r="E79" s="43" t="s">
        <v>463</v>
      </c>
      <c r="F79" t="s">
        <v>289</v>
      </c>
      <c r="G79" t="s">
        <v>380</v>
      </c>
    </row>
    <row r="80" spans="1:7" x14ac:dyDescent="0.3">
      <c r="A80" s="45">
        <v>175</v>
      </c>
      <c r="B80" t="s">
        <v>199</v>
      </c>
      <c r="C80" t="s">
        <v>108</v>
      </c>
      <c r="D80" t="s">
        <v>453</v>
      </c>
      <c r="E80" s="43" t="s">
        <v>463</v>
      </c>
      <c r="F80" t="s">
        <v>290</v>
      </c>
      <c r="G80" t="s">
        <v>381</v>
      </c>
    </row>
    <row r="81" spans="1:7" x14ac:dyDescent="0.3">
      <c r="A81" s="45">
        <v>176</v>
      </c>
      <c r="B81" t="s">
        <v>200</v>
      </c>
      <c r="C81" t="s">
        <v>109</v>
      </c>
      <c r="D81"/>
      <c r="E81" s="43" t="s">
        <v>463</v>
      </c>
      <c r="F81" t="s">
        <v>291</v>
      </c>
      <c r="G81" t="s">
        <v>382</v>
      </c>
    </row>
    <row r="82" spans="1:7" x14ac:dyDescent="0.3">
      <c r="A82" s="45">
        <v>177</v>
      </c>
      <c r="B82" t="s">
        <v>201</v>
      </c>
      <c r="C82" t="s">
        <v>110</v>
      </c>
      <c r="D82" t="s">
        <v>454</v>
      </c>
      <c r="E82" s="43" t="s">
        <v>463</v>
      </c>
      <c r="F82" t="s">
        <v>292</v>
      </c>
      <c r="G82" t="s">
        <v>383</v>
      </c>
    </row>
    <row r="83" spans="1:7" x14ac:dyDescent="0.3">
      <c r="A83" s="45">
        <v>178</v>
      </c>
      <c r="B83" t="s">
        <v>202</v>
      </c>
      <c r="C83" t="s">
        <v>111</v>
      </c>
      <c r="D83" t="s">
        <v>455</v>
      </c>
      <c r="E83" s="43" t="s">
        <v>463</v>
      </c>
      <c r="F83" t="s">
        <v>293</v>
      </c>
      <c r="G83" t="s">
        <v>384</v>
      </c>
    </row>
    <row r="84" spans="1:7" x14ac:dyDescent="0.3">
      <c r="A84" s="45">
        <v>179</v>
      </c>
      <c r="B84" t="s">
        <v>203</v>
      </c>
      <c r="C84" t="s">
        <v>112</v>
      </c>
      <c r="D84"/>
      <c r="E84" s="43" t="s">
        <v>463</v>
      </c>
      <c r="F84" t="s">
        <v>294</v>
      </c>
      <c r="G84" t="s">
        <v>385</v>
      </c>
    </row>
    <row r="85" spans="1:7" x14ac:dyDescent="0.3">
      <c r="A85" s="45">
        <v>180</v>
      </c>
      <c r="B85" t="s">
        <v>204</v>
      </c>
      <c r="C85" t="s">
        <v>113</v>
      </c>
      <c r="D85" t="s">
        <v>456</v>
      </c>
      <c r="E85" s="43" t="s">
        <v>463</v>
      </c>
      <c r="F85" t="s">
        <v>295</v>
      </c>
      <c r="G85" t="s">
        <v>386</v>
      </c>
    </row>
    <row r="86" spans="1:7" x14ac:dyDescent="0.3">
      <c r="A86" s="45">
        <v>181</v>
      </c>
      <c r="B86" t="s">
        <v>205</v>
      </c>
      <c r="C86" t="s">
        <v>114</v>
      </c>
      <c r="D86" t="s">
        <v>457</v>
      </c>
      <c r="E86" s="43" t="s">
        <v>463</v>
      </c>
      <c r="F86" t="s">
        <v>296</v>
      </c>
      <c r="G86" t="s">
        <v>387</v>
      </c>
    </row>
    <row r="87" spans="1:7" x14ac:dyDescent="0.3">
      <c r="A87" s="45">
        <v>182</v>
      </c>
      <c r="B87" t="s">
        <v>206</v>
      </c>
      <c r="C87" t="s">
        <v>115</v>
      </c>
      <c r="D87" t="s">
        <v>458</v>
      </c>
      <c r="E87" s="43" t="s">
        <v>463</v>
      </c>
      <c r="F87" t="s">
        <v>297</v>
      </c>
      <c r="G87" t="s">
        <v>388</v>
      </c>
    </row>
    <row r="88" spans="1:7" x14ac:dyDescent="0.3">
      <c r="A88" s="45">
        <v>183</v>
      </c>
      <c r="B88" t="s">
        <v>207</v>
      </c>
      <c r="C88" t="s">
        <v>116</v>
      </c>
      <c r="D88" t="s">
        <v>459</v>
      </c>
      <c r="E88" s="43" t="s">
        <v>463</v>
      </c>
      <c r="F88" t="s">
        <v>298</v>
      </c>
      <c r="G88" t="s">
        <v>389</v>
      </c>
    </row>
    <row r="89" spans="1:7" x14ac:dyDescent="0.3">
      <c r="A89" s="45">
        <v>184</v>
      </c>
      <c r="B89" t="s">
        <v>208</v>
      </c>
      <c r="C89" t="s">
        <v>117</v>
      </c>
      <c r="D89" t="s">
        <v>460</v>
      </c>
      <c r="E89" s="43" t="s">
        <v>463</v>
      </c>
      <c r="F89" t="s">
        <v>299</v>
      </c>
      <c r="G89" t="s">
        <v>390</v>
      </c>
    </row>
    <row r="90" spans="1:7" x14ac:dyDescent="0.3">
      <c r="A90" s="45">
        <v>185</v>
      </c>
      <c r="B90" t="s">
        <v>209</v>
      </c>
      <c r="C90" t="s">
        <v>118</v>
      </c>
      <c r="D90" t="s">
        <v>461</v>
      </c>
      <c r="E90" s="43" t="s">
        <v>463</v>
      </c>
      <c r="F90" t="s">
        <v>300</v>
      </c>
      <c r="G90" t="s">
        <v>391</v>
      </c>
    </row>
    <row r="91" spans="1:7" x14ac:dyDescent="0.3">
      <c r="A91" s="45">
        <v>186</v>
      </c>
      <c r="B91" t="s">
        <v>210</v>
      </c>
      <c r="C91" t="s">
        <v>119</v>
      </c>
      <c r="D91" t="s">
        <v>301</v>
      </c>
      <c r="E91" s="43" t="s">
        <v>463</v>
      </c>
      <c r="F91" t="s">
        <v>301</v>
      </c>
      <c r="G91" t="s">
        <v>392</v>
      </c>
    </row>
    <row r="92" spans="1:7" x14ac:dyDescent="0.3">
      <c r="A92" s="45">
        <v>187</v>
      </c>
      <c r="B92" t="s">
        <v>211</v>
      </c>
      <c r="C92" t="s">
        <v>120</v>
      </c>
      <c r="D92"/>
      <c r="E92" s="43" t="s">
        <v>463</v>
      </c>
      <c r="F92" t="s">
        <v>302</v>
      </c>
      <c r="G92" t="s">
        <v>393</v>
      </c>
    </row>
    <row r="93" spans="1:7" x14ac:dyDescent="0.3">
      <c r="A93" s="45">
        <v>188</v>
      </c>
      <c r="B93" t="s">
        <v>212</v>
      </c>
      <c r="C93" t="s">
        <v>121</v>
      </c>
      <c r="D93" t="s">
        <v>462</v>
      </c>
      <c r="E93" s="43" t="s">
        <v>463</v>
      </c>
      <c r="F93" t="s">
        <v>303</v>
      </c>
      <c r="G93" t="s">
        <v>394</v>
      </c>
    </row>
    <row r="94" spans="1:7" x14ac:dyDescent="0.3">
      <c r="A94" s="45">
        <v>189</v>
      </c>
      <c r="B94" t="s">
        <v>213</v>
      </c>
      <c r="C94" t="s">
        <v>122</v>
      </c>
      <c r="D94" t="s">
        <v>304</v>
      </c>
      <c r="E94" s="43" t="s">
        <v>463</v>
      </c>
      <c r="F94" t="s">
        <v>304</v>
      </c>
      <c r="G94" t="s">
        <v>395</v>
      </c>
    </row>
    <row r="95" spans="1:7" x14ac:dyDescent="0.3">
      <c r="A95" s="45">
        <v>190</v>
      </c>
      <c r="B95" t="s">
        <v>214</v>
      </c>
      <c r="C95" t="s">
        <v>123</v>
      </c>
      <c r="D95" t="s">
        <v>305</v>
      </c>
      <c r="E95" s="43" t="s">
        <v>463</v>
      </c>
      <c r="F95" t="s">
        <v>305</v>
      </c>
      <c r="G95" t="s">
        <v>396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533C7-88DA-494C-886C-54C87CBE8C61}">
  <sheetPr codeName="Hoja3"/>
  <dimension ref="A1:D81"/>
  <sheetViews>
    <sheetView workbookViewId="0">
      <selection activeCell="C9" sqref="C9"/>
    </sheetView>
  </sheetViews>
  <sheetFormatPr baseColWidth="10" defaultRowHeight="16.5" x14ac:dyDescent="0.3"/>
  <cols>
    <col min="1" max="1" width="14" style="46" customWidth="1"/>
    <col min="2" max="2" width="44.875" style="40" customWidth="1"/>
    <col min="3" max="3" width="11" style="46"/>
    <col min="4" max="4" width="13.25" style="54" customWidth="1"/>
    <col min="5" max="7" width="10" style="40"/>
    <col min="8" max="16384" width="11" style="40"/>
  </cols>
  <sheetData>
    <row r="1" spans="1:4" s="42" customFormat="1" ht="8.25" customHeight="1" x14ac:dyDescent="0.3">
      <c r="A1" s="44"/>
      <c r="C1" s="44"/>
      <c r="D1" s="52"/>
    </row>
    <row r="2" spans="1:4" s="42" customFormat="1" ht="27" thickBot="1" x14ac:dyDescent="0.5">
      <c r="A2" s="50" t="s">
        <v>541</v>
      </c>
      <c r="B2" s="51"/>
      <c r="C2" s="44"/>
      <c r="D2" s="52"/>
    </row>
    <row r="3" spans="1:4" s="42" customFormat="1" ht="9.75" customHeight="1" thickTop="1" x14ac:dyDescent="0.3">
      <c r="A3" s="44"/>
      <c r="C3" s="44"/>
      <c r="D3" s="52"/>
    </row>
    <row r="4" spans="1:4" x14ac:dyDescent="0.3">
      <c r="A4" s="41" t="s">
        <v>542</v>
      </c>
      <c r="B4" s="41" t="s">
        <v>543</v>
      </c>
      <c r="C4" s="41" t="s">
        <v>15</v>
      </c>
      <c r="D4" s="53" t="s">
        <v>17</v>
      </c>
    </row>
    <row r="5" spans="1:4" x14ac:dyDescent="0.3">
      <c r="A5" s="46">
        <v>100</v>
      </c>
      <c r="B5" s="40" t="s">
        <v>464</v>
      </c>
      <c r="C5" s="46" t="s">
        <v>547</v>
      </c>
      <c r="D5" s="54">
        <f ca="1">RANDBETWEEN(5,15)</f>
        <v>10</v>
      </c>
    </row>
    <row r="6" spans="1:4" x14ac:dyDescent="0.3">
      <c r="A6" s="46">
        <v>101</v>
      </c>
      <c r="B6" s="40" t="s">
        <v>465</v>
      </c>
      <c r="C6" s="46" t="s">
        <v>547</v>
      </c>
      <c r="D6" s="54">
        <f t="shared" ref="D6:D69" ca="1" si="0">RANDBETWEEN(5,15)</f>
        <v>6</v>
      </c>
    </row>
    <row r="7" spans="1:4" x14ac:dyDescent="0.3">
      <c r="A7" s="46">
        <v>102</v>
      </c>
      <c r="B7" s="40" t="s">
        <v>466</v>
      </c>
      <c r="C7" s="46" t="s">
        <v>547</v>
      </c>
      <c r="D7" s="54">
        <f t="shared" ca="1" si="0"/>
        <v>15</v>
      </c>
    </row>
    <row r="8" spans="1:4" x14ac:dyDescent="0.3">
      <c r="A8" s="46">
        <v>103</v>
      </c>
      <c r="B8" s="40" t="s">
        <v>467</v>
      </c>
      <c r="C8" s="46" t="s">
        <v>547</v>
      </c>
      <c r="D8" s="54">
        <f t="shared" ca="1" si="0"/>
        <v>5</v>
      </c>
    </row>
    <row r="9" spans="1:4" x14ac:dyDescent="0.3">
      <c r="A9" s="46">
        <v>104</v>
      </c>
      <c r="B9" s="40" t="s">
        <v>468</v>
      </c>
      <c r="C9" s="46" t="s">
        <v>547</v>
      </c>
      <c r="D9" s="54">
        <f t="shared" ca="1" si="0"/>
        <v>5</v>
      </c>
    </row>
    <row r="10" spans="1:4" x14ac:dyDescent="0.3">
      <c r="A10" s="46">
        <v>105</v>
      </c>
      <c r="B10" s="40" t="s">
        <v>469</v>
      </c>
      <c r="C10" s="46" t="s">
        <v>547</v>
      </c>
      <c r="D10" s="54">
        <f t="shared" ca="1" si="0"/>
        <v>8</v>
      </c>
    </row>
    <row r="11" spans="1:4" x14ac:dyDescent="0.3">
      <c r="A11" s="46">
        <v>106</v>
      </c>
      <c r="B11" s="40" t="s">
        <v>470</v>
      </c>
      <c r="C11" s="46" t="s">
        <v>549</v>
      </c>
      <c r="D11" s="54">
        <f t="shared" ca="1" si="0"/>
        <v>14</v>
      </c>
    </row>
    <row r="12" spans="1:4" x14ac:dyDescent="0.3">
      <c r="A12" s="46">
        <v>107</v>
      </c>
      <c r="B12" s="40" t="s">
        <v>471</v>
      </c>
      <c r="C12" s="46" t="s">
        <v>549</v>
      </c>
      <c r="D12" s="54">
        <f t="shared" ca="1" si="0"/>
        <v>14</v>
      </c>
    </row>
    <row r="13" spans="1:4" x14ac:dyDescent="0.3">
      <c r="A13" s="46">
        <v>108</v>
      </c>
      <c r="B13" s="40" t="s">
        <v>472</v>
      </c>
      <c r="C13" s="46" t="s">
        <v>548</v>
      </c>
      <c r="D13" s="54">
        <f t="shared" ca="1" si="0"/>
        <v>14</v>
      </c>
    </row>
    <row r="14" spans="1:4" x14ac:dyDescent="0.3">
      <c r="A14" s="46">
        <v>109</v>
      </c>
      <c r="B14" s="40" t="s">
        <v>473</v>
      </c>
      <c r="C14" s="46" t="s">
        <v>549</v>
      </c>
      <c r="D14" s="54">
        <f t="shared" ca="1" si="0"/>
        <v>7</v>
      </c>
    </row>
    <row r="15" spans="1:4" x14ac:dyDescent="0.3">
      <c r="A15" s="46">
        <v>110</v>
      </c>
      <c r="B15" s="40" t="s">
        <v>474</v>
      </c>
      <c r="C15" s="46" t="s">
        <v>549</v>
      </c>
      <c r="D15" s="54">
        <f t="shared" ca="1" si="0"/>
        <v>9</v>
      </c>
    </row>
    <row r="16" spans="1:4" x14ac:dyDescent="0.3">
      <c r="A16" s="46">
        <v>111</v>
      </c>
      <c r="B16" s="40" t="s">
        <v>475</v>
      </c>
      <c r="C16" s="46" t="s">
        <v>549</v>
      </c>
      <c r="D16" s="54">
        <f t="shared" ca="1" si="0"/>
        <v>5</v>
      </c>
    </row>
    <row r="17" spans="1:4" x14ac:dyDescent="0.3">
      <c r="A17" s="46">
        <v>112</v>
      </c>
      <c r="B17" s="40" t="s">
        <v>476</v>
      </c>
      <c r="C17" s="46" t="s">
        <v>547</v>
      </c>
      <c r="D17" s="54">
        <f t="shared" ca="1" si="0"/>
        <v>8</v>
      </c>
    </row>
    <row r="18" spans="1:4" x14ac:dyDescent="0.3">
      <c r="A18" s="46">
        <v>113</v>
      </c>
      <c r="B18" s="40" t="s">
        <v>477</v>
      </c>
      <c r="C18" s="46" t="s">
        <v>548</v>
      </c>
      <c r="D18" s="54">
        <f t="shared" ca="1" si="0"/>
        <v>12</v>
      </c>
    </row>
    <row r="19" spans="1:4" x14ac:dyDescent="0.3">
      <c r="A19" s="46">
        <v>114</v>
      </c>
      <c r="B19" s="40" t="s">
        <v>478</v>
      </c>
      <c r="C19" s="46" t="s">
        <v>548</v>
      </c>
      <c r="D19" s="54">
        <f t="shared" ca="1" si="0"/>
        <v>6</v>
      </c>
    </row>
    <row r="20" spans="1:4" x14ac:dyDescent="0.3">
      <c r="A20" s="46">
        <v>115</v>
      </c>
      <c r="B20" s="40" t="s">
        <v>479</v>
      </c>
      <c r="C20" s="46" t="s">
        <v>548</v>
      </c>
      <c r="D20" s="54">
        <f t="shared" ca="1" si="0"/>
        <v>13</v>
      </c>
    </row>
    <row r="21" spans="1:4" x14ac:dyDescent="0.3">
      <c r="A21" s="46">
        <v>116</v>
      </c>
      <c r="B21" s="40" t="s">
        <v>480</v>
      </c>
      <c r="C21" s="46" t="s">
        <v>548</v>
      </c>
      <c r="D21" s="54">
        <f t="shared" ca="1" si="0"/>
        <v>9</v>
      </c>
    </row>
    <row r="22" spans="1:4" x14ac:dyDescent="0.3">
      <c r="A22" s="46">
        <v>117</v>
      </c>
      <c r="B22" s="40" t="s">
        <v>481</v>
      </c>
      <c r="C22" s="46" t="s">
        <v>547</v>
      </c>
      <c r="D22" s="54">
        <f t="shared" ca="1" si="0"/>
        <v>5</v>
      </c>
    </row>
    <row r="23" spans="1:4" x14ac:dyDescent="0.3">
      <c r="A23" s="46">
        <v>118</v>
      </c>
      <c r="B23" s="40" t="s">
        <v>482</v>
      </c>
      <c r="C23" s="46" t="s">
        <v>547</v>
      </c>
      <c r="D23" s="54">
        <f t="shared" ca="1" si="0"/>
        <v>11</v>
      </c>
    </row>
    <row r="24" spans="1:4" x14ac:dyDescent="0.3">
      <c r="A24" s="46">
        <v>119</v>
      </c>
      <c r="B24" s="40" t="s">
        <v>483</v>
      </c>
      <c r="C24" s="46" t="s">
        <v>549</v>
      </c>
      <c r="D24" s="54">
        <f t="shared" ca="1" si="0"/>
        <v>11</v>
      </c>
    </row>
    <row r="25" spans="1:4" x14ac:dyDescent="0.3">
      <c r="A25" s="46">
        <v>120</v>
      </c>
      <c r="B25" s="40" t="s">
        <v>484</v>
      </c>
      <c r="C25" s="46" t="s">
        <v>549</v>
      </c>
      <c r="D25" s="54">
        <f t="shared" ca="1" si="0"/>
        <v>7</v>
      </c>
    </row>
    <row r="26" spans="1:4" x14ac:dyDescent="0.3">
      <c r="A26" s="46">
        <v>121</v>
      </c>
      <c r="B26" s="40" t="s">
        <v>485</v>
      </c>
      <c r="C26" s="46" t="s">
        <v>549</v>
      </c>
      <c r="D26" s="54">
        <f t="shared" ca="1" si="0"/>
        <v>12</v>
      </c>
    </row>
    <row r="27" spans="1:4" x14ac:dyDescent="0.3">
      <c r="A27" s="46">
        <v>122</v>
      </c>
      <c r="B27" s="40" t="s">
        <v>486</v>
      </c>
      <c r="C27" s="46" t="s">
        <v>549</v>
      </c>
      <c r="D27" s="54">
        <f t="shared" ca="1" si="0"/>
        <v>11</v>
      </c>
    </row>
    <row r="28" spans="1:4" x14ac:dyDescent="0.3">
      <c r="A28" s="46">
        <v>123</v>
      </c>
      <c r="B28" s="40" t="s">
        <v>487</v>
      </c>
      <c r="C28" s="46" t="s">
        <v>549</v>
      </c>
      <c r="D28" s="54">
        <f t="shared" ca="1" si="0"/>
        <v>7</v>
      </c>
    </row>
    <row r="29" spans="1:4" x14ac:dyDescent="0.3">
      <c r="A29" s="46">
        <v>124</v>
      </c>
      <c r="B29" s="40" t="s">
        <v>488</v>
      </c>
      <c r="C29" s="46" t="s">
        <v>548</v>
      </c>
      <c r="D29" s="54">
        <f t="shared" ca="1" si="0"/>
        <v>6</v>
      </c>
    </row>
    <row r="30" spans="1:4" x14ac:dyDescent="0.3">
      <c r="A30" s="46">
        <v>125</v>
      </c>
      <c r="B30" s="40" t="s">
        <v>489</v>
      </c>
      <c r="C30" s="46" t="s">
        <v>548</v>
      </c>
      <c r="D30" s="54">
        <f t="shared" ca="1" si="0"/>
        <v>6</v>
      </c>
    </row>
    <row r="31" spans="1:4" x14ac:dyDescent="0.3">
      <c r="A31" s="46">
        <v>126</v>
      </c>
      <c r="B31" s="40" t="s">
        <v>490</v>
      </c>
      <c r="C31" s="46" t="s">
        <v>548</v>
      </c>
      <c r="D31" s="54">
        <f t="shared" ca="1" si="0"/>
        <v>14</v>
      </c>
    </row>
    <row r="32" spans="1:4" x14ac:dyDescent="0.3">
      <c r="A32" s="46">
        <v>127</v>
      </c>
      <c r="B32" s="40" t="s">
        <v>491</v>
      </c>
      <c r="C32" s="46" t="s">
        <v>548</v>
      </c>
      <c r="D32" s="54">
        <f t="shared" ca="1" si="0"/>
        <v>6</v>
      </c>
    </row>
    <row r="33" spans="1:4" x14ac:dyDescent="0.3">
      <c r="A33" s="46">
        <v>128</v>
      </c>
      <c r="B33" s="40" t="s">
        <v>492</v>
      </c>
      <c r="C33" s="46" t="s">
        <v>548</v>
      </c>
      <c r="D33" s="54">
        <f t="shared" ca="1" si="0"/>
        <v>6</v>
      </c>
    </row>
    <row r="34" spans="1:4" x14ac:dyDescent="0.3">
      <c r="A34" s="46">
        <v>129</v>
      </c>
      <c r="B34" s="40" t="s">
        <v>493</v>
      </c>
      <c r="C34" s="46" t="s">
        <v>548</v>
      </c>
      <c r="D34" s="54">
        <f t="shared" ca="1" si="0"/>
        <v>9</v>
      </c>
    </row>
    <row r="35" spans="1:4" x14ac:dyDescent="0.3">
      <c r="A35" s="46">
        <v>130</v>
      </c>
      <c r="B35" s="40" t="s">
        <v>494</v>
      </c>
      <c r="C35" s="46" t="s">
        <v>548</v>
      </c>
      <c r="D35" s="54">
        <f t="shared" ca="1" si="0"/>
        <v>14</v>
      </c>
    </row>
    <row r="36" spans="1:4" x14ac:dyDescent="0.3">
      <c r="A36" s="46">
        <v>131</v>
      </c>
      <c r="B36" s="40" t="s">
        <v>495</v>
      </c>
      <c r="C36" s="46" t="s">
        <v>548</v>
      </c>
      <c r="D36" s="54">
        <f t="shared" ca="1" si="0"/>
        <v>11</v>
      </c>
    </row>
    <row r="37" spans="1:4" x14ac:dyDescent="0.3">
      <c r="A37" s="46">
        <v>132</v>
      </c>
      <c r="B37" s="40" t="s">
        <v>496</v>
      </c>
      <c r="C37" s="46" t="s">
        <v>548</v>
      </c>
      <c r="D37" s="54">
        <f t="shared" ca="1" si="0"/>
        <v>12</v>
      </c>
    </row>
    <row r="38" spans="1:4" x14ac:dyDescent="0.3">
      <c r="A38" s="46">
        <v>133</v>
      </c>
      <c r="B38" s="40" t="s">
        <v>497</v>
      </c>
      <c r="C38" s="46" t="s">
        <v>548</v>
      </c>
      <c r="D38" s="54">
        <f t="shared" ca="1" si="0"/>
        <v>12</v>
      </c>
    </row>
    <row r="39" spans="1:4" x14ac:dyDescent="0.3">
      <c r="A39" s="46">
        <v>134</v>
      </c>
      <c r="B39" s="40" t="s">
        <v>498</v>
      </c>
      <c r="C39" s="46" t="s">
        <v>548</v>
      </c>
      <c r="D39" s="54">
        <f t="shared" ca="1" si="0"/>
        <v>6</v>
      </c>
    </row>
    <row r="40" spans="1:4" x14ac:dyDescent="0.3">
      <c r="A40" s="46">
        <v>135</v>
      </c>
      <c r="B40" s="40" t="s">
        <v>499</v>
      </c>
      <c r="C40" s="46" t="s">
        <v>548</v>
      </c>
      <c r="D40" s="54">
        <f t="shared" ca="1" si="0"/>
        <v>5</v>
      </c>
    </row>
    <row r="41" spans="1:4" x14ac:dyDescent="0.3">
      <c r="A41" s="46">
        <v>136</v>
      </c>
      <c r="B41" s="40" t="s">
        <v>500</v>
      </c>
      <c r="C41" s="46" t="s">
        <v>548</v>
      </c>
      <c r="D41" s="54">
        <f t="shared" ca="1" si="0"/>
        <v>15</v>
      </c>
    </row>
    <row r="42" spans="1:4" x14ac:dyDescent="0.3">
      <c r="A42" s="46">
        <v>137</v>
      </c>
      <c r="B42" s="40" t="s">
        <v>501</v>
      </c>
      <c r="C42" s="46" t="s">
        <v>548</v>
      </c>
      <c r="D42" s="54">
        <f t="shared" ca="1" si="0"/>
        <v>11</v>
      </c>
    </row>
    <row r="43" spans="1:4" x14ac:dyDescent="0.3">
      <c r="A43" s="46">
        <v>138</v>
      </c>
      <c r="B43" s="40" t="s">
        <v>502</v>
      </c>
      <c r="C43" s="46" t="s">
        <v>548</v>
      </c>
      <c r="D43" s="54">
        <f t="shared" ca="1" si="0"/>
        <v>7</v>
      </c>
    </row>
    <row r="44" spans="1:4" x14ac:dyDescent="0.3">
      <c r="A44" s="46">
        <v>139</v>
      </c>
      <c r="B44" s="40" t="s">
        <v>503</v>
      </c>
      <c r="C44" s="46" t="s">
        <v>548</v>
      </c>
      <c r="D44" s="54">
        <f t="shared" ca="1" si="0"/>
        <v>12</v>
      </c>
    </row>
    <row r="45" spans="1:4" x14ac:dyDescent="0.3">
      <c r="A45" s="46">
        <v>140</v>
      </c>
      <c r="B45" s="40" t="s">
        <v>504</v>
      </c>
      <c r="C45" s="46" t="s">
        <v>548</v>
      </c>
      <c r="D45" s="54">
        <f t="shared" ca="1" si="0"/>
        <v>12</v>
      </c>
    </row>
    <row r="46" spans="1:4" x14ac:dyDescent="0.3">
      <c r="A46" s="46">
        <v>141</v>
      </c>
      <c r="B46" s="40" t="s">
        <v>505</v>
      </c>
      <c r="C46" s="46" t="s">
        <v>548</v>
      </c>
      <c r="D46" s="54">
        <f t="shared" ca="1" si="0"/>
        <v>7</v>
      </c>
    </row>
    <row r="47" spans="1:4" x14ac:dyDescent="0.3">
      <c r="A47" s="46">
        <v>142</v>
      </c>
      <c r="B47" s="40" t="s">
        <v>506</v>
      </c>
      <c r="C47" s="46" t="s">
        <v>548</v>
      </c>
      <c r="D47" s="54">
        <f t="shared" ca="1" si="0"/>
        <v>8</v>
      </c>
    </row>
    <row r="48" spans="1:4" x14ac:dyDescent="0.3">
      <c r="A48" s="46">
        <v>143</v>
      </c>
      <c r="B48" s="40" t="s">
        <v>507</v>
      </c>
      <c r="C48" s="46" t="s">
        <v>548</v>
      </c>
      <c r="D48" s="54">
        <f t="shared" ca="1" si="0"/>
        <v>9</v>
      </c>
    </row>
    <row r="49" spans="1:4" x14ac:dyDescent="0.3">
      <c r="A49" s="46">
        <v>144</v>
      </c>
      <c r="B49" s="40" t="s">
        <v>508</v>
      </c>
      <c r="C49" s="46" t="s">
        <v>548</v>
      </c>
      <c r="D49" s="54">
        <f t="shared" ca="1" si="0"/>
        <v>15</v>
      </c>
    </row>
    <row r="50" spans="1:4" x14ac:dyDescent="0.3">
      <c r="A50" s="46">
        <v>145</v>
      </c>
      <c r="B50" s="40" t="s">
        <v>509</v>
      </c>
      <c r="C50" s="46" t="s">
        <v>548</v>
      </c>
      <c r="D50" s="54">
        <f t="shared" ca="1" si="0"/>
        <v>11</v>
      </c>
    </row>
    <row r="51" spans="1:4" x14ac:dyDescent="0.3">
      <c r="A51" s="46">
        <v>146</v>
      </c>
      <c r="B51" s="40" t="s">
        <v>510</v>
      </c>
      <c r="C51" s="46" t="s">
        <v>548</v>
      </c>
      <c r="D51" s="54">
        <f t="shared" ca="1" si="0"/>
        <v>13</v>
      </c>
    </row>
    <row r="52" spans="1:4" x14ac:dyDescent="0.3">
      <c r="A52" s="46">
        <v>147</v>
      </c>
      <c r="B52" s="40" t="s">
        <v>511</v>
      </c>
      <c r="C52" s="46" t="s">
        <v>547</v>
      </c>
      <c r="D52" s="54">
        <f t="shared" ca="1" si="0"/>
        <v>11</v>
      </c>
    </row>
    <row r="53" spans="1:4" x14ac:dyDescent="0.3">
      <c r="A53" s="46">
        <v>148</v>
      </c>
      <c r="B53" s="40" t="s">
        <v>512</v>
      </c>
      <c r="C53" s="46" t="s">
        <v>547</v>
      </c>
      <c r="D53" s="54">
        <f t="shared" ca="1" si="0"/>
        <v>6</v>
      </c>
    </row>
    <row r="54" spans="1:4" x14ac:dyDescent="0.3">
      <c r="A54" s="46">
        <v>149</v>
      </c>
      <c r="B54" s="40" t="s">
        <v>513</v>
      </c>
      <c r="C54" s="46" t="s">
        <v>547</v>
      </c>
      <c r="D54" s="54">
        <f t="shared" ca="1" si="0"/>
        <v>8</v>
      </c>
    </row>
    <row r="55" spans="1:4" x14ac:dyDescent="0.3">
      <c r="A55" s="46">
        <v>150</v>
      </c>
      <c r="B55" s="40" t="s">
        <v>514</v>
      </c>
      <c r="C55" s="46" t="s">
        <v>547</v>
      </c>
      <c r="D55" s="54">
        <f t="shared" ca="1" si="0"/>
        <v>5</v>
      </c>
    </row>
    <row r="56" spans="1:4" x14ac:dyDescent="0.3">
      <c r="A56" s="46">
        <v>151</v>
      </c>
      <c r="B56" s="40" t="s">
        <v>515</v>
      </c>
      <c r="C56" s="46" t="s">
        <v>547</v>
      </c>
      <c r="D56" s="54">
        <f t="shared" ca="1" si="0"/>
        <v>14</v>
      </c>
    </row>
    <row r="57" spans="1:4" x14ac:dyDescent="0.3">
      <c r="A57" s="46">
        <v>152</v>
      </c>
      <c r="B57" s="40" t="s">
        <v>516</v>
      </c>
      <c r="C57" s="46" t="s">
        <v>547</v>
      </c>
      <c r="D57" s="54">
        <f t="shared" ca="1" si="0"/>
        <v>9</v>
      </c>
    </row>
    <row r="58" spans="1:4" x14ac:dyDescent="0.3">
      <c r="A58" s="46">
        <v>153</v>
      </c>
      <c r="B58" s="40" t="s">
        <v>517</v>
      </c>
      <c r="C58" s="46" t="s">
        <v>547</v>
      </c>
      <c r="D58" s="54">
        <f t="shared" ca="1" si="0"/>
        <v>12</v>
      </c>
    </row>
    <row r="59" spans="1:4" x14ac:dyDescent="0.3">
      <c r="A59" s="46">
        <v>154</v>
      </c>
      <c r="B59" s="40" t="s">
        <v>518</v>
      </c>
      <c r="C59" s="46" t="s">
        <v>549</v>
      </c>
      <c r="D59" s="54">
        <f t="shared" ca="1" si="0"/>
        <v>10</v>
      </c>
    </row>
    <row r="60" spans="1:4" x14ac:dyDescent="0.3">
      <c r="A60" s="46">
        <v>155</v>
      </c>
      <c r="B60" s="40" t="s">
        <v>519</v>
      </c>
      <c r="C60" s="46" t="s">
        <v>549</v>
      </c>
      <c r="D60" s="54">
        <f t="shared" ca="1" si="0"/>
        <v>5</v>
      </c>
    </row>
    <row r="61" spans="1:4" x14ac:dyDescent="0.3">
      <c r="A61" s="46">
        <v>156</v>
      </c>
      <c r="B61" s="40" t="s">
        <v>520</v>
      </c>
      <c r="C61" s="46" t="s">
        <v>549</v>
      </c>
      <c r="D61" s="54">
        <f t="shared" ca="1" si="0"/>
        <v>11</v>
      </c>
    </row>
    <row r="62" spans="1:4" x14ac:dyDescent="0.3">
      <c r="A62" s="46">
        <v>157</v>
      </c>
      <c r="B62" s="40" t="s">
        <v>521</v>
      </c>
      <c r="C62" s="46" t="s">
        <v>549</v>
      </c>
      <c r="D62" s="54">
        <f t="shared" ca="1" si="0"/>
        <v>8</v>
      </c>
    </row>
    <row r="63" spans="1:4" x14ac:dyDescent="0.3">
      <c r="A63" s="46">
        <v>158</v>
      </c>
      <c r="B63" s="40" t="s">
        <v>522</v>
      </c>
      <c r="C63" s="46" t="s">
        <v>549</v>
      </c>
      <c r="D63" s="54">
        <f t="shared" ca="1" si="0"/>
        <v>10</v>
      </c>
    </row>
    <row r="64" spans="1:4" x14ac:dyDescent="0.3">
      <c r="A64" s="46">
        <v>159</v>
      </c>
      <c r="B64" s="40" t="s">
        <v>523</v>
      </c>
      <c r="C64" s="46" t="s">
        <v>549</v>
      </c>
      <c r="D64" s="54">
        <f t="shared" ca="1" si="0"/>
        <v>7</v>
      </c>
    </row>
    <row r="65" spans="1:4" x14ac:dyDescent="0.3">
      <c r="A65" s="46">
        <v>160</v>
      </c>
      <c r="B65" s="40" t="s">
        <v>524</v>
      </c>
      <c r="C65" s="46" t="s">
        <v>549</v>
      </c>
      <c r="D65" s="54">
        <f t="shared" ca="1" si="0"/>
        <v>9</v>
      </c>
    </row>
    <row r="66" spans="1:4" x14ac:dyDescent="0.3">
      <c r="A66" s="46">
        <v>161</v>
      </c>
      <c r="B66" s="40" t="s">
        <v>525</v>
      </c>
      <c r="C66" s="46" t="s">
        <v>549</v>
      </c>
      <c r="D66" s="54">
        <f t="shared" ca="1" si="0"/>
        <v>8</v>
      </c>
    </row>
    <row r="67" spans="1:4" x14ac:dyDescent="0.3">
      <c r="A67" s="46">
        <v>162</v>
      </c>
      <c r="B67" s="40" t="s">
        <v>526</v>
      </c>
      <c r="C67" s="46" t="s">
        <v>549</v>
      </c>
      <c r="D67" s="54">
        <f t="shared" ca="1" si="0"/>
        <v>9</v>
      </c>
    </row>
    <row r="68" spans="1:4" x14ac:dyDescent="0.3">
      <c r="A68" s="46">
        <v>163</v>
      </c>
      <c r="B68" s="40" t="s">
        <v>527</v>
      </c>
      <c r="C68" s="46" t="s">
        <v>549</v>
      </c>
      <c r="D68" s="54">
        <f t="shared" ca="1" si="0"/>
        <v>15</v>
      </c>
    </row>
    <row r="69" spans="1:4" x14ac:dyDescent="0.3">
      <c r="A69" s="46">
        <v>164</v>
      </c>
      <c r="B69" s="40" t="s">
        <v>528</v>
      </c>
      <c r="C69" s="46" t="s">
        <v>549</v>
      </c>
      <c r="D69" s="54">
        <f t="shared" ca="1" si="0"/>
        <v>12</v>
      </c>
    </row>
    <row r="70" spans="1:4" x14ac:dyDescent="0.3">
      <c r="A70" s="46">
        <v>165</v>
      </c>
      <c r="B70" s="40" t="s">
        <v>529</v>
      </c>
      <c r="C70" s="46" t="s">
        <v>549</v>
      </c>
      <c r="D70" s="54">
        <f t="shared" ref="D70:D81" ca="1" si="1">RANDBETWEEN(5,15)</f>
        <v>8</v>
      </c>
    </row>
    <row r="71" spans="1:4" x14ac:dyDescent="0.3">
      <c r="A71" s="46">
        <v>166</v>
      </c>
      <c r="B71" s="40" t="s">
        <v>530</v>
      </c>
      <c r="C71" s="46" t="s">
        <v>549</v>
      </c>
      <c r="D71" s="54">
        <f t="shared" ca="1" si="1"/>
        <v>7</v>
      </c>
    </row>
    <row r="72" spans="1:4" x14ac:dyDescent="0.3">
      <c r="A72" s="46">
        <v>167</v>
      </c>
      <c r="B72" s="40" t="s">
        <v>531</v>
      </c>
      <c r="C72" s="46" t="s">
        <v>549</v>
      </c>
      <c r="D72" s="54">
        <f t="shared" ca="1" si="1"/>
        <v>10</v>
      </c>
    </row>
    <row r="73" spans="1:4" x14ac:dyDescent="0.3">
      <c r="A73" s="46">
        <v>168</v>
      </c>
      <c r="B73" s="40" t="s">
        <v>532</v>
      </c>
      <c r="C73" s="46" t="s">
        <v>549</v>
      </c>
      <c r="D73" s="54">
        <f t="shared" ca="1" si="1"/>
        <v>6</v>
      </c>
    </row>
    <row r="74" spans="1:4" x14ac:dyDescent="0.3">
      <c r="A74" s="46">
        <v>169</v>
      </c>
      <c r="B74" s="40" t="s">
        <v>533</v>
      </c>
      <c r="C74" s="46" t="s">
        <v>549</v>
      </c>
      <c r="D74" s="54">
        <f t="shared" ca="1" si="1"/>
        <v>5</v>
      </c>
    </row>
    <row r="75" spans="1:4" x14ac:dyDescent="0.3">
      <c r="A75" s="46">
        <v>170</v>
      </c>
      <c r="B75" s="40" t="s">
        <v>534</v>
      </c>
      <c r="C75" s="46" t="s">
        <v>549</v>
      </c>
      <c r="D75" s="54">
        <f t="shared" ca="1" si="1"/>
        <v>11</v>
      </c>
    </row>
    <row r="76" spans="1:4" x14ac:dyDescent="0.3">
      <c r="A76" s="46">
        <v>171</v>
      </c>
      <c r="B76" s="40" t="s">
        <v>535</v>
      </c>
      <c r="C76" s="46" t="s">
        <v>549</v>
      </c>
      <c r="D76" s="54">
        <f t="shared" ca="1" si="1"/>
        <v>6</v>
      </c>
    </row>
    <row r="77" spans="1:4" x14ac:dyDescent="0.3">
      <c r="A77" s="46">
        <v>172</v>
      </c>
      <c r="B77" s="40" t="s">
        <v>536</v>
      </c>
      <c r="C77" s="46" t="s">
        <v>547</v>
      </c>
      <c r="D77" s="54">
        <f t="shared" ca="1" si="1"/>
        <v>8</v>
      </c>
    </row>
    <row r="78" spans="1:4" x14ac:dyDescent="0.3">
      <c r="A78" s="46">
        <v>173</v>
      </c>
      <c r="B78" s="40" t="s">
        <v>537</v>
      </c>
      <c r="C78" s="46" t="s">
        <v>547</v>
      </c>
      <c r="D78" s="54">
        <f t="shared" ca="1" si="1"/>
        <v>9</v>
      </c>
    </row>
    <row r="79" spans="1:4" x14ac:dyDescent="0.3">
      <c r="A79" s="46">
        <v>174</v>
      </c>
      <c r="B79" s="40" t="s">
        <v>538</v>
      </c>
      <c r="C79" s="46" t="s">
        <v>547</v>
      </c>
      <c r="D79" s="54">
        <f t="shared" ca="1" si="1"/>
        <v>11</v>
      </c>
    </row>
    <row r="80" spans="1:4" x14ac:dyDescent="0.3">
      <c r="A80" s="46">
        <v>175</v>
      </c>
      <c r="B80" s="40" t="s">
        <v>539</v>
      </c>
      <c r="C80" s="46" t="s">
        <v>547</v>
      </c>
      <c r="D80" s="54">
        <f t="shared" ca="1" si="1"/>
        <v>13</v>
      </c>
    </row>
    <row r="81" spans="1:4" x14ac:dyDescent="0.3">
      <c r="A81" s="46">
        <v>176</v>
      </c>
      <c r="B81" s="40" t="s">
        <v>540</v>
      </c>
      <c r="C81" s="46" t="s">
        <v>547</v>
      </c>
      <c r="D81" s="54">
        <f t="shared" ca="1" si="1"/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3159A-4C05-4301-B06F-796F0747918A}">
  <sheetPr codeName="Hoja10">
    <pageSetUpPr fitToPage="1"/>
  </sheetPr>
  <dimension ref="A1:H73"/>
  <sheetViews>
    <sheetView showGridLines="0" tabSelected="1" zoomScaleNormal="100" zoomScaleSheetLayoutView="90" zoomScalePageLayoutView="55" workbookViewId="0">
      <selection activeCell="F14" sqref="F14"/>
    </sheetView>
  </sheetViews>
  <sheetFormatPr baseColWidth="10" defaultRowHeight="16.5" x14ac:dyDescent="0.3"/>
  <cols>
    <col min="1" max="1" width="1.25" style="3" customWidth="1"/>
    <col min="2" max="2" width="10.25" style="3" customWidth="1"/>
    <col min="3" max="3" width="66.75" style="3" customWidth="1"/>
    <col min="4" max="4" width="8.75" style="3" customWidth="1"/>
    <col min="5" max="5" width="8.375" style="3" customWidth="1"/>
    <col min="6" max="6" width="15" style="3" customWidth="1"/>
    <col min="7" max="7" width="16.5" style="3" customWidth="1"/>
    <col min="8" max="8" width="1.75" style="3" customWidth="1"/>
    <col min="9" max="16384" width="11" style="3"/>
  </cols>
  <sheetData>
    <row r="1" spans="1:8" ht="3.75" customHeight="1" x14ac:dyDescent="0.3">
      <c r="A1" s="1"/>
      <c r="B1" s="2"/>
      <c r="C1" s="2"/>
      <c r="D1" s="2"/>
      <c r="E1" s="2"/>
      <c r="F1" s="2"/>
      <c r="G1" s="2"/>
      <c r="H1" s="1"/>
    </row>
    <row r="2" spans="1:8" x14ac:dyDescent="0.3">
      <c r="A2" s="1"/>
      <c r="B2" s="4"/>
      <c r="C2" s="1"/>
      <c r="D2" s="4"/>
      <c r="E2" s="4"/>
      <c r="F2" s="1"/>
      <c r="H2" s="1"/>
    </row>
    <row r="3" spans="1:8" ht="19.5" customHeight="1" x14ac:dyDescent="0.3">
      <c r="A3" s="1"/>
      <c r="B3" s="4"/>
      <c r="C3" s="1"/>
      <c r="D3" s="1"/>
      <c r="E3" s="1"/>
      <c r="F3" s="67" t="s">
        <v>29</v>
      </c>
      <c r="G3" s="67"/>
      <c r="H3" s="1"/>
    </row>
    <row r="4" spans="1:8" ht="18.75" customHeight="1" thickBot="1" x14ac:dyDescent="0.35">
      <c r="A4" s="1"/>
      <c r="B4" s="7"/>
      <c r="C4" s="1"/>
      <c r="D4" s="1"/>
      <c r="E4" s="1"/>
      <c r="H4" s="8"/>
    </row>
    <row r="5" spans="1:8" ht="17.25" x14ac:dyDescent="0.3">
      <c r="A5" s="1"/>
      <c r="B5" s="7" t="s">
        <v>0</v>
      </c>
      <c r="C5" s="9" t="s">
        <v>1</v>
      </c>
      <c r="D5" s="1"/>
      <c r="E5" s="1"/>
      <c r="F5" s="47" t="s">
        <v>2</v>
      </c>
      <c r="G5" s="10">
        <v>44122</v>
      </c>
      <c r="H5" s="1"/>
    </row>
    <row r="6" spans="1:8" ht="16.5" customHeight="1" x14ac:dyDescent="0.3">
      <c r="A6" s="1"/>
      <c r="B6" s="7" t="s">
        <v>3</v>
      </c>
      <c r="C6" s="9" t="s">
        <v>4</v>
      </c>
      <c r="D6" s="1"/>
      <c r="E6" s="1"/>
      <c r="F6" s="48" t="s">
        <v>30</v>
      </c>
      <c r="G6" s="11">
        <v>896</v>
      </c>
      <c r="H6" s="1"/>
    </row>
    <row r="7" spans="1:8" ht="17.25" x14ac:dyDescent="0.3">
      <c r="A7" s="1"/>
      <c r="B7" s="7" t="s">
        <v>5</v>
      </c>
      <c r="C7" s="12" t="s">
        <v>6</v>
      </c>
      <c r="D7" s="1"/>
      <c r="E7" s="1"/>
      <c r="F7" s="49" t="s">
        <v>553</v>
      </c>
      <c r="G7" s="13">
        <v>105</v>
      </c>
      <c r="H7" s="1"/>
    </row>
    <row r="8" spans="1:8" ht="16.5" customHeight="1" thickBot="1" x14ac:dyDescent="0.35">
      <c r="A8" s="1"/>
      <c r="B8" s="7" t="s">
        <v>8</v>
      </c>
      <c r="C8" s="12" t="s">
        <v>9</v>
      </c>
      <c r="D8" s="1"/>
      <c r="E8" s="1"/>
      <c r="F8" s="14" t="s">
        <v>550</v>
      </c>
      <c r="G8" s="55">
        <v>44135</v>
      </c>
      <c r="H8" s="1"/>
    </row>
    <row r="9" spans="1:8" ht="16.5" customHeight="1" x14ac:dyDescent="0.3">
      <c r="A9" s="1"/>
      <c r="B9" s="7" t="s">
        <v>10</v>
      </c>
      <c r="C9" s="15" t="s">
        <v>11</v>
      </c>
      <c r="D9" s="1"/>
      <c r="E9" s="1"/>
      <c r="H9" s="1"/>
    </row>
    <row r="10" spans="1:8" ht="3" customHeight="1" x14ac:dyDescent="0.3">
      <c r="A10" s="1"/>
      <c r="B10" s="7"/>
      <c r="C10" s="15"/>
      <c r="D10" s="1"/>
      <c r="E10" s="1"/>
      <c r="F10" s="1"/>
      <c r="G10" s="2"/>
      <c r="H10" s="1"/>
    </row>
    <row r="11" spans="1:8" x14ac:dyDescent="0.3">
      <c r="A11" s="1"/>
      <c r="B11" s="6" t="s">
        <v>12</v>
      </c>
      <c r="C11" s="16"/>
      <c r="D11" s="6"/>
      <c r="E11" s="5"/>
    </row>
    <row r="12" spans="1:8" ht="17.25" x14ac:dyDescent="0.3">
      <c r="A12" s="1"/>
      <c r="B12" s="7" t="s">
        <v>31</v>
      </c>
      <c r="C12" s="17" t="s">
        <v>129</v>
      </c>
      <c r="E12" s="7"/>
    </row>
    <row r="13" spans="1:8" ht="17.25" x14ac:dyDescent="0.3">
      <c r="A13" s="1"/>
      <c r="B13" s="7" t="s">
        <v>27</v>
      </c>
      <c r="C13" s="17" t="s">
        <v>38</v>
      </c>
      <c r="E13" s="7"/>
    </row>
    <row r="14" spans="1:8" ht="17.25" x14ac:dyDescent="0.3">
      <c r="A14" s="1"/>
      <c r="B14" s="7" t="s">
        <v>28</v>
      </c>
      <c r="C14" s="17" t="s">
        <v>401</v>
      </c>
      <c r="E14" s="7"/>
    </row>
    <row r="15" spans="1:8" ht="17.25" x14ac:dyDescent="0.3">
      <c r="A15" s="1"/>
      <c r="B15" s="7" t="s">
        <v>5</v>
      </c>
      <c r="C15" s="17" t="s">
        <v>463</v>
      </c>
      <c r="D15" s="4"/>
      <c r="E15" s="4"/>
    </row>
    <row r="16" spans="1:8" ht="17.25" x14ac:dyDescent="0.3">
      <c r="A16" s="1"/>
      <c r="B16" s="7" t="s">
        <v>3</v>
      </c>
      <c r="C16" s="17" t="s">
        <v>220</v>
      </c>
      <c r="D16" s="4"/>
      <c r="E16" s="4"/>
      <c r="F16" s="1"/>
      <c r="G16" s="1"/>
    </row>
    <row r="17" spans="1:7" x14ac:dyDescent="0.3">
      <c r="A17" s="1"/>
      <c r="B17" s="7" t="s">
        <v>10</v>
      </c>
      <c r="C17" s="15" t="s">
        <v>311</v>
      </c>
      <c r="D17" s="4"/>
      <c r="E17" s="4"/>
      <c r="F17" s="1"/>
      <c r="G17" s="1"/>
    </row>
    <row r="18" spans="1:7" ht="5.25" hidden="1" customHeight="1" x14ac:dyDescent="0.3">
      <c r="A18" s="1"/>
      <c r="B18" s="7"/>
      <c r="C18" s="1"/>
      <c r="D18" s="4"/>
      <c r="E18" s="4"/>
      <c r="F18" s="1"/>
      <c r="G18" s="1"/>
    </row>
    <row r="19" spans="1:7" ht="3" customHeight="1" x14ac:dyDescent="0.3">
      <c r="A19" s="1"/>
      <c r="B19" s="4"/>
      <c r="C19" s="1"/>
      <c r="D19" s="4"/>
      <c r="E19" s="4"/>
      <c r="F19" s="1"/>
      <c r="G19" s="1"/>
    </row>
    <row r="20" spans="1:7" x14ac:dyDescent="0.3">
      <c r="B20" s="18" t="s">
        <v>13</v>
      </c>
      <c r="C20" s="19" t="s">
        <v>14</v>
      </c>
      <c r="D20" s="19" t="s">
        <v>15</v>
      </c>
      <c r="E20" s="20" t="s">
        <v>16</v>
      </c>
      <c r="F20" s="21" t="s">
        <v>17</v>
      </c>
      <c r="G20" s="22" t="s">
        <v>21</v>
      </c>
    </row>
    <row r="21" spans="1:7" x14ac:dyDescent="0.3">
      <c r="B21" s="23">
        <v>105</v>
      </c>
      <c r="C21" s="24" t="s">
        <v>469</v>
      </c>
      <c r="D21" s="23" t="s">
        <v>547</v>
      </c>
      <c r="E21" s="23">
        <v>10</v>
      </c>
      <c r="F21" s="56">
        <v>9</v>
      </c>
      <c r="G21" s="57">
        <f t="shared" ref="G21:G52" si="0">IFERROR(IF(B21="","",E21*F21),"")</f>
        <v>90</v>
      </c>
    </row>
    <row r="22" spans="1:7" x14ac:dyDescent="0.3">
      <c r="B22" s="23">
        <v>112</v>
      </c>
      <c r="C22" s="24" t="s">
        <v>476</v>
      </c>
      <c r="D22" s="23" t="s">
        <v>547</v>
      </c>
      <c r="E22" s="23">
        <v>5</v>
      </c>
      <c r="F22" s="56">
        <v>6</v>
      </c>
      <c r="G22" s="57">
        <f t="shared" si="0"/>
        <v>30</v>
      </c>
    </row>
    <row r="23" spans="1:7" x14ac:dyDescent="0.3">
      <c r="B23" s="23">
        <v>111</v>
      </c>
      <c r="C23" s="24" t="s">
        <v>475</v>
      </c>
      <c r="D23" s="23" t="s">
        <v>549</v>
      </c>
      <c r="E23" s="23">
        <v>5</v>
      </c>
      <c r="F23" s="56">
        <v>5</v>
      </c>
      <c r="G23" s="57">
        <f t="shared" si="0"/>
        <v>25</v>
      </c>
    </row>
    <row r="24" spans="1:7" x14ac:dyDescent="0.3">
      <c r="B24" s="23">
        <v>114</v>
      </c>
      <c r="C24" s="24" t="s">
        <v>478</v>
      </c>
      <c r="D24" s="23" t="s">
        <v>548</v>
      </c>
      <c r="E24" s="23">
        <v>10</v>
      </c>
      <c r="F24" s="56">
        <v>14</v>
      </c>
      <c r="G24" s="57">
        <f t="shared" si="0"/>
        <v>140</v>
      </c>
    </row>
    <row r="25" spans="1:7" x14ac:dyDescent="0.3">
      <c r="B25" s="23">
        <v>106</v>
      </c>
      <c r="C25" s="24" t="s">
        <v>470</v>
      </c>
      <c r="D25" s="23" t="s">
        <v>549</v>
      </c>
      <c r="E25" s="23">
        <v>10</v>
      </c>
      <c r="F25" s="56">
        <v>15</v>
      </c>
      <c r="G25" s="57">
        <f t="shared" si="0"/>
        <v>150</v>
      </c>
    </row>
    <row r="26" spans="1:7" x14ac:dyDescent="0.3">
      <c r="B26" s="23">
        <v>110</v>
      </c>
      <c r="C26" s="24" t="s">
        <v>474</v>
      </c>
      <c r="D26" s="23" t="s">
        <v>549</v>
      </c>
      <c r="E26" s="23">
        <v>5</v>
      </c>
      <c r="F26" s="56">
        <v>6</v>
      </c>
      <c r="G26" s="57">
        <f t="shared" si="0"/>
        <v>30</v>
      </c>
    </row>
    <row r="27" spans="1:7" x14ac:dyDescent="0.3">
      <c r="B27" s="23">
        <v>105</v>
      </c>
      <c r="C27" s="24" t="s">
        <v>469</v>
      </c>
      <c r="D27" s="23" t="s">
        <v>547</v>
      </c>
      <c r="E27" s="23"/>
      <c r="F27" s="56">
        <v>8</v>
      </c>
      <c r="G27" s="57">
        <f t="shared" si="0"/>
        <v>0</v>
      </c>
    </row>
    <row r="28" spans="1:7" x14ac:dyDescent="0.3">
      <c r="B28" s="23">
        <v>104</v>
      </c>
      <c r="C28" s="24" t="s">
        <v>468</v>
      </c>
      <c r="D28" s="23" t="s">
        <v>547</v>
      </c>
      <c r="E28" s="23"/>
      <c r="F28" s="56">
        <v>13</v>
      </c>
      <c r="G28" s="57">
        <f t="shared" si="0"/>
        <v>0</v>
      </c>
    </row>
    <row r="29" spans="1:7" x14ac:dyDescent="0.3">
      <c r="B29" s="23"/>
      <c r="C29" s="24"/>
      <c r="D29" s="23"/>
      <c r="E29" s="23"/>
      <c r="F29" s="56"/>
      <c r="G29" s="57" t="str">
        <f t="shared" si="0"/>
        <v/>
      </c>
    </row>
    <row r="30" spans="1:7" x14ac:dyDescent="0.3">
      <c r="B30" s="23"/>
      <c r="C30" s="24"/>
      <c r="D30" s="23"/>
      <c r="E30" s="23"/>
      <c r="F30" s="56"/>
      <c r="G30" s="57" t="str">
        <f t="shared" si="0"/>
        <v/>
      </c>
    </row>
    <row r="31" spans="1:7" x14ac:dyDescent="0.3">
      <c r="B31" s="23"/>
      <c r="C31" s="24"/>
      <c r="D31" s="23"/>
      <c r="E31" s="23"/>
      <c r="F31" s="56"/>
      <c r="G31" s="57" t="str">
        <f t="shared" si="0"/>
        <v/>
      </c>
    </row>
    <row r="32" spans="1:7" x14ac:dyDescent="0.3">
      <c r="B32" s="23"/>
      <c r="C32" s="24"/>
      <c r="D32" s="23"/>
      <c r="E32" s="23"/>
      <c r="F32" s="56"/>
      <c r="G32" s="57" t="str">
        <f t="shared" si="0"/>
        <v/>
      </c>
    </row>
    <row r="33" spans="2:7" x14ac:dyDescent="0.3">
      <c r="B33" s="23"/>
      <c r="C33" s="24"/>
      <c r="D33" s="23"/>
      <c r="E33" s="23"/>
      <c r="F33" s="56"/>
      <c r="G33" s="57" t="str">
        <f t="shared" si="0"/>
        <v/>
      </c>
    </row>
    <row r="34" spans="2:7" x14ac:dyDescent="0.3">
      <c r="B34" s="23"/>
      <c r="C34" s="24"/>
      <c r="D34" s="23"/>
      <c r="E34" s="23"/>
      <c r="F34" s="56"/>
      <c r="G34" s="57" t="str">
        <f t="shared" si="0"/>
        <v/>
      </c>
    </row>
    <row r="35" spans="2:7" x14ac:dyDescent="0.3">
      <c r="B35" s="23"/>
      <c r="C35" s="24"/>
      <c r="D35" s="23"/>
      <c r="E35" s="23"/>
      <c r="F35" s="56"/>
      <c r="G35" s="57" t="str">
        <f t="shared" si="0"/>
        <v/>
      </c>
    </row>
    <row r="36" spans="2:7" x14ac:dyDescent="0.3">
      <c r="B36" s="23"/>
      <c r="C36" s="24"/>
      <c r="D36" s="23"/>
      <c r="E36" s="23"/>
      <c r="F36" s="56"/>
      <c r="G36" s="57" t="str">
        <f t="shared" si="0"/>
        <v/>
      </c>
    </row>
    <row r="37" spans="2:7" x14ac:dyDescent="0.3">
      <c r="B37" s="23"/>
      <c r="C37" s="24"/>
      <c r="D37" s="23"/>
      <c r="E37" s="23"/>
      <c r="F37" s="56"/>
      <c r="G37" s="57" t="str">
        <f t="shared" si="0"/>
        <v/>
      </c>
    </row>
    <row r="38" spans="2:7" x14ac:dyDescent="0.3">
      <c r="B38" s="23"/>
      <c r="C38" s="24"/>
      <c r="D38" s="23"/>
      <c r="E38" s="23"/>
      <c r="F38" s="56"/>
      <c r="G38" s="57" t="str">
        <f t="shared" si="0"/>
        <v/>
      </c>
    </row>
    <row r="39" spans="2:7" x14ac:dyDescent="0.3">
      <c r="B39" s="23"/>
      <c r="C39" s="24"/>
      <c r="D39" s="23"/>
      <c r="E39" s="23"/>
      <c r="F39" s="56"/>
      <c r="G39" s="57" t="str">
        <f t="shared" si="0"/>
        <v/>
      </c>
    </row>
    <row r="40" spans="2:7" x14ac:dyDescent="0.3">
      <c r="B40" s="23"/>
      <c r="C40" s="24"/>
      <c r="D40" s="23"/>
      <c r="E40" s="23"/>
      <c r="F40" s="56"/>
      <c r="G40" s="57" t="str">
        <f t="shared" si="0"/>
        <v/>
      </c>
    </row>
    <row r="41" spans="2:7" x14ac:dyDescent="0.3">
      <c r="B41" s="23"/>
      <c r="C41" s="24"/>
      <c r="D41" s="23"/>
      <c r="E41" s="23"/>
      <c r="F41" s="56"/>
      <c r="G41" s="57" t="str">
        <f t="shared" si="0"/>
        <v/>
      </c>
    </row>
    <row r="42" spans="2:7" x14ac:dyDescent="0.3">
      <c r="B42" s="23"/>
      <c r="C42" s="24"/>
      <c r="D42" s="23"/>
      <c r="E42" s="23"/>
      <c r="F42" s="56"/>
      <c r="G42" s="57" t="str">
        <f t="shared" si="0"/>
        <v/>
      </c>
    </row>
    <row r="43" spans="2:7" x14ac:dyDescent="0.3">
      <c r="B43" s="23"/>
      <c r="C43" s="24"/>
      <c r="D43" s="23"/>
      <c r="E43" s="23"/>
      <c r="F43" s="56"/>
      <c r="G43" s="57" t="str">
        <f t="shared" si="0"/>
        <v/>
      </c>
    </row>
    <row r="44" spans="2:7" x14ac:dyDescent="0.3">
      <c r="B44" s="23"/>
      <c r="C44" s="24"/>
      <c r="D44" s="23"/>
      <c r="E44" s="23"/>
      <c r="F44" s="56"/>
      <c r="G44" s="57" t="str">
        <f t="shared" si="0"/>
        <v/>
      </c>
    </row>
    <row r="45" spans="2:7" x14ac:dyDescent="0.3">
      <c r="B45" s="23"/>
      <c r="C45" s="24"/>
      <c r="D45" s="23"/>
      <c r="E45" s="23"/>
      <c r="F45" s="56"/>
      <c r="G45" s="57" t="str">
        <f t="shared" si="0"/>
        <v/>
      </c>
    </row>
    <row r="46" spans="2:7" x14ac:dyDescent="0.3">
      <c r="B46" s="23"/>
      <c r="C46" s="24"/>
      <c r="D46" s="23"/>
      <c r="E46" s="23"/>
      <c r="F46" s="56"/>
      <c r="G46" s="57" t="str">
        <f t="shared" si="0"/>
        <v/>
      </c>
    </row>
    <row r="47" spans="2:7" x14ac:dyDescent="0.3">
      <c r="B47" s="23"/>
      <c r="C47" s="24"/>
      <c r="D47" s="23"/>
      <c r="E47" s="23"/>
      <c r="F47" s="56"/>
      <c r="G47" s="57" t="str">
        <f t="shared" si="0"/>
        <v/>
      </c>
    </row>
    <row r="48" spans="2:7" x14ac:dyDescent="0.3">
      <c r="B48" s="25"/>
      <c r="C48" s="24"/>
      <c r="D48" s="23"/>
      <c r="E48" s="25"/>
      <c r="F48" s="56"/>
      <c r="G48" s="57" t="str">
        <f t="shared" si="0"/>
        <v/>
      </c>
    </row>
    <row r="49" spans="2:7" x14ac:dyDescent="0.3">
      <c r="B49" s="25"/>
      <c r="C49" s="24"/>
      <c r="D49" s="23"/>
      <c r="E49" s="25"/>
      <c r="F49" s="56"/>
      <c r="G49" s="57" t="str">
        <f t="shared" si="0"/>
        <v/>
      </c>
    </row>
    <row r="50" spans="2:7" x14ac:dyDescent="0.3">
      <c r="B50" s="25"/>
      <c r="C50" s="24"/>
      <c r="D50" s="23"/>
      <c r="E50" s="25"/>
      <c r="F50" s="56"/>
      <c r="G50" s="57" t="str">
        <f t="shared" si="0"/>
        <v/>
      </c>
    </row>
    <row r="51" spans="2:7" x14ac:dyDescent="0.3">
      <c r="B51" s="25"/>
      <c r="C51" s="24"/>
      <c r="D51" s="23"/>
      <c r="E51" s="25"/>
      <c r="F51" s="56"/>
      <c r="G51" s="57" t="str">
        <f t="shared" si="0"/>
        <v/>
      </c>
    </row>
    <row r="52" spans="2:7" ht="2.25" customHeight="1" x14ac:dyDescent="0.3">
      <c r="B52" s="26"/>
      <c r="C52" s="27"/>
      <c r="D52" s="26"/>
      <c r="E52" s="26"/>
      <c r="F52" s="58"/>
      <c r="G52" s="59" t="str">
        <f t="shared" si="0"/>
        <v/>
      </c>
    </row>
    <row r="53" spans="2:7" ht="8.25" customHeight="1" thickBot="1" x14ac:dyDescent="0.35">
      <c r="B53" s="1"/>
      <c r="C53" s="28"/>
      <c r="D53" s="1"/>
      <c r="E53" s="1"/>
      <c r="F53" s="60"/>
      <c r="G53" s="60"/>
    </row>
    <row r="54" spans="2:7" ht="17.25" thickBot="1" x14ac:dyDescent="0.35">
      <c r="B54" s="68" t="s">
        <v>19</v>
      </c>
      <c r="C54" s="69"/>
      <c r="F54" s="61" t="s">
        <v>551</v>
      </c>
      <c r="G54" s="62">
        <f>SUM(G21:G53)</f>
        <v>465</v>
      </c>
    </row>
    <row r="55" spans="2:7" ht="18" customHeight="1" x14ac:dyDescent="0.3">
      <c r="B55" s="70"/>
      <c r="C55" s="71"/>
      <c r="D55" s="29"/>
      <c r="E55" s="29"/>
      <c r="F55" s="63" t="s">
        <v>18</v>
      </c>
      <c r="G55" s="64">
        <v>0</v>
      </c>
    </row>
    <row r="56" spans="2:7" ht="18" customHeight="1" x14ac:dyDescent="0.3">
      <c r="B56" s="72"/>
      <c r="C56" s="73"/>
      <c r="D56" s="29"/>
      <c r="E56" s="29"/>
      <c r="F56" s="63" t="s">
        <v>552</v>
      </c>
      <c r="G56" s="64">
        <f>+G54-G55</f>
        <v>465</v>
      </c>
    </row>
    <row r="57" spans="2:7" x14ac:dyDescent="0.3">
      <c r="B57" s="72"/>
      <c r="C57" s="73"/>
      <c r="D57" s="30"/>
      <c r="E57" s="30"/>
      <c r="F57" s="63" t="s">
        <v>20</v>
      </c>
      <c r="G57" s="64">
        <f>+G56*13%</f>
        <v>60.45</v>
      </c>
    </row>
    <row r="58" spans="2:7" ht="17.25" thickBot="1" x14ac:dyDescent="0.35">
      <c r="B58" s="74"/>
      <c r="C58" s="75"/>
      <c r="F58" s="65" t="s">
        <v>21</v>
      </c>
      <c r="G58" s="66">
        <f>+G56+G57</f>
        <v>525.45000000000005</v>
      </c>
    </row>
    <row r="59" spans="2:7" ht="8.25" customHeight="1" thickBot="1" x14ac:dyDescent="0.35"/>
    <row r="60" spans="2:7" ht="19.5" thickBot="1" x14ac:dyDescent="0.35">
      <c r="B60" s="76" t="s">
        <v>544</v>
      </c>
      <c r="C60" s="77"/>
      <c r="D60" s="31"/>
      <c r="E60" s="31"/>
      <c r="F60" s="31"/>
    </row>
    <row r="61" spans="2:7" ht="17.25" customHeight="1" x14ac:dyDescent="0.3">
      <c r="B61" s="79" t="s">
        <v>546</v>
      </c>
      <c r="C61" s="80"/>
      <c r="D61" s="32"/>
      <c r="E61" s="32"/>
    </row>
    <row r="62" spans="2:7" ht="17.25" x14ac:dyDescent="0.3">
      <c r="B62" s="81" t="s">
        <v>545</v>
      </c>
      <c r="C62" s="82"/>
      <c r="D62" s="32"/>
      <c r="E62" s="32"/>
      <c r="F62" s="32"/>
    </row>
    <row r="63" spans="2:7" ht="17.25" x14ac:dyDescent="0.3">
      <c r="B63" s="81"/>
      <c r="C63" s="82"/>
      <c r="D63" s="32"/>
      <c r="E63" s="32"/>
      <c r="F63" s="32"/>
    </row>
    <row r="64" spans="2:7" ht="17.25" x14ac:dyDescent="0.3">
      <c r="B64" s="81"/>
      <c r="C64" s="82"/>
      <c r="D64" s="32"/>
      <c r="E64" s="32"/>
      <c r="F64" s="32"/>
    </row>
    <row r="65" spans="2:7" ht="18" thickBot="1" x14ac:dyDescent="0.35">
      <c r="B65" s="83"/>
      <c r="C65" s="84"/>
      <c r="D65" s="33"/>
      <c r="E65" s="33"/>
      <c r="F65" s="32"/>
    </row>
    <row r="66" spans="2:7" ht="9" customHeight="1" x14ac:dyDescent="0.3">
      <c r="B66" s="34"/>
      <c r="C66" s="35"/>
      <c r="D66" s="35"/>
      <c r="E66" s="35"/>
      <c r="F66" s="1"/>
      <c r="G66" s="36"/>
    </row>
    <row r="68" spans="2:7" x14ac:dyDescent="0.3">
      <c r="B68" s="3" t="s">
        <v>22</v>
      </c>
    </row>
    <row r="69" spans="2:7" x14ac:dyDescent="0.3">
      <c r="C69" s="37" t="s">
        <v>23</v>
      </c>
    </row>
    <row r="70" spans="2:7" ht="9.75" customHeight="1" x14ac:dyDescent="0.3">
      <c r="B70" s="38"/>
      <c r="C70" s="39"/>
      <c r="D70" s="38"/>
      <c r="E70" s="38"/>
      <c r="F70" s="38"/>
      <c r="G70" s="38"/>
    </row>
    <row r="71" spans="2:7" x14ac:dyDescent="0.3">
      <c r="B71" s="78" t="s">
        <v>24</v>
      </c>
      <c r="C71" s="78"/>
      <c r="D71" s="78"/>
      <c r="E71" s="78"/>
      <c r="F71" s="78"/>
      <c r="G71" s="78"/>
    </row>
    <row r="72" spans="2:7" x14ac:dyDescent="0.3">
      <c r="B72" s="78" t="s">
        <v>25</v>
      </c>
      <c r="C72" s="78"/>
      <c r="D72" s="78"/>
      <c r="E72" s="78"/>
      <c r="F72" s="78"/>
      <c r="G72" s="78"/>
    </row>
    <row r="73" spans="2:7" x14ac:dyDescent="0.3">
      <c r="B73" s="78" t="s">
        <v>26</v>
      </c>
      <c r="C73" s="78"/>
      <c r="D73" s="78"/>
      <c r="E73" s="78"/>
      <c r="F73" s="78"/>
      <c r="G73" s="78"/>
    </row>
  </sheetData>
  <sheetProtection algorithmName="SHA-512" hashValue="8JK9i1UBrn/hHtxpS8n3AmJny6ENDW5Cd0XCzj0ATT+X9QdmI08Ysa/6//10JRbUknTwPfA8xCmp4GLGSDrzWA==" saltValue="XIGS2JjoUDavda3JwUOxpA==" spinCount="100000" sheet="1" formatCells="0" formatColumns="0" formatRows="0" autoFilter="0" pivotTables="0"/>
  <mergeCells count="12">
    <mergeCell ref="B72:G72"/>
    <mergeCell ref="B73:G73"/>
    <mergeCell ref="B61:C61"/>
    <mergeCell ref="B62:C62"/>
    <mergeCell ref="B63:C63"/>
    <mergeCell ref="B64:C64"/>
    <mergeCell ref="B65:C65"/>
    <mergeCell ref="F3:G3"/>
    <mergeCell ref="B54:C54"/>
    <mergeCell ref="B55:C58"/>
    <mergeCell ref="B60:C60"/>
    <mergeCell ref="B71:G71"/>
  </mergeCells>
  <conditionalFormatting sqref="B21:G52">
    <cfRule type="expression" dxfId="1" priority="2">
      <formula>MOD(ROW(),2)=1</formula>
    </cfRule>
  </conditionalFormatting>
  <conditionalFormatting sqref="G6">
    <cfRule type="expression" dxfId="0" priority="3">
      <formula>#REF!&gt;0</formula>
    </cfRule>
  </conditionalFormatting>
  <hyperlinks>
    <hyperlink ref="C8" r:id="rId1" xr:uid="{F5CCC929-2DE9-4EB7-A434-30F819C7D3DB}"/>
  </hyperlinks>
  <pageMargins left="0.31" right="0.26" top="0.46" bottom="0.22" header="0.31496062992125984" footer="0"/>
  <pageSetup scale="73" orientation="portrait" r:id="rId2"/>
  <ignoredErrors>
    <ignoredError sqref="G54" unlockedFormula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12</vt:i4>
      </vt:variant>
    </vt:vector>
  </HeadingPairs>
  <TitlesOfParts>
    <vt:vector size="15" baseType="lpstr">
      <vt:lpstr>Clientes</vt:lpstr>
      <vt:lpstr>Productos</vt:lpstr>
      <vt:lpstr>Factura</vt:lpstr>
      <vt:lpstr>Factura!Área_de_impresión</vt:lpstr>
      <vt:lpstr>Cliente</vt:lpstr>
      <vt:lpstr>Cliente1</vt:lpstr>
      <vt:lpstr>Cliente2</vt:lpstr>
      <vt:lpstr>Cliente3</vt:lpstr>
      <vt:lpstr>Cliente4</vt:lpstr>
      <vt:lpstr>Cliente5</vt:lpstr>
      <vt:lpstr>Comentario</vt:lpstr>
      <vt:lpstr>Fecha</vt:lpstr>
      <vt:lpstr>IDClliente</vt:lpstr>
      <vt:lpstr>LimpiarTodo</vt:lpstr>
      <vt:lpstr>NumCotizacion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Torres</dc:creator>
  <cp:lastModifiedBy>Luis Torres</cp:lastModifiedBy>
  <cp:lastPrinted>2020-10-19T00:53:24Z</cp:lastPrinted>
  <dcterms:created xsi:type="dcterms:W3CDTF">2020-10-18T21:11:57Z</dcterms:created>
  <dcterms:modified xsi:type="dcterms:W3CDTF">2020-10-19T04:48:07Z</dcterms:modified>
</cp:coreProperties>
</file>