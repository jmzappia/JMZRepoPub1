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xl/slicerCaches/slicerCache3.xml" ContentType="application/vnd.ms-excel.slicerCache+xml"/>
  <Override PartName="/xl/calcChain.xml" ContentType="application/vnd.openxmlformats-officedocument.spreadsheetml.calcChain+xml"/>
  <Override PartName="/xl/worksheets/sheet31.xml" ContentType="application/vnd.openxmlformats-officedocument.spreadsheetml.worksheet+xml"/>
  <Override PartName="/xl/drawings/drawing31.xml" ContentType="application/vnd.openxmlformats-officedocument.drawing+xml"/>
  <Override PartName="/xl/charts/chart21.xml" ContentType="application/vnd.openxmlformats-officedocument.drawingml.chart+xml"/>
  <Override PartName="/xl/charts/colors1.xml" ContentType="application/vnd.ms-office.chartcolorstyle+xml"/>
  <Override PartName="/xl/charts/style1.xml" ContentType="application/vnd.ms-office.chartstyle+xml"/>
  <Override PartName="/xl/pivotTables/pivotTable1.xml" ContentType="application/vnd.openxmlformats-officedocument.spreadsheetml.pivotTable+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s/slicer2.xml" ContentType="application/vnd.ms-excel.slicer+xml"/>
  <Override PartName="/xl/slicerCaches/slicerCache22.xml" ContentType="application/vnd.ms-excel.slicerCache+xml"/>
  <Override PartName="/xl/sharedStrings.xml" ContentType="application/vnd.openxmlformats-officedocument.spreadsheetml.sharedStrings+xml"/>
  <Override PartName="/xl/worksheets/sheet22.xml" ContentType="application/vnd.openxmlformats-officedocument.spreadsheetml.worksheet+xml"/>
  <Override PartName="/xl/tables/table21.xml" ContentType="application/vnd.openxmlformats-officedocument.spreadsheetml.table+xml"/>
  <Override PartName="/xl/drawings/drawing22.xml" ContentType="application/vnd.openxmlformats-officedocument.drawing+xml"/>
  <Override PartName="/xl/slicers/slicer12.xml" ContentType="application/vnd.ms-excel.slicer+xml"/>
  <Override PartName="/customXml/item3.xml" ContentType="application/xml"/>
  <Override PartName="/customXml/itemProps31.xml" ContentType="application/vnd.openxmlformats-officedocument.customXmlProperties+xml"/>
  <Override PartName="/xl/worksheets/sheet13.xml" ContentType="application/vnd.openxmlformats-officedocument.spreadsheetml.worksheet+xml"/>
  <Override PartName="/xl/tables/table12.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slicerCaches/slicerCache13.xml" ContentType="application/vnd.ms-excel.slicerCache+xml"/>
  <Override PartName="/xl/styles.xml" ContentType="application/vnd.openxmlformats-officedocument.spreadsheetml.styles+xml"/>
  <Override PartName="/customXml/item22.xml" ContentType="application/xml"/>
  <Override PartName="/customXml/itemProps22.xml" ContentType="application/vnd.openxmlformats-officedocument.customXmlProperties+xml"/>
  <Override PartName="/xl/theme/theme11.xml" ContentType="application/vnd.openxmlformats-officedocument.theme+xml"/>
  <Override PartName="/xl/worksheets/sheet44.xml" ContentType="application/vnd.openxmlformats-officedocument.spreadsheetml.worksheet+xml"/>
  <Override PartName="/xl/pivotTables/pivotTable22.xml" ContentType="application/vnd.openxmlformats-officedocument.spreadsheetml.pivotTable+xml"/>
  <Override PartName="/xl/slicerCaches/slicerCache44.xml" ContentType="application/vnd.ms-excel.slicerCache+xml"/>
  <Override PartName="/customXml/item13.xml" ContentType="application/xml"/>
  <Override PartName="/customXml/itemProps13.xml" ContentType="application/vnd.openxmlformats-officedocument.customXmlPropertie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filterPrivacy="1" refreshAllConnections="1"/>
  <xr:revisionPtr revIDLastSave="0" documentId="13_ncr:1_{9846A5B6-2FAC-47D5-8BF5-7FF21F523D99}" xr6:coauthVersionLast="47" xr6:coauthVersionMax="47" xr10:uidLastSave="{00000000-0000-0000-0000-000000000000}"/>
  <bookViews>
    <workbookView xWindow="-120" yWindow="-120" windowWidth="29040" windowHeight="15960" xr2:uid="{00000000-000D-0000-FFFF-FFFF00000000}"/>
  </bookViews>
  <sheets>
    <sheet name="Resumen de dinero" sheetId="1" r:id="rId1"/>
    <sheet name="Dinero gastado" sheetId="4" r:id="rId2"/>
    <sheet name="Resumen mensual" sheetId="2" r:id="rId3"/>
    <sheet name="Datos del gráfico" sheetId="3" r:id="rId4"/>
  </sheets>
  <definedNames>
    <definedName name="AccountList">#REF!</definedName>
    <definedName name="PercentageAvailable">'Resumen de dinero'!$B$22</definedName>
    <definedName name="_xlnm.Print_Titles" localSheetId="2">'Resumen mensual'!$B:$B,'Resumen mensual'!$19:$20</definedName>
    <definedName name="SegmentaciónDeDatos_Cuenta">#N/A</definedName>
    <definedName name="SegmentaciónDeDatos_Descripción">#N/A</definedName>
    <definedName name="Slicer_Account11">#N/A</definedName>
    <definedName name="Slicer_Description21">#N/A</definedName>
  </definedNames>
  <calcPr calcId="191029"/>
  <pivotCaches>
    <pivotCache cacheId="5"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1" l="1" a="1"/>
  <c r="F5" i="1" s="1"/>
  <c r="F6" i="1" a="1"/>
  <c r="F6" i="1" s="1"/>
  <c r="G6" i="1" s="1"/>
  <c r="F7" i="1" a="1"/>
  <c r="F7" i="1" s="1"/>
  <c r="G7" i="1" s="1"/>
  <c r="B16" i="4"/>
  <c r="B15" i="4"/>
  <c r="B14" i="4"/>
  <c r="B13" i="4"/>
  <c r="B12" i="4"/>
  <c r="B11" i="4"/>
  <c r="B10" i="4"/>
  <c r="B9" i="4"/>
  <c r="B8" i="4"/>
  <c r="B7" i="4"/>
  <c r="B6" i="4"/>
  <c r="B5" i="4"/>
  <c r="E8" i="1"/>
  <c r="G5" i="1" l="1"/>
  <c r="G8" i="1" s="1"/>
  <c r="B22" i="1" s="1"/>
  <c r="F8" i="1"/>
</calcChain>
</file>

<file path=xl/sharedStrings.xml><?xml version="1.0" encoding="utf-8"?>
<sst xmlns="http://schemas.openxmlformats.org/spreadsheetml/2006/main" count="94" uniqueCount="47">
  <si>
    <t>Seguimiento de dinero personal</t>
  </si>
  <si>
    <t>En esta celda se encuentra el gráfico de columnas que muestra el porcentaje de dinero disponible.</t>
  </si>
  <si>
    <t>Dinero
Restante:</t>
  </si>
  <si>
    <t>Resumen de dinero</t>
  </si>
  <si>
    <t>Cuenta</t>
  </si>
  <si>
    <t>Cuenta corriente</t>
  </si>
  <si>
    <t>Ahorros</t>
  </si>
  <si>
    <t>Otros</t>
  </si>
  <si>
    <t>Total</t>
  </si>
  <si>
    <t>Dinero inicial</t>
  </si>
  <si>
    <t>Gastos totales</t>
  </si>
  <si>
    <t>Dinero gastado &gt;</t>
  </si>
  <si>
    <t>Dinero restante</t>
  </si>
  <si>
    <t>Dinero gastado</t>
  </si>
  <si>
    <t>Fecha</t>
  </si>
  <si>
    <t>Descripción</t>
  </si>
  <si>
    <t>Retirada de efectivo del ATM</t>
  </si>
  <si>
    <t>Almuerzo</t>
  </si>
  <si>
    <t>Pago del coche</t>
  </si>
  <si>
    <t>Pago de electricidad</t>
  </si>
  <si>
    <t>Cena</t>
  </si>
  <si>
    <t>Retirada de efectivo</t>
  </si>
  <si>
    <t>Importe</t>
  </si>
  <si>
    <t>&lt; Resumen de dinero</t>
  </si>
  <si>
    <t>Resumen mensual &gt;</t>
  </si>
  <si>
    <t xml:space="preserve">La segmentación de datos para filtrar los datos de la tabla en función del tipo de cuenta está en esta celda. </t>
  </si>
  <si>
    <t>En esta celda se encuentra la segmentación de datos para filtrar los datos de la tabla en función de la descripción.</t>
  </si>
  <si>
    <t>Resumen mensual</t>
  </si>
  <si>
    <t>Para actualizar estos datos, seleccione primero el gráfico dinámico.  Cuando lo haya seleccionado, haga clic derecho para ver el menú contextual.  Seleccione Actualizar o Actualizar todo para actualizar el gráfico.</t>
  </si>
  <si>
    <t>Resumen de la cuenta</t>
  </si>
  <si>
    <t>En esta celda se encuentra el gráfico de columnas de resumen de cuentas que compara cuentas corrientes, ahorros y otros para cada mes.</t>
  </si>
  <si>
    <t>Resumen de gastos</t>
  </si>
  <si>
    <t>&lt; Dinero gastado</t>
  </si>
  <si>
    <t xml:space="preserve">La segmentación de datos para filtrar el gráfico en función del tipo de cuenta está en esta celda. </t>
  </si>
  <si>
    <t>En esta celda se encuentra la segmentación de datos para filtrar gráficos por descripción.</t>
  </si>
  <si>
    <t>Datos de gráfico dinámico</t>
  </si>
  <si>
    <t>Esta tabla dinámica es el origen de datos del gráfico dinámico de resumen de la cuenta en la hoja de resumen mensual.</t>
  </si>
  <si>
    <t>Suma de Importe</t>
  </si>
  <si>
    <t>Grand Total</t>
  </si>
  <si>
    <t>Apr</t>
  </si>
  <si>
    <t>May</t>
  </si>
  <si>
    <t>Jun</t>
  </si>
  <si>
    <t>Jul</t>
  </si>
  <si>
    <t>Aug</t>
  </si>
  <si>
    <t>Sep</t>
  </si>
  <si>
    <t>Column Labels</t>
  </si>
  <si>
    <t>Row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</si>
</sst>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quot;€&quot;_-;\-* #,##0.00\ &quot;€&quot;_-;_-* &quot;-&quot;??\ &quot;€&quot;_-;_-@_-"/>
    <numFmt numFmtId="165" formatCode="_ &quot;₹&quot;\ * #,##0_ ;_ &quot;₹&quot;\ * \-#,##0_ ;_ &quot;₹&quot;\ * &quot;-&quot;_ ;_ @_ "/>
    <numFmt numFmtId="166" formatCode="_ * #,##0_ ;_ * \-#,##0_ ;_ * &quot;-&quot;_ ;_ @_ "/>
    <numFmt numFmtId="167" formatCode="_ * #,##0.00_ ;_ * \-#,##0.00_ ;_ * &quot;-&quot;??_ ;_ @_ "/>
    <numFmt numFmtId="168" formatCode="_(@_)"/>
    <numFmt numFmtId="169" formatCode="0.00_ ;\-0.00\ "/>
    <numFmt numFmtId="170" formatCode="#,##0.00_ ;[Red]\-#,##0.00\ "/>
  </numFmts>
  <fonts count="11" x14ac:knownFonts="1">
    <font>
      <sz val="11"/>
      <color theme="1"/>
      <name val="Calibri"/>
      <family val="2"/>
      <scheme val="minor"/>
    </font>
    <font>
      <sz val="11"/>
      <color theme="1"/>
      <name val="Calibri"/>
      <family val="2"/>
      <scheme val="minor"/>
    </font>
    <font>
      <sz val="18"/>
      <color theme="3"/>
      <name val="Times New Roman"/>
      <family val="1"/>
      <scheme val="major"/>
    </font>
    <font>
      <sz val="12"/>
      <color theme="1"/>
      <name val="Calibri"/>
      <family val="2"/>
      <scheme val="minor"/>
    </font>
    <font>
      <i/>
      <sz val="22"/>
      <color theme="3"/>
      <name val="Calibri"/>
      <family val="2"/>
      <scheme val="minor"/>
    </font>
    <font>
      <i/>
      <sz val="13"/>
      <color theme="1" tint="0.34998626667073579"/>
      <name val="Times New Roman"/>
      <family val="1"/>
      <scheme val="major"/>
    </font>
    <font>
      <sz val="11"/>
      <color theme="0"/>
      <name val="Calibri"/>
      <family val="2"/>
      <scheme val="minor"/>
    </font>
    <font>
      <sz val="11"/>
      <color theme="3" tint="-0.24994659260841701"/>
      <name val="Calibri"/>
      <family val="2"/>
      <scheme val="minor"/>
    </font>
    <font>
      <sz val="22"/>
      <color theme="5" tint="-0.499984740745262"/>
      <name val="Times New Roman"/>
      <family val="2"/>
      <scheme val="major"/>
    </font>
    <font>
      <i/>
      <sz val="11"/>
      <color theme="1"/>
      <name val="Calibri"/>
      <family val="2"/>
      <scheme val="minor"/>
    </font>
    <font>
      <sz val="14"/>
      <color theme="3"/>
      <name val="Times New Roman"/>
      <scheme val="major"/>
    </font>
  </fonts>
  <fills count="4">
    <fill>
      <patternFill patternType="none"/>
    </fill>
    <fill>
      <patternFill patternType="gray125"/>
    </fill>
    <fill>
      <patternFill patternType="solid">
        <fgColor theme="4"/>
        <bgColor indexed="64"/>
      </patternFill>
    </fill>
    <fill>
      <patternFill patternType="solid">
        <fgColor rgb="FFFFFFCC"/>
      </patternFill>
    </fill>
  </fills>
  <borders count="10">
    <border>
      <left/>
      <right/>
      <top/>
      <bottom/>
      <diagonal/>
    </border>
    <border>
      <left/>
      <right/>
      <top/>
      <bottom style="dotted">
        <color theme="0" tint="-0.34998626667073579"/>
      </bottom>
      <diagonal/>
    </border>
    <border>
      <left style="thin">
        <color theme="3" tint="0.79995117038483843"/>
      </left>
      <right style="thin">
        <color theme="3" tint="0.79995117038483843"/>
      </right>
      <top style="thin">
        <color theme="3" tint="0.79995117038483843"/>
      </top>
      <bottom/>
      <diagonal/>
    </border>
    <border>
      <left style="thin">
        <color theme="3" tint="0.79995117038483843"/>
      </left>
      <right style="thin">
        <color theme="3" tint="0.79995117038483843"/>
      </right>
      <top/>
      <bottom/>
      <diagonal/>
    </border>
    <border>
      <left style="thin">
        <color theme="3" tint="0.79995117038483843"/>
      </left>
      <right style="thin">
        <color theme="3" tint="0.79995117038483843"/>
      </right>
      <top/>
      <bottom style="thin">
        <color theme="3" tint="0.79995117038483843"/>
      </bottom>
      <diagonal/>
    </border>
    <border>
      <left style="thin">
        <color theme="3" tint="0.79998168889431442"/>
      </left>
      <right style="thin">
        <color theme="3" tint="0.79998168889431442"/>
      </right>
      <top style="thin">
        <color theme="3" tint="0.79995117038483843"/>
      </top>
      <bottom/>
      <diagonal/>
    </border>
    <border>
      <left style="thin">
        <color theme="3" tint="0.79998168889431442"/>
      </left>
      <right style="thin">
        <color theme="3" tint="0.79998168889431442"/>
      </right>
      <top/>
      <bottom style="thin">
        <color theme="3" tint="0.79995117038483843"/>
      </bottom>
      <diagonal/>
    </border>
    <border>
      <left style="thin">
        <color rgb="FFB2B2B2"/>
      </left>
      <right style="thin">
        <color rgb="FFB2B2B2"/>
      </right>
      <top style="thin">
        <color rgb="FFB2B2B2"/>
      </top>
      <bottom style="thin">
        <color rgb="FFB2B2B2"/>
      </bottom>
      <diagonal/>
    </border>
    <border>
      <left/>
      <right/>
      <top style="dotted">
        <color theme="0" tint="-0.34998626667073579"/>
      </top>
      <bottom/>
      <diagonal/>
    </border>
    <border>
      <left/>
      <right style="thick">
        <color theme="0"/>
      </right>
      <top/>
      <bottom style="dotted">
        <color theme="0" tint="-0.34998626667073579"/>
      </bottom>
      <diagonal/>
    </border>
  </borders>
  <cellStyleXfs count="11">
    <xf numFmtId="0" fontId="0" fillId="0" borderId="0">
      <alignment wrapText="1"/>
    </xf>
    <xf numFmtId="164" fontId="1" fillId="0" borderId="0" applyFont="0" applyFill="0" applyBorder="0" applyAlignment="0" applyProtection="0"/>
    <xf numFmtId="0" fontId="8" fillId="0" borderId="1" applyNumberFormat="0" applyFill="0" applyAlignment="0" applyProtection="0"/>
    <xf numFmtId="9" fontId="1" fillId="0" borderId="0" applyFont="0" applyFill="0" applyBorder="0" applyAlignment="0" applyProtection="0"/>
    <xf numFmtId="0" fontId="2"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167" fontId="1" fillId="0" borderId="0" applyFill="0" applyBorder="0" applyAlignment="0" applyProtection="0"/>
    <xf numFmtId="166" fontId="1" fillId="0" borderId="0" applyFill="0" applyBorder="0" applyAlignment="0" applyProtection="0"/>
    <xf numFmtId="165" fontId="1" fillId="0" borderId="0" applyFill="0" applyBorder="0" applyAlignment="0" applyProtection="0"/>
    <xf numFmtId="0" fontId="1" fillId="3" borderId="7" applyNumberFormat="0" applyAlignment="0" applyProtection="0"/>
  </cellStyleXfs>
  <cellXfs count="42">
    <xf numFmtId="0" fontId="0" fillId="0" borderId="0" xfId="0">
      <alignment wrapText="1"/>
    </xf>
    <xf numFmtId="0" fontId="8" fillId="0" borderId="1" xfId="2"/>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3" fillId="0" borderId="0" xfId="0" applyFont="1">
      <alignment wrapText="1"/>
    </xf>
    <xf numFmtId="0" fontId="3" fillId="0" borderId="0" xfId="0" applyFont="1" applyAlignment="1">
      <alignment horizontal="center" vertical="center" wrapText="1"/>
    </xf>
    <xf numFmtId="14" fontId="0" fillId="0" borderId="0" xfId="0" applyNumberFormat="1" applyAlignment="1">
      <alignment horizontal="left" indent="2"/>
    </xf>
    <xf numFmtId="0" fontId="3" fillId="0" borderId="0" xfId="0" applyFont="1" applyAlignment="1">
      <alignment horizontal="left" vertical="center" indent="1"/>
    </xf>
    <xf numFmtId="168" fontId="0" fillId="0" borderId="0" xfId="0" applyNumberFormat="1" applyAlignment="1">
      <alignment horizontal="left" indent="1"/>
    </xf>
    <xf numFmtId="168" fontId="0" fillId="0" borderId="0" xfId="0" applyNumberFormat="1" applyAlignment="1">
      <alignment horizontal="left"/>
    </xf>
    <xf numFmtId="0" fontId="7" fillId="2" borderId="1" xfId="5" applyFill="1" applyBorder="1" applyAlignment="1">
      <alignment horizontal="center" vertical="center"/>
    </xf>
    <xf numFmtId="14" fontId="0" fillId="0" borderId="0" xfId="0" applyNumberFormat="1" applyAlignment="1">
      <alignment horizontal="left" wrapText="1"/>
    </xf>
    <xf numFmtId="0" fontId="0" fillId="0" borderId="0" xfId="0" applyAlignment="1">
      <alignment horizontal="left" wrapText="1" indent="1"/>
    </xf>
    <xf numFmtId="0" fontId="0" fillId="0" borderId="0" xfId="0" applyAlignment="1">
      <alignment horizontal="center" wrapText="1"/>
    </xf>
    <xf numFmtId="0" fontId="8" fillId="0" borderId="0" xfId="2" applyBorder="1" applyAlignment="1">
      <alignment vertical="center"/>
    </xf>
    <xf numFmtId="0" fontId="7" fillId="2" borderId="9" xfId="5" applyFill="1" applyBorder="1" applyAlignment="1">
      <alignment vertical="center"/>
    </xf>
    <xf numFmtId="0" fontId="6" fillId="0" borderId="0" xfId="0" applyFont="1">
      <alignment wrapText="1"/>
    </xf>
    <xf numFmtId="0" fontId="9" fillId="0" borderId="0" xfId="0" applyFont="1" applyAlignment="1">
      <alignment vertical="center"/>
    </xf>
    <xf numFmtId="0" fontId="0" fillId="0" borderId="0" xfId="0" pivotButton="1">
      <alignment wrapText="1"/>
    </xf>
    <xf numFmtId="0" fontId="0" fillId="0" borderId="0" xfId="0" applyAlignment="1">
      <alignment horizontal="center" vertical="center" wrapText="1"/>
    </xf>
    <xf numFmtId="169" fontId="0" fillId="0" borderId="0" xfId="0" applyNumberFormat="1">
      <alignment wrapText="1"/>
    </xf>
    <xf numFmtId="170" fontId="0" fillId="0" borderId="0" xfId="1" applyNumberFormat="1" applyFont="1" applyAlignment="1">
      <alignment horizontal="right" indent="1"/>
    </xf>
    <xf numFmtId="169" fontId="0" fillId="0" borderId="0" xfId="1" applyNumberFormat="1" applyFont="1" applyFill="1" applyBorder="1" applyAlignment="1">
      <alignment horizontal="right"/>
    </xf>
    <xf numFmtId="0" fontId="10" fillId="0" borderId="0" xfId="0" pivotButton="1" applyFont="1" applyAlignment="1">
      <alignment horizontal="left" vertical="top" wrapText="1"/>
    </xf>
    <xf numFmtId="0" fontId="0" fillId="0" borderId="0" xfId="0" applyNumberFormat="1" applyAlignment="1">
      <alignment horizontal="left" wrapText="1"/>
    </xf>
    <xf numFmtId="0" fontId="0" fillId="0" borderId="0" xfId="0" pivotButton="1" applyFont="1">
      <alignment wrapText="1"/>
    </xf>
    <xf numFmtId="0" fontId="0" fillId="0" borderId="0" xfId="0" applyFont="1">
      <alignment wrapText="1"/>
    </xf>
    <xf numFmtId="9" fontId="4" fillId="0" borderId="5" xfId="3" applyFont="1" applyBorder="1" applyAlignment="1">
      <alignment horizontal="center" vertical="center"/>
    </xf>
    <xf numFmtId="9" fontId="4" fillId="0" borderId="6" xfId="3" applyFont="1" applyBorder="1" applyAlignment="1">
      <alignment horizontal="center" vertical="center"/>
    </xf>
    <xf numFmtId="0" fontId="2" fillId="0" borderId="0" xfId="4" applyBorder="1" applyAlignment="1">
      <alignment horizontal="left"/>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8" fillId="0" borderId="0" xfId="2" applyBorder="1" applyAlignment="1">
      <alignment horizontal="left" vertical="center"/>
    </xf>
    <xf numFmtId="0" fontId="8" fillId="0" borderId="1" xfId="2" applyAlignment="1">
      <alignment horizontal="left" vertical="center"/>
    </xf>
    <xf numFmtId="0" fontId="6" fillId="0" borderId="2" xfId="0" applyFont="1" applyBorder="1" applyAlignment="1">
      <alignment horizontal="center" wrapText="1"/>
    </xf>
    <xf numFmtId="0" fontId="6" fillId="0" borderId="3" xfId="0" applyFont="1" applyBorder="1" applyAlignment="1">
      <alignment horizontal="center" wrapText="1"/>
    </xf>
    <xf numFmtId="0" fontId="0" fillId="0" borderId="8" xfId="0" applyBorder="1" applyAlignment="1">
      <alignment horizontal="center" wrapText="1"/>
    </xf>
    <xf numFmtId="0" fontId="6" fillId="0" borderId="0" xfId="0" applyFont="1" applyAlignment="1">
      <alignment horizontal="center" wrapText="1"/>
    </xf>
    <xf numFmtId="0" fontId="2" fillId="0" borderId="0" xfId="4" applyBorder="1" applyAlignment="1">
      <alignment horizontal="left" vertical="center"/>
    </xf>
    <xf numFmtId="0" fontId="9" fillId="0" borderId="8" xfId="2" applyFont="1" applyBorder="1" applyAlignment="1">
      <alignment horizontal="left" wrapText="1"/>
    </xf>
    <xf numFmtId="0" fontId="0" fillId="0" borderId="0" xfId="0" applyAlignment="1">
      <alignment horizontal="left" wrapText="1"/>
    </xf>
  </cellXfs>
  <cellStyles count="11">
    <cellStyle name="Comma" xfId="7" builtinId="3" customBuiltin="1"/>
    <cellStyle name="Comma [0]" xfId="8" builtinId="6" customBuiltin="1"/>
    <cellStyle name="Currency" xfId="1" builtinId="4" customBuiltin="1"/>
    <cellStyle name="Currency [0]" xfId="9" builtinId="7" customBuiltin="1"/>
    <cellStyle name="Followed Hyperlink" xfId="6" builtinId="9" customBuiltin="1"/>
    <cellStyle name="Heading 1" xfId="4" builtinId="16" customBuiltin="1"/>
    <cellStyle name="Hyperlink" xfId="5" builtinId="8" customBuiltin="1"/>
    <cellStyle name="Normal" xfId="0" builtinId="0" customBuiltin="1"/>
    <cellStyle name="Note" xfId="10" builtinId="10" customBuiltin="1"/>
    <cellStyle name="Percent" xfId="3" builtinId="5" customBuiltin="1"/>
    <cellStyle name="Title" xfId="2" builtinId="15" customBuiltin="1"/>
  </cellStyles>
  <dxfs count="80">
    <dxf>
      <font>
        <sz val="9"/>
      </font>
    </dxf>
    <dxf>
      <font>
        <sz val="12"/>
      </font>
    </dxf>
    <dxf>
      <font>
        <sz val="11"/>
      </font>
    </dxf>
    <dxf>
      <font>
        <sz val="11"/>
      </font>
    </dxf>
    <dxf>
      <numFmt numFmtId="169" formatCode="0.00_ ;\-0.00\ "/>
    </dxf>
    <dxf>
      <font>
        <sz val="8"/>
      </font>
    </dxf>
    <dxf>
      <alignment vertical="top" readingOrder="0"/>
    </dxf>
    <dxf>
      <font>
        <sz val="12"/>
      </font>
    </dxf>
    <dxf>
      <font>
        <b val="0"/>
        <i val="0"/>
        <strike val="0"/>
        <condense val="0"/>
        <extend val="0"/>
        <outline val="0"/>
        <shadow val="0"/>
        <u val="none"/>
        <vertAlign val="baseline"/>
        <sz val="18"/>
        <color theme="3"/>
        <name val="Times New Roman"/>
        <scheme val="major"/>
      </font>
    </dxf>
    <dxf>
      <alignment horizontal="left" readingOrder="0"/>
    </dxf>
    <dxf>
      <font>
        <sz val="14"/>
      </font>
    </dxf>
    <dxf>
      <alignment horizontal="right" readingOrder="0"/>
    </dxf>
    <dxf>
      <numFmt numFmtId="169" formatCode="0.00_ ;\-0.00\ "/>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0.00_ ;\-0.00\ "/>
    </dxf>
    <dxf>
      <font>
        <sz val="11"/>
      </font>
    </dxf>
    <dxf>
      <font>
        <sz val="11"/>
      </font>
    </dxf>
    <dxf>
      <font>
        <sz val="12"/>
      </font>
    </dxf>
    <dxf>
      <font>
        <sz val="9"/>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0.00_ ;\-0.00\ "/>
    </dxf>
    <dxf>
      <alignment horizontal="right" readingOrder="0"/>
    </dxf>
    <dxf>
      <font>
        <sz val="14"/>
      </font>
    </dxf>
    <dxf>
      <alignment horizontal="left" readingOrder="0"/>
    </dxf>
    <dxf>
      <font>
        <b val="0"/>
        <i val="0"/>
        <strike val="0"/>
        <condense val="0"/>
        <extend val="0"/>
        <outline val="0"/>
        <shadow val="0"/>
        <u val="none"/>
        <vertAlign val="baseline"/>
        <sz val="18"/>
        <color theme="3"/>
        <name val="Times New Roman"/>
        <scheme val="major"/>
      </font>
    </dxf>
    <dxf>
      <font>
        <sz val="12"/>
      </font>
    </dxf>
    <dxf>
      <alignment vertical="top" readingOrder="0"/>
    </dxf>
    <dxf>
      <font>
        <sz val="8"/>
      </font>
    </dxf>
    <dxf>
      <font>
        <strike val="0"/>
        <outline val="0"/>
        <shadow val="0"/>
        <u val="none"/>
        <vertAlign val="baseline"/>
        <sz val="11"/>
        <color theme="1"/>
        <name val="Calibri"/>
        <scheme val="minor"/>
      </font>
      <numFmt numFmtId="168" formatCode="_(@_)"/>
      <alignment horizontal="left" vertical="bottom" textRotation="0" wrapText="0" indent="1" justifyLastLine="0" shrinkToFit="0" readingOrder="0"/>
    </dxf>
    <dxf>
      <font>
        <strike val="0"/>
        <outline val="0"/>
        <shadow val="0"/>
        <u val="none"/>
        <vertAlign val="baseline"/>
        <sz val="11"/>
        <color theme="1"/>
        <name val="Calibri"/>
        <scheme val="minor"/>
      </font>
      <numFmt numFmtId="170" formatCode="#,##0.00_ ;[Red]\-#,##0.00\ "/>
      <alignment horizontal="right" vertical="bottom" textRotation="0" wrapText="0" indent="1" justifyLastLine="0" shrinkToFit="0" readingOrder="0"/>
    </dxf>
    <dxf>
      <font>
        <strike val="0"/>
        <outline val="0"/>
        <shadow val="0"/>
        <u val="none"/>
        <vertAlign val="baseline"/>
        <sz val="11"/>
        <color theme="1"/>
        <name val="Calibri"/>
        <scheme val="minor"/>
      </font>
      <numFmt numFmtId="168" formatCode="_(@_)"/>
      <alignment horizontal="left" vertical="bottom" textRotation="0" wrapText="0" indent="1" justifyLastLine="0" shrinkToFit="0" readingOrder="0"/>
    </dxf>
    <dxf>
      <font>
        <strike val="0"/>
        <outline val="0"/>
        <shadow val="0"/>
        <u val="none"/>
        <vertAlign val="baseline"/>
        <sz val="11"/>
        <color theme="1"/>
        <name val="Calibri"/>
        <scheme val="minor"/>
      </font>
      <numFmt numFmtId="171" formatCode="dd/mm/yyyy"/>
      <alignment horizontal="left" vertical="bottom" textRotation="0" wrapText="0" indent="2" justifyLastLine="0" shrinkToFit="0" readingOrder="0"/>
    </dxf>
    <dxf>
      <font>
        <strike val="0"/>
        <outline val="0"/>
        <shadow val="0"/>
        <u val="none"/>
        <vertAlign val="baseline"/>
        <sz val="11"/>
        <color rgb="FF000000"/>
        <name val="Calibri"/>
        <scheme val="none"/>
      </font>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0.00_);\(0.00\)"/>
      <fill>
        <patternFill patternType="none">
          <fgColor indexed="64"/>
          <bgColor indexed="65"/>
        </patternFill>
      </fill>
      <border diagonalUp="0" diagonalDown="0" outline="0">
        <left/>
        <right/>
        <top/>
        <bottom/>
      </border>
    </dxf>
    <dxf>
      <font>
        <strike val="0"/>
        <outline val="0"/>
        <shadow val="0"/>
        <u val="none"/>
        <vertAlign val="baseline"/>
        <sz val="11"/>
        <color theme="1"/>
        <name val="Calibri"/>
        <scheme val="minor"/>
      </font>
      <numFmt numFmtId="169" formatCode="0.00_ ;\-0.00\ "/>
    </dxf>
    <dxf>
      <font>
        <b val="0"/>
        <i val="0"/>
        <strike val="0"/>
        <condense val="0"/>
        <extend val="0"/>
        <outline val="0"/>
        <shadow val="0"/>
        <u val="none"/>
        <vertAlign val="baseline"/>
        <sz val="11"/>
        <color theme="1"/>
        <name val="Calibri"/>
        <family val="2"/>
        <scheme val="minor"/>
      </font>
      <numFmt numFmtId="172" formatCode="0.00_);\(0.00\)"/>
      <fill>
        <patternFill patternType="none">
          <fgColor indexed="64"/>
          <bgColor indexed="65"/>
        </patternFill>
      </fill>
      <border diagonalUp="0" diagonalDown="0" outline="0">
        <left/>
        <right/>
        <top/>
        <bottom/>
      </border>
    </dxf>
    <dxf>
      <font>
        <strike val="0"/>
        <outline val="0"/>
        <shadow val="0"/>
        <u val="none"/>
        <vertAlign val="baseline"/>
        <sz val="11"/>
        <color theme="1"/>
        <name val="Calibri"/>
        <scheme val="minor"/>
      </font>
      <numFmt numFmtId="169" formatCode="0.00_ ;\-0.00\ "/>
    </dxf>
    <dxf>
      <font>
        <b val="0"/>
        <i val="0"/>
        <strike val="0"/>
        <condense val="0"/>
        <extend val="0"/>
        <outline val="0"/>
        <shadow val="0"/>
        <u val="none"/>
        <vertAlign val="baseline"/>
        <sz val="11"/>
        <color theme="1"/>
        <name val="Calibri"/>
        <family val="2"/>
        <scheme val="minor"/>
      </font>
      <numFmt numFmtId="172" formatCode="0.00_);\(0.00\)"/>
      <fill>
        <patternFill patternType="none">
          <fgColor indexed="64"/>
          <bgColor indexed="65"/>
        </patternFill>
      </fill>
      <border diagonalUp="0" diagonalDown="0" outline="0">
        <left/>
        <right/>
        <top/>
        <bottom/>
      </border>
    </dxf>
    <dxf>
      <numFmt numFmtId="169" formatCode="0.00_ ;\-0.00\ "/>
    </dxf>
    <dxf>
      <font>
        <b val="0"/>
        <i val="0"/>
        <strike val="0"/>
        <condense val="0"/>
        <extend val="0"/>
        <outline val="0"/>
        <shadow val="0"/>
        <u val="none"/>
        <vertAlign val="baseline"/>
        <sz val="11"/>
        <color theme="1"/>
        <name val="Calibri"/>
        <family val="2"/>
        <scheme val="minor"/>
      </font>
      <numFmt numFmtId="168" formatCode="_(@_)"/>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strike val="0"/>
        <outline val="0"/>
        <shadow val="0"/>
        <u val="none"/>
        <vertAlign val="baseline"/>
        <sz val="11"/>
        <color theme="1"/>
        <name val="Calibri"/>
        <scheme val="minor"/>
      </font>
      <numFmt numFmtId="168" formatCode="_(@_)"/>
      <alignment horizontal="left" vertical="bottom" textRotation="0" wrapText="0" relativeIndent="-1" justifyLastLine="0" shrinkToFit="0" readingOrder="0"/>
    </dxf>
    <dxf>
      <font>
        <strike val="0"/>
        <outline val="0"/>
        <shadow val="0"/>
        <u val="none"/>
        <vertAlign val="baseline"/>
        <sz val="10"/>
        <color theme="1"/>
        <name val="Calibri"/>
        <scheme val="minor"/>
      </font>
    </dxf>
    <dxf>
      <font>
        <strike val="0"/>
        <outline val="0"/>
        <shadow val="0"/>
        <u val="none"/>
        <vertAlign val="baseline"/>
        <sz val="11"/>
        <color theme="1"/>
        <name val="Calibri"/>
        <scheme val="minor"/>
      </font>
    </dxf>
    <dxf>
      <font>
        <strike val="0"/>
        <outline val="0"/>
        <shadow val="0"/>
        <u val="none"/>
        <vertAlign val="baseline"/>
        <sz val="12"/>
        <color theme="1"/>
        <name val="Calibri"/>
        <scheme val="minor"/>
      </font>
      <alignment vertical="center" textRotation="0" wrapText="0" indent="0" justifyLastLine="0" shrinkToFit="0" readingOrder="0"/>
    </dxf>
    <dxf>
      <font>
        <color rgb="FFC00000"/>
      </font>
    </dxf>
    <dxf>
      <font>
        <color theme="7" tint="-0.499984740745262"/>
      </font>
    </dxf>
    <dxf>
      <font>
        <color theme="4" tint="-0.499984740745262"/>
      </font>
    </dxf>
    <dxf>
      <border>
        <left style="thick">
          <color theme="0"/>
        </left>
        <right style="thick">
          <color theme="0"/>
        </right>
        <vertical style="thick">
          <color theme="0"/>
        </vertical>
      </border>
    </dxf>
    <dxf>
      <border>
        <left style="thick">
          <color theme="0"/>
        </left>
        <right style="thick">
          <color theme="0"/>
        </right>
        <vertical style="thick">
          <color theme="0"/>
        </vertical>
      </border>
    </dxf>
    <dxf>
      <fill>
        <patternFill>
          <bgColor theme="5" tint="0.79998168889431442"/>
        </patternFill>
      </fill>
    </dxf>
    <dxf>
      <font>
        <color theme="1"/>
      </font>
      <fill>
        <patternFill>
          <bgColor theme="6" tint="0.79998168889431442"/>
        </patternFill>
      </fill>
      <border>
        <vertical/>
      </border>
    </dxf>
    <dxf>
      <font>
        <b val="0"/>
        <i val="0"/>
      </font>
      <border>
        <top style="dotted">
          <color theme="0" tint="-0.499984740745262"/>
        </top>
        <bottom/>
      </border>
    </dxf>
    <dxf>
      <font>
        <color theme="3"/>
      </font>
    </dxf>
    <dxf>
      <font>
        <sz val="12"/>
        <color theme="3"/>
        <name val="Times New Roman"/>
        <scheme val="major"/>
      </font>
    </dxf>
    <dxf>
      <font>
        <sz val="11"/>
        <color theme="3"/>
      </font>
    </dxf>
    <dxf>
      <font>
        <color theme="1"/>
      </font>
      <fill>
        <patternFill>
          <bgColor theme="6" tint="0.79998168889431442"/>
        </patternFill>
      </fill>
      <border>
        <bottom style="medium">
          <color theme="0" tint="-0.14996795556505021"/>
        </bottom>
        <vertical/>
      </border>
    </dxf>
    <dxf>
      <font>
        <b val="0"/>
        <i val="0"/>
        <color theme="3"/>
      </font>
      <border>
        <left/>
        <right/>
        <top style="dotted">
          <color theme="0" tint="-0.499984740745262"/>
        </top>
        <bottom/>
        <vertical/>
        <horizontal/>
      </border>
    </dxf>
    <dxf>
      <font>
        <b val="0"/>
        <i val="0"/>
        <color theme="3"/>
      </font>
      <border>
        <vertical style="thick">
          <color theme="0"/>
        </vertical>
        <horizontal style="thin">
          <color theme="0" tint="-0.14996795556505021"/>
        </horizontal>
      </border>
    </dxf>
    <dxf>
      <font>
        <b val="0"/>
        <i val="0"/>
        <color theme="3"/>
      </font>
    </dxf>
    <dxf>
      <font>
        <color theme="1"/>
      </font>
      <fill>
        <patternFill>
          <bgColor theme="6" tint="0.79998168889431442"/>
        </patternFill>
      </fill>
      <border>
        <bottom style="medium">
          <color theme="0" tint="-0.14996795556505021"/>
        </bottom>
        <vertical style="medium">
          <color theme="0"/>
        </vertical>
      </border>
    </dxf>
    <dxf>
      <font>
        <b val="0"/>
        <i val="0"/>
        <color theme="3"/>
      </font>
      <border>
        <left/>
        <right/>
        <top/>
        <bottom/>
        <vertical/>
        <horizontal/>
      </border>
    </dxf>
    <dxf>
      <font>
        <b val="0"/>
        <i val="0"/>
        <color theme="3"/>
      </font>
      <border>
        <vertical style="thick">
          <color theme="0"/>
        </vertical>
        <horizontal style="thin">
          <color theme="0" tint="-0.14996795556505021"/>
        </horizontal>
      </border>
    </dxf>
    <dxf>
      <border>
        <left style="thick">
          <color theme="0"/>
        </left>
        <right style="thick">
          <color theme="0"/>
        </right>
        <vertical style="thick">
          <color theme="0"/>
        </vertical>
      </border>
    </dxf>
    <dxf>
      <border>
        <left style="thick">
          <color theme="0"/>
        </left>
        <right style="thick">
          <color theme="0"/>
        </right>
        <vertical style="thick">
          <color theme="0"/>
        </vertical>
      </border>
    </dxf>
    <dxf>
      <font>
        <color theme="1"/>
      </font>
      <fill>
        <patternFill>
          <bgColor theme="6" tint="0.79998168889431442"/>
        </patternFill>
      </fill>
      <border>
        <bottom style="medium">
          <color theme="0" tint="-0.14996795556505021"/>
        </bottom>
        <vertical style="thick">
          <color theme="0"/>
        </vertical>
      </border>
    </dxf>
    <dxf>
      <font>
        <b val="0"/>
        <i val="0"/>
      </font>
      <border>
        <top style="dotted">
          <color theme="0" tint="-0.499984740745262"/>
        </top>
      </border>
    </dxf>
    <dxf>
      <font>
        <color theme="3"/>
      </font>
    </dxf>
  </dxfs>
  <tableStyles count="5" defaultTableStyle="TableStyleMedium2" defaultPivotStyle="PivotStyleLight16">
    <tableStyle name="TablaResumenEfectivo" pivot="0" count="5" xr9:uid="{A04140BD-CEF5-4A71-820B-455568E29A08}">
      <tableStyleElement type="wholeTable" dxfId="79"/>
      <tableStyleElement type="headerRow" dxfId="78"/>
      <tableStyleElement type="totalRow" dxfId="77"/>
      <tableStyleElement type="firstColumnStripe" dxfId="76"/>
      <tableStyleElement type="secondColumnStripe" dxfId="75"/>
    </tableStyle>
    <tableStyle name="Datos de Resumen de tabla dinámica mensuales" table="0" count="4" xr9:uid="{3D2029BE-D8B4-498A-957A-0CD6D4E76655}">
      <tableStyleElement type="wholeTable" dxfId="74"/>
      <tableStyleElement type="headerRow" dxfId="73"/>
      <tableStyleElement type="totalRow" dxfId="72"/>
      <tableStyleElement type="firstRowSubheading" dxfId="71"/>
    </tableStyle>
    <tableStyle name="Resumen mensual" table="0" count="3" xr9:uid="{1FF42E43-E003-4253-A502-2797A4FBFCD2}">
      <tableStyleElement type="wholeTable" dxfId="70"/>
      <tableStyleElement type="headerRow" dxfId="69"/>
      <tableStyleElement type="totalRow" dxfId="68"/>
    </tableStyle>
    <tableStyle name="Seguimiento de dinero" pivot="0" table="0" count="8" xr9:uid="{9CDF9DE9-9D4F-49FD-AF08-B6A233A802CC}">
      <tableStyleElement type="wholeTable" dxfId="67"/>
      <tableStyleElement type="headerRow" dxfId="66"/>
    </tableStyle>
    <tableStyle name="Tabla de dinero gastado" pivot="0" count="6" xr9:uid="{A6A26265-FF01-4E03-91B1-FDFA12390FB3}">
      <tableStyleElement type="wholeTable" dxfId="65"/>
      <tableStyleElement type="headerRow" dxfId="64"/>
      <tableStyleElement type="totalRow" dxfId="63"/>
      <tableStyleElement type="secondRowStripe" dxfId="62"/>
      <tableStyleElement type="firstColumnStripe" dxfId="61"/>
      <tableStyleElement type="secondColumnStripe" dxfId="60"/>
    </tableStyle>
  </tableStyles>
  <colors>
    <mruColors>
      <color rgb="FFFF6600"/>
    </mruColors>
  </colors>
  <extLst>
    <ext xmlns:x14="http://schemas.microsoft.com/office/spreadsheetml/2009/9/main" uri="{46F421CA-312F-682f-3DD2-61675219B42D}">
      <x14:dxfs count="6">
        <dxf>
          <fill>
            <patternFill>
              <bgColor theme="2" tint="-9.9948118533890809E-2"/>
            </patternFill>
          </fill>
        </dxf>
        <dxf>
          <fill>
            <patternFill>
              <bgColor theme="2"/>
            </patternFill>
          </fill>
        </dxf>
        <dxf>
          <font>
            <color theme="0" tint="-0.14996795556505021"/>
          </font>
          <fill>
            <patternFill patternType="none">
              <bgColor auto="1"/>
            </patternFill>
          </fill>
          <border>
            <left style="medium">
              <color theme="0" tint="-0.14996795556505021"/>
            </left>
            <right style="medium">
              <color theme="0" tint="-0.14996795556505021"/>
            </right>
            <top style="medium">
              <color theme="0" tint="-0.14996795556505021"/>
            </top>
            <bottom style="medium">
              <color theme="0" tint="-0.14996795556505021"/>
            </bottom>
          </border>
        </dxf>
        <dxf>
          <fill>
            <patternFill>
              <bgColor theme="5" tint="0.59996337778862885"/>
            </patternFill>
          </fill>
        </dxf>
        <dxf>
          <font>
            <color theme="0" tint="-0.24994659260841701"/>
          </font>
          <border>
            <left style="medium">
              <color theme="0" tint="-0.24994659260841701"/>
            </left>
            <right style="medium">
              <color theme="0" tint="-0.24994659260841701"/>
            </right>
            <top style="medium">
              <color theme="0" tint="-0.24994659260841701"/>
            </top>
            <bottom style="medium">
              <color theme="0" tint="-0.24994659260841701"/>
            </bottom>
          </border>
        </dxf>
        <dxf>
          <font>
            <b/>
            <i val="0"/>
            <color theme="0" tint="-0.499984740745262"/>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x14:dxfs>
    </ext>
    <ext xmlns:x14="http://schemas.microsoft.com/office/spreadsheetml/2009/9/main" uri="{EB79DEF2-80B8-43e5-95BD-54CBDDF9020C}">
      <x14:slicerStyles defaultSlicerStyle="SlicerStyleLight1">
        <x14:slicerStyle name="Seguimiento de dinero">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microsoft.com/office/2007/relationships/slicerCache" Target="/xl/slicerCaches/slicerCache3.xml" Id="rId8" /><Relationship Type="http://schemas.openxmlformats.org/officeDocument/2006/relationships/calcChain" Target="/xl/calcChain.xml" Id="rId13" /><Relationship Type="http://schemas.openxmlformats.org/officeDocument/2006/relationships/worksheet" Target="/xl/worksheets/sheet31.xml" Id="rId3" /><Relationship Type="http://schemas.microsoft.com/office/2007/relationships/slicerCache" Target="/xl/slicerCaches/slicerCache22.xml" Id="rId7" /><Relationship Type="http://schemas.openxmlformats.org/officeDocument/2006/relationships/sharedStrings" Target="/xl/sharedStrings.xml" Id="rId12" /><Relationship Type="http://schemas.openxmlformats.org/officeDocument/2006/relationships/worksheet" Target="/xl/worksheets/sheet22.xml" Id="rId2" /><Relationship Type="http://schemas.openxmlformats.org/officeDocument/2006/relationships/customXml" Target="/customXml/item3.xml" Id="rId16" /><Relationship Type="http://schemas.openxmlformats.org/officeDocument/2006/relationships/worksheet" Target="/xl/worksheets/sheet13.xml" Id="rId1" /><Relationship Type="http://schemas.microsoft.com/office/2007/relationships/slicerCache" Target="/xl/slicerCaches/slicerCache13.xml" Id="rId6" /><Relationship Type="http://schemas.openxmlformats.org/officeDocument/2006/relationships/styles" Target="/xl/styles.xml" Id="rId11" /><Relationship Type="http://schemas.openxmlformats.org/officeDocument/2006/relationships/pivotCacheDefinition" Target="/xl/pivotCache/pivotCacheDefinition11.xml" Id="rId5" /><Relationship Type="http://schemas.openxmlformats.org/officeDocument/2006/relationships/customXml" Target="/customXml/item22.xml" Id="rId15" /><Relationship Type="http://schemas.openxmlformats.org/officeDocument/2006/relationships/theme" Target="/xl/theme/theme11.xml" Id="rId10" /><Relationship Type="http://schemas.openxmlformats.org/officeDocument/2006/relationships/worksheet" Target="/xl/worksheets/sheet44.xml" Id="rId4" /><Relationship Type="http://schemas.microsoft.com/office/2007/relationships/slicerCache" Target="/xl/slicerCaches/slicerCache44.xml" Id="rId9" /><Relationship Type="http://schemas.openxmlformats.org/officeDocument/2006/relationships/customXml" Target="/customXml/item13.xml" Id="rId14" /></Relationships>
</file>

<file path=xl/charts/_rels/chart2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40660063772392913"/>
          <c:y val="3.4000715791347461E-2"/>
          <c:w val="0.63505380577427817"/>
          <c:h val="0.83761439655718151"/>
        </c:manualLayout>
      </c:layout>
      <c:barChart>
        <c:barDir val="col"/>
        <c:grouping val="clustered"/>
        <c:varyColors val="0"/>
        <c:ser>
          <c:idx val="0"/>
          <c:order val="0"/>
          <c:tx>
            <c:v>Efectivo</c:v>
          </c:tx>
          <c:invertIfNegative val="0"/>
          <c:dPt>
            <c:idx val="0"/>
            <c:invertIfNegative val="0"/>
            <c:bubble3D val="0"/>
            <c:spPr>
              <a:gradFill>
                <a:gsLst>
                  <a:gs pos="25000">
                    <a:srgbClr val="92D050">
                      <a:lumMod val="90000"/>
                    </a:srgbClr>
                  </a:gs>
                  <a:gs pos="50000">
                    <a:srgbClr val="FFC000">
                      <a:lumMod val="99000"/>
                    </a:srgbClr>
                  </a:gs>
                  <a:gs pos="75000">
                    <a:srgbClr val="FF0000">
                      <a:lumMod val="92000"/>
                      <a:lumOff val="8000"/>
                    </a:srgbClr>
                  </a:gs>
                </a:gsLst>
                <a:lin ang="5400000" scaled="0"/>
              </a:gradFill>
            </c:spPr>
            <c:extLst>
              <c:ext xmlns:c16="http://schemas.microsoft.com/office/drawing/2014/chart" uri="{C3380CC4-5D6E-409C-BE32-E72D297353CC}">
                <c16:uniqueId val="{00000001-2A66-4496-8395-062B3C13B722}"/>
              </c:ext>
            </c:extLst>
          </c:dPt>
          <c:cat>
            <c:strLit>
              <c:ptCount val="1"/>
              <c:pt idx="0">
                <c:v>Cash</c:v>
              </c:pt>
            </c:strLit>
          </c:cat>
          <c:val>
            <c:numRef>
              <c:f>'Resumen de dinero'!$B$22</c:f>
              <c:numCache>
                <c:formatCode>0%</c:formatCode>
                <c:ptCount val="1"/>
                <c:pt idx="0">
                  <c:v>0.73621621621621625</c:v>
                </c:pt>
              </c:numCache>
            </c:numRef>
          </c:val>
          <c:extLst>
            <c:ext xmlns:c16="http://schemas.microsoft.com/office/drawing/2014/chart" uri="{C3380CC4-5D6E-409C-BE32-E72D297353CC}">
              <c16:uniqueId val="{00000002-2A66-4496-8395-062B3C13B722}"/>
            </c:ext>
          </c:extLst>
        </c:ser>
        <c:dLbls>
          <c:showLegendKey val="0"/>
          <c:showVal val="0"/>
          <c:showCatName val="0"/>
          <c:showSerName val="0"/>
          <c:showPercent val="0"/>
          <c:showBubbleSize val="0"/>
        </c:dLbls>
        <c:gapWidth val="18"/>
        <c:axId val="581534232"/>
        <c:axId val="567614184"/>
      </c:barChart>
      <c:catAx>
        <c:axId val="581534232"/>
        <c:scaling>
          <c:orientation val="minMax"/>
        </c:scaling>
        <c:delete val="1"/>
        <c:axPos val="b"/>
        <c:numFmt formatCode="General" sourceLinked="0"/>
        <c:majorTickMark val="out"/>
        <c:minorTickMark val="none"/>
        <c:tickLblPos val="nextTo"/>
        <c:crossAx val="567614184"/>
        <c:crosses val="autoZero"/>
        <c:auto val="1"/>
        <c:lblAlgn val="ctr"/>
        <c:lblOffset val="100"/>
        <c:noMultiLvlLbl val="0"/>
      </c:catAx>
      <c:valAx>
        <c:axId val="567614184"/>
        <c:scaling>
          <c:orientation val="minMax"/>
          <c:max val="1"/>
          <c:min val="0"/>
        </c:scaling>
        <c:delete val="0"/>
        <c:axPos val="l"/>
        <c:numFmt formatCode="0%" sourceLinked="0"/>
        <c:majorTickMark val="out"/>
        <c:minorTickMark val="none"/>
        <c:tickLblPos val="nextTo"/>
        <c:spPr>
          <a:ln w="0">
            <a:solidFill>
              <a:schemeClr val="tx2"/>
            </a:solidFill>
            <a:prstDash val="sysDot"/>
          </a:ln>
        </c:spPr>
        <c:txPr>
          <a:bodyPr/>
          <a:lstStyle/>
          <a:p>
            <a:pPr>
              <a:defRPr sz="1100" i="1">
                <a:solidFill>
                  <a:schemeClr val="tx2"/>
                </a:solidFill>
              </a:defRPr>
            </a:pPr>
            <a:endParaRPr lang="en-US"/>
          </a:p>
        </c:txPr>
        <c:crossAx val="581534232"/>
        <c:crosses val="autoZero"/>
        <c:crossBetween val="between"/>
      </c:valAx>
      <c:spPr>
        <a:noFill/>
        <a:ln w="25400">
          <a:noFill/>
        </a:ln>
        <a:effectLst/>
      </c:spPr>
    </c:plotArea>
    <c:plotVisOnly val="1"/>
    <c:dispBlanksAs val="gap"/>
    <c:showDLblsOverMax val="0"/>
  </c:chart>
  <c:spPr>
    <a:noFill/>
    <a:ln>
      <a:noFill/>
    </a:ln>
  </c:sp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[89861552.tgt.Office_69190059_TF00000038_Win32_OJ119992388.xltx]Datos del gráfico!AccountSummaryPivotTable</c:name>
    <c:fmtId val="1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'Datos del gráfico'!$C$3:$C$4</c:f>
              <c:strCache>
                <c:ptCount val="1"/>
                <c:pt idx="0">
                  <c:v>Cuenta corriente</c:v>
                </c:pt>
              </c:strCache>
            </c:strRef>
          </c:tx>
          <c:spPr>
            <a:solidFill>
              <a:schemeClr val="accent1"/>
            </a:solidFill>
            <a:ln>
              <a:noFill/>
            </a:ln>
            <a:effectLst/>
          </c:spPr>
          <c:invertIfNegative val="0"/>
          <c:cat>
            <c:strRef>
              <c:f>'Datos del gráfico'!$B$5:$B$11</c:f>
              <c:strCache>
                <c:ptCount val="6"/>
                <c:pt idx="0">
                  <c:v>Apr</c:v>
                </c:pt>
                <c:pt idx="1">
                  <c:v>May</c:v>
                </c:pt>
                <c:pt idx="2">
                  <c:v>Jun</c:v>
                </c:pt>
                <c:pt idx="3">
                  <c:v>Jul</c:v>
                </c:pt>
                <c:pt idx="4">
                  <c:v>Aug</c:v>
                </c:pt>
                <c:pt idx="5">
                  <c:v>Sep</c:v>
                </c:pt>
              </c:strCache>
            </c:strRef>
          </c:cat>
          <c:val>
            <c:numRef>
              <c:f>'Datos del gráfico'!$C$5:$C$11</c:f>
              <c:numCache>
                <c:formatCode>0.00_ ;\-0.00\ </c:formatCode>
                <c:ptCount val="6"/>
                <c:pt idx="0">
                  <c:v>45</c:v>
                </c:pt>
                <c:pt idx="1">
                  <c:v>123</c:v>
                </c:pt>
                <c:pt idx="2">
                  <c:v>230</c:v>
                </c:pt>
                <c:pt idx="3">
                  <c:v>30</c:v>
                </c:pt>
                <c:pt idx="5">
                  <c:v>68</c:v>
                </c:pt>
              </c:numCache>
            </c:numRef>
          </c:val>
          <c:extLst>
            <c:ext xmlns:c16="http://schemas.microsoft.com/office/drawing/2014/chart" uri="{C3380CC4-5D6E-409C-BE32-E72D297353CC}">
              <c16:uniqueId val="{00000003-5BAC-4B93-A39F-3B378C2C98B2}"/>
            </c:ext>
          </c:extLst>
        </c:ser>
        <c:ser>
          <c:idx val="1"/>
          <c:order val="1"/>
          <c:tx>
            <c:strRef>
              <c:f>'Datos del gráfico'!$D$3:$D$4</c:f>
              <c:strCache>
                <c:ptCount val="1"/>
                <c:pt idx="0">
                  <c:v>Ahorros</c:v>
                </c:pt>
              </c:strCache>
            </c:strRef>
          </c:tx>
          <c:spPr>
            <a:solidFill>
              <a:schemeClr val="accent2"/>
            </a:solidFill>
            <a:ln>
              <a:noFill/>
            </a:ln>
            <a:effectLst/>
          </c:spPr>
          <c:invertIfNegative val="0"/>
          <c:cat>
            <c:strRef>
              <c:f>'Datos del gráfico'!$B$5:$B$11</c:f>
              <c:strCache>
                <c:ptCount val="6"/>
                <c:pt idx="0">
                  <c:v>Apr</c:v>
                </c:pt>
                <c:pt idx="1">
                  <c:v>May</c:v>
                </c:pt>
                <c:pt idx="2">
                  <c:v>Jun</c:v>
                </c:pt>
                <c:pt idx="3">
                  <c:v>Jul</c:v>
                </c:pt>
                <c:pt idx="4">
                  <c:v>Aug</c:v>
                </c:pt>
                <c:pt idx="5">
                  <c:v>Sep</c:v>
                </c:pt>
              </c:strCache>
            </c:strRef>
          </c:cat>
          <c:val>
            <c:numRef>
              <c:f>'Datos del gráfico'!$D$5:$D$11</c:f>
              <c:numCache>
                <c:formatCode>0.00_ ;\-0.00\ </c:formatCode>
                <c:ptCount val="6"/>
                <c:pt idx="0">
                  <c:v>230</c:v>
                </c:pt>
                <c:pt idx="1">
                  <c:v>100</c:v>
                </c:pt>
                <c:pt idx="3">
                  <c:v>70</c:v>
                </c:pt>
                <c:pt idx="4">
                  <c:v>50</c:v>
                </c:pt>
              </c:numCache>
            </c:numRef>
          </c:val>
          <c:extLst>
            <c:ext xmlns:c16="http://schemas.microsoft.com/office/drawing/2014/chart" uri="{C3380CC4-5D6E-409C-BE32-E72D297353CC}">
              <c16:uniqueId val="{00000001-F4BA-47F0-BC92-B67437877B9F}"/>
            </c:ext>
          </c:extLst>
        </c:ser>
        <c:ser>
          <c:idx val="2"/>
          <c:order val="2"/>
          <c:tx>
            <c:strRef>
              <c:f>'Datos del gráfico'!$E$3:$E$4</c:f>
              <c:strCache>
                <c:ptCount val="1"/>
                <c:pt idx="0">
                  <c:v>Otros</c:v>
                </c:pt>
              </c:strCache>
            </c:strRef>
          </c:tx>
          <c:spPr>
            <a:solidFill>
              <a:schemeClr val="accent3"/>
            </a:solidFill>
            <a:ln>
              <a:noFill/>
            </a:ln>
            <a:effectLst/>
          </c:spPr>
          <c:invertIfNegative val="0"/>
          <c:cat>
            <c:strRef>
              <c:f>'Datos del gráfico'!$B$5:$B$11</c:f>
              <c:strCache>
                <c:ptCount val="6"/>
                <c:pt idx="0">
                  <c:v>Apr</c:v>
                </c:pt>
                <c:pt idx="1">
                  <c:v>May</c:v>
                </c:pt>
                <c:pt idx="2">
                  <c:v>Jun</c:v>
                </c:pt>
                <c:pt idx="3">
                  <c:v>Jul</c:v>
                </c:pt>
                <c:pt idx="4">
                  <c:v>Aug</c:v>
                </c:pt>
                <c:pt idx="5">
                  <c:v>Sep</c:v>
                </c:pt>
              </c:strCache>
            </c:strRef>
          </c:cat>
          <c:val>
            <c:numRef>
              <c:f>'Datos del gráfico'!$E$5:$E$11</c:f>
              <c:numCache>
                <c:formatCode>0.00_ ;\-0.00\ </c:formatCode>
                <c:ptCount val="6"/>
                <c:pt idx="4">
                  <c:v>30</c:v>
                </c:pt>
              </c:numCache>
            </c:numRef>
          </c:val>
          <c:extLst>
            <c:ext xmlns:c16="http://schemas.microsoft.com/office/drawing/2014/chart" uri="{C3380CC4-5D6E-409C-BE32-E72D297353CC}">
              <c16:uniqueId val="{00000002-F4BA-47F0-BC92-B67437877B9F}"/>
            </c:ext>
          </c:extLst>
        </c:ser>
        <c:dLbls>
          <c:showLegendKey val="0"/>
          <c:showVal val="0"/>
          <c:showCatName val="0"/>
          <c:showSerName val="0"/>
          <c:showPercent val="0"/>
          <c:showBubbleSize val="0"/>
        </c:dLbls>
        <c:gapWidth val="219"/>
        <c:overlap val="-27"/>
        <c:axId val="567614576"/>
        <c:axId val="567613792"/>
      </c:barChart>
      <c:catAx>
        <c:axId val="56761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67613792"/>
        <c:crosses val="autoZero"/>
        <c:auto val="1"/>
        <c:lblAlgn val="ctr"/>
        <c:lblOffset val="100"/>
        <c:noMultiLvlLbl val="0"/>
      </c:catAx>
      <c:valAx>
        <c:axId val="567613792"/>
        <c:scaling>
          <c:orientation val="minMax"/>
        </c:scaling>
        <c:delete val="0"/>
        <c:axPos val="l"/>
        <c:majorGridlines>
          <c:spPr>
            <a:ln w="9525" cap="flat" cmpd="sng" algn="ctr">
              <a:solidFill>
                <a:schemeClr val="tx1">
                  <a:lumMod val="15000"/>
                  <a:lumOff val="85000"/>
                </a:schemeClr>
              </a:solidFill>
              <a:round/>
            </a:ln>
            <a:effectLst/>
          </c:spPr>
        </c:majorGridlines>
        <c:numFmt formatCode="0_ ;\-0\ "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67614576"/>
        <c:crosses val="autoZero"/>
        <c:crossBetween val="between"/>
      </c:valAx>
      <c:spPr>
        <a:noFill/>
        <a:ln>
          <a:noFill/>
        </a:ln>
        <a:effectLst/>
      </c:spPr>
    </c:plotArea>
    <c:legend>
      <c:legendPos val="b"/>
      <c:layout>
        <c:manualLayout>
          <c:xMode val="edge"/>
          <c:yMode val="edge"/>
          <c:x val="2.7793069605578896E-2"/>
          <c:y val="0.89872616940536099"/>
          <c:w val="0.4728140714829171"/>
          <c:h val="7.340243994856392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&#65279;<?xml version="1.0" encoding="utf-8"?><Relationships xmlns="http://schemas.openxmlformats.org/package/2006/relationships"><Relationship Type="http://schemas.openxmlformats.org/officeDocument/2006/relationships/chart" Target="/xl/charts/chart12.xml" Id="rId1" /></Relationships>
</file>

<file path=xl/drawings/_rels/drawing31.xml.rels>&#65279;<?xml version="1.0" encoding="utf-8"?><Relationships xmlns="http://schemas.openxmlformats.org/package/2006/relationships"><Relationship Type="http://schemas.openxmlformats.org/officeDocument/2006/relationships/chart" Target="/xl/charts/chart21.xml" Id="rId1" /></Relationships>
</file>

<file path=xl/drawings/drawing13.xml><?xml version="1.0" encoding="utf-8"?>
<xdr:wsDr xmlns:xdr="http://schemas.openxmlformats.org/drawingml/2006/spreadsheetDrawing" xmlns:a="http://schemas.openxmlformats.org/drawingml/2006/main">
  <xdr:twoCellAnchor editAs="oneCell">
    <xdr:from>
      <xdr:col>1</xdr:col>
      <xdr:colOff>95250</xdr:colOff>
      <xdr:row>3</xdr:row>
      <xdr:rowOff>133350</xdr:rowOff>
    </xdr:from>
    <xdr:to>
      <xdr:col>1</xdr:col>
      <xdr:colOff>847725</xdr:colOff>
      <xdr:row>19</xdr:row>
      <xdr:rowOff>361950</xdr:rowOff>
    </xdr:to>
    <xdr:graphicFrame macro="">
      <xdr:nvGraphicFramePr>
        <xdr:cNvPr id="2" name="Gráfico de seguimiento de dinero" descr="En esta celda se encuentra el gráfico de columnas que muestra el porcentaje de dinero disponibl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6</xdr:col>
      <xdr:colOff>685800</xdr:colOff>
      <xdr:row>3</xdr:row>
      <xdr:rowOff>47625</xdr:rowOff>
    </xdr:from>
    <xdr:to>
      <xdr:col>9</xdr:col>
      <xdr:colOff>457200</xdr:colOff>
      <xdr:row>11</xdr:row>
      <xdr:rowOff>0</xdr:rowOff>
    </xdr:to>
    <mc:AlternateContent xmlns:mc="http://schemas.openxmlformats.org/markup-compatibility/2006" xmlns:sle15="http://schemas.microsoft.com/office/drawing/2012/slicer">
      <mc:Choice Requires="sle15">
        <xdr:graphicFrame macro="">
          <xdr:nvGraphicFramePr>
            <xdr:cNvPr id="3" name="Descripción 2" descr="Segmentación de datos para filtrar datos de tabla con descripciones">
              <a:extLst>
                <a:ext uri="{FF2B5EF4-FFF2-40B4-BE49-F238E27FC236}">
                  <a16:creationId xmlns:a16="http://schemas.microsoft.com/office/drawing/2014/main" id="{14D13D80-7BCB-4617-AF1D-254247813241}"/>
                </a:ext>
              </a:extLst>
            </xdr:cNvPr>
            <xdr:cNvGraphicFramePr/>
          </xdr:nvGraphicFramePr>
          <xdr:xfrm>
            <a:off x="0" y="0"/>
            <a:ext cx="0" cy="0"/>
          </xdr:xfrm>
          <a:graphic>
            <a:graphicData uri="http://schemas.microsoft.com/office/drawing/2010/slicer">
              <sle:slicer xmlns:sle="http://schemas.microsoft.com/office/drawing/2010/slicer" name="Descripción 2"/>
            </a:graphicData>
          </a:graphic>
        </xdr:graphicFrame>
      </mc:Choice>
      <mc:Fallback xmlns="">
        <xdr:sp macro="" textlink="">
          <xdr:nvSpPr>
            <xdr:cNvPr id="0" name=""/>
            <xdr:cNvSpPr>
              <a:spLocks noTextEdit="1"/>
            </xdr:cNvSpPr>
          </xdr:nvSpPr>
          <xdr:spPr>
            <a:xfrm>
              <a:off x="7915275" y="1152525"/>
              <a:ext cx="2066925" cy="3000375"/>
            </a:xfrm>
            <a:prstGeom prst="rect">
              <a:avLst/>
            </a:prstGeom>
            <a:solidFill>
              <a:prstClr val="white"/>
            </a:solidFill>
            <a:ln w="1">
              <a:solidFill>
                <a:prstClr val="green"/>
              </a:solidFill>
            </a:ln>
          </xdr:spPr>
          <xdr:txBody>
            <a:bodyPr vertOverflow="clip" horzOverflow="clip"/>
            <a:lstStyle/>
            <a:p>
              <a:r>
                <a:rPr lang="es-E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editAs="oneCell">
    <xdr:from>
      <xdr:col>5</xdr:col>
      <xdr:colOff>238125</xdr:colOff>
      <xdr:row>3</xdr:row>
      <xdr:rowOff>57150</xdr:rowOff>
    </xdr:from>
    <xdr:to>
      <xdr:col>6</xdr:col>
      <xdr:colOff>685800</xdr:colOff>
      <xdr:row>6</xdr:row>
      <xdr:rowOff>123825</xdr:rowOff>
    </xdr:to>
    <mc:AlternateContent xmlns:mc="http://schemas.openxmlformats.org/markup-compatibility/2006" xmlns:sle15="http://schemas.microsoft.com/office/drawing/2012/slicer">
      <mc:Choice Requires="sle15">
        <xdr:graphicFrame macro="">
          <xdr:nvGraphicFramePr>
            <xdr:cNvPr id="4" name="Cuenta 2" descr="Segmentación de datos para filtrar datos de tabla por tipo de cuenta">
              <a:extLst>
                <a:ext uri="{FF2B5EF4-FFF2-40B4-BE49-F238E27FC236}">
                  <a16:creationId xmlns:a16="http://schemas.microsoft.com/office/drawing/2014/main" id="{3156ADE8-0ECE-4F78-9789-3F2B2D50A3A2}"/>
                </a:ext>
              </a:extLst>
            </xdr:cNvPr>
            <xdr:cNvGraphicFramePr/>
          </xdr:nvGraphicFramePr>
          <xdr:xfrm>
            <a:off x="0" y="0"/>
            <a:ext cx="0" cy="0"/>
          </xdr:xfrm>
          <a:graphic>
            <a:graphicData uri="http://schemas.microsoft.com/office/drawing/2010/slicer">
              <sle:slicer xmlns:sle="http://schemas.microsoft.com/office/drawing/2010/slicer" name="Cuenta 2"/>
            </a:graphicData>
          </a:graphic>
        </xdr:graphicFrame>
      </mc:Choice>
      <mc:Fallback xmlns="">
        <xdr:sp macro="" textlink="">
          <xdr:nvSpPr>
            <xdr:cNvPr id="0" name=""/>
            <xdr:cNvSpPr>
              <a:spLocks noTextEdit="1"/>
            </xdr:cNvSpPr>
          </xdr:nvSpPr>
          <xdr:spPr>
            <a:xfrm>
              <a:off x="6086475" y="1162050"/>
              <a:ext cx="1828800" cy="1209675"/>
            </a:xfrm>
            <a:prstGeom prst="rect">
              <a:avLst/>
            </a:prstGeom>
            <a:solidFill>
              <a:prstClr val="white"/>
            </a:solidFill>
            <a:ln w="1">
              <a:solidFill>
                <a:prstClr val="green"/>
              </a:solidFill>
            </a:ln>
          </xdr:spPr>
          <xdr:txBody>
            <a:bodyPr vertOverflow="clip" horzOverflow="clip"/>
            <a:lstStyle/>
            <a:p>
              <a:r>
                <a:rPr lang="es-ES"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142873</xdr:colOff>
      <xdr:row>4</xdr:row>
      <xdr:rowOff>38100</xdr:rowOff>
    </xdr:from>
    <xdr:to>
      <xdr:col>10</xdr:col>
      <xdr:colOff>380473</xdr:colOff>
      <xdr:row>13</xdr:row>
      <xdr:rowOff>76200</xdr:rowOff>
    </xdr:to>
    <mc:AlternateContent xmlns:mc="http://schemas.openxmlformats.org/markup-compatibility/2006" xmlns:a14="http://schemas.microsoft.com/office/drawing/2010/main">
      <mc:Choice Requires="a14">
        <xdr:graphicFrame macro="">
          <xdr:nvGraphicFramePr>
            <xdr:cNvPr id="2" name="Descripción" descr="Segmentación de datos para filtrar datos de tabla con descripciones">
              <a:extLst>
                <a:ext uri="{FF2B5EF4-FFF2-40B4-BE49-F238E27FC236}">
                  <a16:creationId xmlns:a16="http://schemas.microsoft.com/office/drawing/2014/main" id="{198B0D54-2187-31CD-9DAC-4AE48A743C5A}"/>
                </a:ext>
              </a:extLst>
            </xdr:cNvPr>
            <xdr:cNvGraphicFramePr/>
          </xdr:nvGraphicFramePr>
          <xdr:xfrm>
            <a:off x="0" y="0"/>
            <a:ext cx="0" cy="0"/>
          </xdr:xfrm>
          <a:graphic>
            <a:graphicData uri="http://schemas.microsoft.com/office/drawing/2010/slicer">
              <sle:slicer xmlns:sle="http://schemas.microsoft.com/office/drawing/2010/slicer" name="Descripción"/>
            </a:graphicData>
          </a:graphic>
        </xdr:graphicFrame>
      </mc:Choice>
      <mc:Fallback xmlns="">
        <xdr:sp macro="" textlink="">
          <xdr:nvSpPr>
            <xdr:cNvPr id="0" name=""/>
            <xdr:cNvSpPr>
              <a:spLocks noTextEdit="1"/>
            </xdr:cNvSpPr>
          </xdr:nvSpPr>
          <xdr:spPr>
            <a:xfrm>
              <a:off x="7572373" y="1304925"/>
              <a:ext cx="2066400" cy="2524125"/>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1304925</xdr:colOff>
      <xdr:row>4</xdr:row>
      <xdr:rowOff>38101</xdr:rowOff>
    </xdr:from>
    <xdr:to>
      <xdr:col>7</xdr:col>
      <xdr:colOff>142875</xdr:colOff>
      <xdr:row>8</xdr:row>
      <xdr:rowOff>142801</xdr:rowOff>
    </xdr:to>
    <mc:AlternateContent xmlns:mc="http://schemas.openxmlformats.org/markup-compatibility/2006" xmlns:a14="http://schemas.microsoft.com/office/drawing/2010/main">
      <mc:Choice Requires="a14">
        <xdr:graphicFrame macro="">
          <xdr:nvGraphicFramePr>
            <xdr:cNvPr id="6" name="Cuenta" descr="Segmentación de datos para filtrar datos de tabla por tipo de cuenta">
              <a:extLst>
                <a:ext uri="{FF2B5EF4-FFF2-40B4-BE49-F238E27FC236}">
                  <a16:creationId xmlns:a16="http://schemas.microsoft.com/office/drawing/2014/main" id="{5DE801CF-7CCD-86E8-11BD-F730495091F9}"/>
                </a:ext>
              </a:extLst>
            </xdr:cNvPr>
            <xdr:cNvGraphicFramePr/>
          </xdr:nvGraphicFramePr>
          <xdr:xfrm>
            <a:off x="0" y="0"/>
            <a:ext cx="0" cy="0"/>
          </xdr:xfrm>
          <a:graphic>
            <a:graphicData uri="http://schemas.microsoft.com/office/drawing/2010/slicer">
              <sle:slicer xmlns:sle="http://schemas.microsoft.com/office/drawing/2010/slicer" name="Cuenta"/>
            </a:graphicData>
          </a:graphic>
        </xdr:graphicFrame>
      </mc:Choice>
      <mc:Fallback xmlns="">
        <xdr:sp macro="" textlink="">
          <xdr:nvSpPr>
            <xdr:cNvPr id="0" name=""/>
            <xdr:cNvSpPr>
              <a:spLocks noTextEdit="1"/>
            </xdr:cNvSpPr>
          </xdr:nvSpPr>
          <xdr:spPr>
            <a:xfrm>
              <a:off x="5743575" y="1304926"/>
              <a:ext cx="1828800" cy="1209600"/>
            </a:xfrm>
            <a:prstGeom prst="rect">
              <a:avLst/>
            </a:prstGeom>
            <a:solidFill>
              <a:prstClr val="white"/>
            </a:solidFill>
            <a:ln w="1">
              <a:solidFill>
                <a:prstClr val="green"/>
              </a:solidFill>
            </a:ln>
          </xdr:spPr>
          <xdr:txBody>
            <a:bodyPr vertOverflow="clip" horzOverflow="clip"/>
            <a:lstStyle/>
            <a:p>
              <a:r>
                <a:rPr lang="es-E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4</xdr:row>
      <xdr:rowOff>133350</xdr:rowOff>
    </xdr:from>
    <xdr:to>
      <xdr:col>4</xdr:col>
      <xdr:colOff>1266825</xdr:colOff>
      <xdr:row>16</xdr:row>
      <xdr:rowOff>157163</xdr:rowOff>
    </xdr:to>
    <xdr:graphicFrame macro="">
      <xdr:nvGraphicFramePr>
        <xdr:cNvPr id="8" name="Gráfico 1" descr="En esta celda se encuentra el gráfico de columnas de resumen de cuentas que compara cuentas corrientes, ahorros y otros para cada mes.">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1.xml.rels>&#65279;<?xml version="1.0" encoding="utf-8"?><Relationships xmlns="http://schemas.openxmlformats.org/package/2006/relationships"><Relationship Type="http://schemas.openxmlformats.org/officeDocument/2006/relationships/pivotCacheRecords" Target="/xl/pivotCache/pivotCacheRecords11.xml" Id="rId1" /></Relationships>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914.668787847222" createdVersion="8" refreshedVersion="7" minRefreshableVersion="3" recordCount="12" xr:uid="{00000000-000A-0000-FFFF-FFFF00000000}">
  <cacheSource type="worksheet">
    <worksheetSource name="EfectivoGastado"/>
  </cacheSource>
  <cacheFields count="4">
    <cacheField name="Fecha" numFmtId="14">
      <sharedItems containsSemiMixedTypes="0" containsNonDate="0" containsDate="1" containsString="0" minDate="2023-04-03T00:00:00" maxDate="2023-09-29T00:00:00" count="12">
        <d v="2023-04-03T00:00:00"/>
        <d v="2023-04-04T00:00:00"/>
        <d v="2023-04-05T00:00:00"/>
        <d v="2023-05-03T00:00:00"/>
        <d v="2023-05-07T00:00:00"/>
        <d v="2023-05-30T00:00:00"/>
        <d v="2023-06-04T00:00:00"/>
        <d v="2023-07-05T00:00:00"/>
        <d v="2023-07-19T00:00:00"/>
        <d v="2023-08-01T00:00:00"/>
        <d v="2023-08-08T00:00:00"/>
        <d v="2023-09-28T00:00:00"/>
      </sharedItems>
      <fieldGroup base="0">
        <rangePr groupBy="months" startDate="2023-04-03T00:00:00" endDate="2023-09-29T00:00:00"/>
        <groupItems count="14">
          <s v="&lt;4/3/2023"/>
          <s v="Jan"/>
          <s v="Feb"/>
          <s v="Mar"/>
          <s v="Apr"/>
          <s v="May"/>
          <s v="Jun"/>
          <s v="Jul"/>
          <s v="Aug"/>
          <s v="Sep"/>
          <s v="Oct"/>
          <s v="Nov"/>
          <s v="Dec"/>
          <s v="&gt;9/29/2023"/>
        </groupItems>
      </fieldGroup>
    </cacheField>
    <cacheField name="Descripción" numFmtId="168">
      <sharedItems count="6">
        <s v="Retirada de efectivo del ATM"/>
        <s v="Almuerzo"/>
        <s v="Pago del coche"/>
        <s v="Pago de electricidad"/>
        <s v="Cena"/>
        <s v="Retirada de efectivo"/>
      </sharedItems>
    </cacheField>
    <cacheField name="Importe" numFmtId="170">
      <sharedItems containsSemiMixedTypes="0" containsString="0" containsNumber="1" containsInteger="1" minValue="5" maxValue="230"/>
    </cacheField>
    <cacheField name="Cuenta" numFmtId="168">
      <sharedItems count="3">
        <s v="Cuenta corriente"/>
        <s v="Ahorros"/>
        <s v="Otros"/>
      </sharedItems>
    </cacheField>
  </cacheFields>
  <extLst>
    <ext xmlns:x14="http://schemas.microsoft.com/office/spreadsheetml/2009/9/main" uri="{725AE2AE-9491-48be-B2B4-4EB974FC3084}">
      <x14:pivotCacheDefinition pivotCacheId="2"/>
    </ext>
  </extLst>
</pivotCacheDefinition>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40"/>
    <x v="0"/>
  </r>
  <r>
    <x v="1"/>
    <x v="1"/>
    <n v="5"/>
    <x v="0"/>
  </r>
  <r>
    <x v="2"/>
    <x v="2"/>
    <n v="230"/>
    <x v="1"/>
  </r>
  <r>
    <x v="3"/>
    <x v="3"/>
    <n v="70"/>
    <x v="0"/>
  </r>
  <r>
    <x v="4"/>
    <x v="4"/>
    <n v="53"/>
    <x v="0"/>
  </r>
  <r>
    <x v="5"/>
    <x v="5"/>
    <n v="100"/>
    <x v="1"/>
  </r>
  <r>
    <x v="6"/>
    <x v="2"/>
    <n v="230"/>
    <x v="0"/>
  </r>
  <r>
    <x v="7"/>
    <x v="3"/>
    <n v="70"/>
    <x v="1"/>
  </r>
  <r>
    <x v="8"/>
    <x v="0"/>
    <n v="30"/>
    <x v="0"/>
  </r>
  <r>
    <x v="9"/>
    <x v="0"/>
    <n v="50"/>
    <x v="1"/>
  </r>
  <r>
    <x v="10"/>
    <x v="0"/>
    <n v="30"/>
    <x v="2"/>
  </r>
  <r>
    <x v="11"/>
    <x v="3"/>
    <n v="68"/>
    <x v="0"/>
  </r>
</pivotCacheRecords>
</file>

<file path=xl/pivotTables/_rels/pivotTable1.xml.rels>&#65279;<?xml version="1.0" encoding="utf-8"?><Relationships xmlns="http://schemas.openxmlformats.org/package/2006/relationships"><Relationship Type="http://schemas.openxmlformats.org/officeDocument/2006/relationships/pivotCacheDefinition" Target="/xl/pivotCache/pivotCacheDefinition11.xml" Id="rId1" /></Relationships>
</file>

<file path=xl/pivotTables/_rels/pivotTable22.xml.rels>&#65279;<?xml version="1.0" encoding="utf-8"?><Relationships xmlns="http://schemas.openxmlformats.org/package/2006/relationships"><Relationship Type="http://schemas.openxmlformats.org/officeDocument/2006/relationships/pivotCacheDefinition" Target="/xl/pivotCache/pivotCacheDefinition11.xml" Id="rId1"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MonthlySummary" cacheId="5" applyNumberFormats="0" applyBorderFormats="0" applyFontFormats="0" applyPatternFormats="0" applyAlignmentFormats="0" applyWidthHeightFormats="1" dataCaption="Values" updatedVersion="7" minRefreshableVersion="3" fieldPrintTitles="1" itemPrintTitles="1" mergeItem="1" createdVersion="4" indent="0" showHeaders="0" outline="1" outlineData="1" multipleFieldFilters="0" chartFormat="1">
  <location ref="B19:F38" firstHeaderRow="1" firstDataRow="2" firstDataCol="1"/>
  <pivotFields count="4">
    <pivotField axis="axisRow" showAll="0">
      <items count="15">
        <item x="0"/>
        <item x="1"/>
        <item x="2"/>
        <item x="3"/>
        <item x="4"/>
        <item x="5"/>
        <item x="6"/>
        <item x="7"/>
        <item x="8"/>
        <item x="9"/>
        <item x="10"/>
        <item x="11"/>
        <item x="12"/>
        <item x="13"/>
        <item t="default"/>
      </items>
    </pivotField>
    <pivotField axis="axisRow" showAll="0">
      <items count="7">
        <item x="1"/>
        <item x="4"/>
        <item x="3"/>
        <item x="2"/>
        <item x="5"/>
        <item x="0"/>
        <item t="default"/>
      </items>
    </pivotField>
    <pivotField dataField="1" numFmtId="40" showAll="0"/>
    <pivotField axis="axisCol" showAll="0">
      <items count="4">
        <item x="0"/>
        <item x="1"/>
        <item x="2"/>
        <item t="default"/>
      </items>
    </pivotField>
  </pivotFields>
  <rowFields count="2">
    <field x="0"/>
    <field x="1"/>
  </rowFields>
  <rowItems count="18">
    <i>
      <x v="4"/>
    </i>
    <i r="1">
      <x/>
    </i>
    <i r="1">
      <x v="3"/>
    </i>
    <i r="1">
      <x v="5"/>
    </i>
    <i>
      <x v="5"/>
    </i>
    <i r="1">
      <x v="1"/>
    </i>
    <i r="1">
      <x v="2"/>
    </i>
    <i r="1">
      <x v="4"/>
    </i>
    <i>
      <x v="6"/>
    </i>
    <i r="1">
      <x v="3"/>
    </i>
    <i>
      <x v="7"/>
    </i>
    <i r="1">
      <x v="2"/>
    </i>
    <i r="1">
      <x v="5"/>
    </i>
    <i>
      <x v="8"/>
    </i>
    <i r="1">
      <x v="5"/>
    </i>
    <i>
      <x v="9"/>
    </i>
    <i r="1">
      <x v="2"/>
    </i>
    <i t="grand">
      <x/>
    </i>
  </rowItems>
  <colFields count="1">
    <field x="3"/>
  </colFields>
  <colItems count="4">
    <i>
      <x/>
    </i>
    <i>
      <x v="1"/>
    </i>
    <i>
      <x v="2"/>
    </i>
    <i t="grand">
      <x/>
    </i>
  </colItems>
  <dataFields count="1">
    <dataField name="Suma de Importe" fld="2" baseField="0" baseItem="0" numFmtId="169"/>
  </dataFields>
  <formats count="15">
    <format dxfId="39">
      <pivotArea type="origin" dataOnly="0" labelOnly="1" outline="0" fieldPosition="0"/>
    </format>
    <format dxfId="38">
      <pivotArea type="origin" dataOnly="0" labelOnly="1" outline="0" fieldPosition="0"/>
    </format>
    <format dxfId="37">
      <pivotArea dataOnly="0" labelOnly="1" grandCol="1" outline="0" fieldPosition="0"/>
    </format>
    <format dxfId="36">
      <pivotArea type="origin" dataOnly="0" labelOnly="1" outline="0" fieldPosition="0"/>
    </format>
    <format dxfId="35">
      <pivotArea type="origin" dataOnly="0" labelOnly="1" outline="0" fieldPosition="0"/>
    </format>
    <format dxfId="34">
      <pivotArea type="origin" dataOnly="0" labelOnly="1" outline="0" fieldPosition="0"/>
    </format>
    <format dxfId="33">
      <pivotArea dataOnly="0" labelOnly="1" grandCol="1" outline="0" fieldPosition="0"/>
    </format>
    <format dxfId="32">
      <pivotArea outline="0" collapsedLevelsAreSubtotals="1" fieldPosition="0"/>
    </format>
    <format dxfId="31">
      <pivotArea dataOnly="0" labelOnly="1" fieldPosition="0">
        <references count="1">
          <reference field="0" count="1">
            <x v="3"/>
          </reference>
        </references>
      </pivotArea>
    </format>
    <format dxfId="30">
      <pivotArea dataOnly="0" labelOnly="1" fieldPosition="0">
        <references count="1">
          <reference field="0" count="1">
            <x v="4"/>
          </reference>
        </references>
      </pivotArea>
    </format>
    <format dxfId="29">
      <pivotArea dataOnly="0" labelOnly="1" fieldPosition="0">
        <references count="1">
          <reference field="0" count="1">
            <x v="5"/>
          </reference>
        </references>
      </pivotArea>
    </format>
    <format dxfId="28">
      <pivotArea dataOnly="0" labelOnly="1" fieldPosition="0">
        <references count="1">
          <reference field="0" count="1">
            <x v="6"/>
          </reference>
        </references>
      </pivotArea>
    </format>
    <format dxfId="27">
      <pivotArea dataOnly="0" labelOnly="1" fieldPosition="0">
        <references count="1">
          <reference field="0" count="1">
            <x v="7"/>
          </reference>
        </references>
      </pivotArea>
    </format>
    <format dxfId="26">
      <pivotArea dataOnly="0" labelOnly="1" fieldPosition="0">
        <references count="1">
          <reference field="0" count="1">
            <x v="9"/>
          </reference>
        </references>
      </pivotArea>
    </format>
    <format dxfId="25">
      <pivotArea dataOnly="0" labelOnly="1" grandRow="1" outline="0" fieldPosition="0"/>
    </format>
  </formats>
  <pivotTableStyleInfo name="Resumen mensual" showRowHeaders="1" showColHeaders="1" showRowStripes="1" showColStripes="0" showLastColumn="1"/>
  <extLst>
    <ext xmlns:x14="http://schemas.microsoft.com/office/spreadsheetml/2009/9/main" uri="{962EF5D1-5CA2-4c93-8EF4-DBF5C05439D2}">
      <x14:pivotTableDefinition xmlns:xm="http://schemas.microsoft.com/office/excel/2006/main" altTextSummary="Esta tabla dinámica proporciona un resumen de los gastos de efectivo de cada mes y cuenta."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AccountSummaryPivotTable" cacheId="5" applyNumberFormats="0" applyBorderFormats="0" applyFontFormats="0" applyPatternFormats="0" applyAlignmentFormats="0" applyWidthHeightFormats="1" dataCaption="Values" updatedVersion="7" minRefreshableVersion="3" itemPrintTitles="1" createdVersion="4" indent="0" outline="1" outlineData="1" multipleFieldFilters="0" chartFormat="19">
  <location ref="B3:F11" firstHeaderRow="1" firstDataRow="2" firstDataCol="1"/>
  <pivotFields count="4">
    <pivotField axis="axisRow" numFmtId="14" showAll="0">
      <items count="15">
        <item x="0"/>
        <item x="1"/>
        <item x="2"/>
        <item x="3"/>
        <item x="4"/>
        <item x="5"/>
        <item x="6"/>
        <item x="7"/>
        <item x="8"/>
        <item x="9"/>
        <item x="10"/>
        <item x="11"/>
        <item x="12"/>
        <item x="13"/>
        <item t="default"/>
      </items>
    </pivotField>
    <pivotField showAll="0">
      <items count="7">
        <item x="1"/>
        <item x="4"/>
        <item x="3"/>
        <item x="2"/>
        <item x="5"/>
        <item x="0"/>
        <item t="default"/>
      </items>
    </pivotField>
    <pivotField dataField="1" numFmtId="40" showAll="0"/>
    <pivotField axis="axisCol" showAll="0">
      <items count="4">
        <item x="0"/>
        <item x="1"/>
        <item x="2"/>
        <item t="default"/>
      </items>
    </pivotField>
  </pivotFields>
  <rowFields count="1">
    <field x="0"/>
  </rowFields>
  <rowItems count="7">
    <i>
      <x v="4"/>
    </i>
    <i>
      <x v="5"/>
    </i>
    <i>
      <x v="6"/>
    </i>
    <i>
      <x v="7"/>
    </i>
    <i>
      <x v="8"/>
    </i>
    <i>
      <x v="9"/>
    </i>
    <i t="grand">
      <x/>
    </i>
  </rowItems>
  <colFields count="1">
    <field x="3"/>
  </colFields>
  <colItems count="4">
    <i>
      <x/>
    </i>
    <i>
      <x v="1"/>
    </i>
    <i>
      <x v="2"/>
    </i>
    <i t="grand">
      <x/>
    </i>
  </colItems>
  <dataFields count="1">
    <dataField name="Suma de Importe" fld="2" baseField="0" baseItem="0" numFmtId="169"/>
  </dataFields>
  <formats count="5">
    <format dxfId="24">
      <pivotArea type="origin" dataOnly="0" labelOnly="1" outline="0" fieldPosition="0"/>
    </format>
    <format dxfId="23">
      <pivotArea dataOnly="0" labelOnly="1" grandCol="1" outline="0" fieldPosition="0"/>
    </format>
    <format dxfId="22">
      <pivotArea type="origin" dataOnly="0" labelOnly="1" outline="0" fieldPosition="0"/>
    </format>
    <format dxfId="21">
      <pivotArea type="topRight" dataOnly="0" labelOnly="1" outline="0" fieldPosition="0"/>
    </format>
    <format dxfId="20">
      <pivotArea outline="0" collapsedLevelsAreSubtotals="1" fieldPosition="0"/>
    </format>
  </formats>
  <chartFormats count="3">
    <chartFormat chart="18" format="6" series="1">
      <pivotArea type="data" outline="0" fieldPosition="0">
        <references count="2">
          <reference field="4294967294" count="1" selected="0">
            <x v="0"/>
          </reference>
          <reference field="3" count="1" selected="0">
            <x v="1"/>
          </reference>
        </references>
      </pivotArea>
    </chartFormat>
    <chartFormat chart="18" format="7" series="1">
      <pivotArea type="data" outline="0" fieldPosition="0">
        <references count="2">
          <reference field="4294967294" count="1" selected="0">
            <x v="0"/>
          </reference>
          <reference field="3" count="1" selected="0">
            <x v="2"/>
          </reference>
        </references>
      </pivotArea>
    </chartFormat>
    <chartFormat chart="18" format="8" series="1">
      <pivotArea type="data" outline="0" fieldPosition="0">
        <references count="2">
          <reference field="4294967294" count="1" selected="0">
            <x v="0"/>
          </reference>
          <reference field="3" count="1" selected="0">
            <x v="0"/>
          </reference>
        </references>
      </pivotArea>
    </chartFormat>
  </chartFormats>
  <pivotTableStyleInfo name="Datos de Resumen de tabla dinámica mensuales" showRowHeaders="1" showColHeaders="1" showRowStripes="0" showColStripes="0" showLastColumn="1"/>
  <extLst>
    <ext xmlns:x14="http://schemas.microsoft.com/office/spreadsheetml/2009/9/main" uri="{962EF5D1-5CA2-4c93-8EF4-DBF5C05439D2}">
      <x14:pivotTableDefinition xmlns:xm="http://schemas.microsoft.com/office/excel/2006/main" altTextSummary="Esta tabla dinámica es el origen de datos del gráfico dinámico de resumen de la cuenta en la hoja de resumen mensual." hideValuesRow="1"/>
    </ext>
    <ext xmlns:xpdl="http://schemas.microsoft.com/office/spreadsheetml/2016/pivotdefaultlayout" uri="{747A6164-185A-40DC-8AA5-F01512510D54}">
      <xpdl:pivotTableDefinition16/>
    </ext>
  </extLst>
</pivotTabl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21" xr10:uid="{00000000-0013-0000-FFFF-FFFF03000000}" sourceName="Descripción">
  <extLst>
    <x:ext xmlns:x15="http://schemas.microsoft.com/office/spreadsheetml/2010/11/main" uri="{2F2917AC-EB37-4324-AD4E-5DD8C200BD13}">
      <x15:tableSlicerCache tableId="3" column="2"/>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escripción" xr10:uid="{97B1049B-2366-42F8-98E5-F2489D5F80E0}" sourceName="Descripción">
  <pivotTables>
    <pivotTable tabId="3" name="AccountSummaryPivotTable"/>
  </pivotTables>
  <data>
    <tabular pivotCacheId="2">
      <items count="6">
        <i x="1" s="1"/>
        <i x="4" s="1"/>
        <i x="3" s="1"/>
        <i x="2" s="1"/>
        <i x="5" s="1"/>
        <i x="0"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uenta" xr10:uid="{429B0F6D-DC51-4FFE-B58F-836B5F8B63C1}" sourceName="Cuenta">
  <pivotTables>
    <pivotTable tabId="3" name="AccountSummaryPivotTable"/>
  </pivotTables>
  <data>
    <tabular pivotCacheId="2">
      <items count="3">
        <i x="1" s="1"/>
        <i x="0" s="1"/>
        <i x="2" s="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11" xr10:uid="{00000000-0013-0000-FFFF-FFFF04000000}" sourceName="Cuenta">
  <extLst>
    <x:ext xmlns:x15="http://schemas.microsoft.com/office/spreadsheetml/2010/11/main" uri="{2F2917AC-EB37-4324-AD4E-5DD8C200BD13}">
      <x15:tableSlicerCache tableId="3" column="4"/>
    </x:ext>
  </extLst>
</slicerCacheDefinition>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cripción" xr10:uid="{EC64D297-B2C9-43AC-92CF-8E774948AC57}" cache="SegmentaciónDeDatos_Descripción" caption="Descripción" style="Seguimiento de dinero" rowHeight="241300"/>
  <slicer name="Cuenta" xr10:uid="{83E3D2FB-0589-4B27-B075-89AF0B0D2376}" cache="SegmentaciónDeDatos_Cuenta" caption="Cuenta" style="Seguimiento de dinero"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scripción 2" xr10:uid="{00000000-0014-0000-FFFF-FFFF01000000}" cache="Slicer_Description21" caption="Descripción" style="Seguimiento de dinero" rowHeight="209550"/>
  <slicer name="Cuenta 2" xr10:uid="{00000000-0014-0000-FFFF-FFFF02000000}" cache="Slicer_Account11" caption="Cuenta" style="Seguimiento de dinero" rowHeight="209550"/>
</slicers>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aResumenEfectivo" displayName="TablaResumenEfectivo" ref="D4:G8" totalsRowCount="1" headerRowDxfId="56" dataDxfId="55" totalsRowDxfId="54">
  <tableColumns count="4">
    <tableColumn id="1" xr3:uid="{00000000-0010-0000-0000-000001000000}" name="Cuenta" totalsRowLabel="Total" dataDxfId="53" totalsRowDxfId="52"/>
    <tableColumn id="3" xr3:uid="{00000000-0010-0000-0000-000003000000}" name="Dinero inicial" totalsRowFunction="sum" dataDxfId="51" totalsRowDxfId="50"/>
    <tableColumn id="2" xr3:uid="{00000000-0010-0000-0000-000002000000}" name="Gastos totales" totalsRowFunction="sum" dataDxfId="49" totalsRowDxfId="48"/>
    <tableColumn id="4" xr3:uid="{00000000-0010-0000-0000-000004000000}" name="Dinero restante" totalsRowFunction="sum" dataDxfId="47" totalsRowDxfId="46">
      <calculatedColumnFormula>TablaResumenEfectivo[[#This Row],[Dinero inicial]]-TablaResumenEfectivo[[#This Row],[Gastos totales]]</calculatedColumnFormula>
    </tableColumn>
  </tableColumns>
  <tableStyleInfo name="CashSummaryTable" showFirstColumn="0" showLastColumn="0" showRowStripes="0" showColumnStripes="1"/>
  <extLst>
    <ext xmlns:x14="http://schemas.microsoft.com/office/spreadsheetml/2009/9/main" uri="{504A1905-F514-4f6f-8877-14C23A59335A}">
      <x14:table altTextSummary="Escriba el tipo de cuenta y el importe de efectivo inicial en esta tabla. Los importes totales de gasto y los importes restantes en efectivo se calculan automáticamente"/>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EfectivoGastado" displayName="EfectivoGastado" ref="B4:E16" headerRowDxfId="45" dataDxfId="44">
  <autoFilter ref="B4:E16" xr:uid="{00000000-0009-0000-0100-000003000000}"/>
  <tableColumns count="4">
    <tableColumn id="1" xr3:uid="{00000000-0010-0000-0100-000001000000}" name="Fecha" totalsRowLabel="Total" dataDxfId="43"/>
    <tableColumn id="2" xr3:uid="{00000000-0010-0000-0100-000002000000}" name="Descripción" dataDxfId="42"/>
    <tableColumn id="3" xr3:uid="{00000000-0010-0000-0100-000003000000}" name="Importe" totalsRowFunction="sum" dataDxfId="41"/>
    <tableColumn id="4" xr3:uid="{00000000-0010-0000-0100-000004000000}" name="Cuenta" dataDxfId="40"/>
  </tableColumns>
  <tableStyleInfo name="Tabla de dinero gastado" showFirstColumn="0" showLastColumn="0" showRowStripes="1" showColumnStripes="1"/>
  <extLst>
    <ext xmlns:x14="http://schemas.microsoft.com/office/spreadsheetml/2009/9/main" uri="{504A1905-F514-4f6f-8877-14C23A59335A}">
      <x14:table altTextSummary="Escriba la fecha, la descripción y el importe invertidos en esta tabla. Seleccionar tipo de cuenta"/>
    </ext>
  </extLst>
</table>
</file>

<file path=xl/theme/theme11.xml><?xml version="1.0" encoding="utf-8"?>
<a:theme xmlns:a="http://schemas.openxmlformats.org/drawingml/2006/main" name="Office Theme">
  <a:themeElements>
    <a:clrScheme name="Money Tracker">
      <a:dk1>
        <a:sysClr val="windowText" lastClr="000000"/>
      </a:dk1>
      <a:lt1>
        <a:sysClr val="window" lastClr="FFFFFF"/>
      </a:lt1>
      <a:dk2>
        <a:srgbClr val="404041"/>
      </a:dk2>
      <a:lt2>
        <a:srgbClr val="FFFF99"/>
      </a:lt2>
      <a:accent1>
        <a:srgbClr val="B5D67E"/>
      </a:accent1>
      <a:accent2>
        <a:srgbClr val="6DCEF5"/>
      </a:accent2>
      <a:accent3>
        <a:srgbClr val="FCEE1E"/>
      </a:accent3>
      <a:accent4>
        <a:srgbClr val="FAAF4E"/>
      </a:accent4>
      <a:accent5>
        <a:srgbClr val="31859B"/>
      </a:accent5>
      <a:accent6>
        <a:srgbClr val="DB7713"/>
      </a:accent6>
      <a:hlink>
        <a:srgbClr val="4BACC6"/>
      </a:hlink>
      <a:folHlink>
        <a:srgbClr val="E36C09"/>
      </a:folHlink>
    </a:clrScheme>
    <a:fontScheme name="Personal Money Tracker">
      <a:majorFont>
        <a:latin typeface="Times New Roman"/>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2.xml" Id="rId3" /><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 Type="http://schemas.microsoft.com/office/2007/relationships/slicer" Target="/xl/slicers/slicer12.xml" Id="rId4" /></Relationships>
</file>

<file path=xl/worksheets/_rels/sheet31.xml.rels>&#65279;<?xml version="1.0" encoding="utf-8"?><Relationships xmlns="http://schemas.openxmlformats.org/package/2006/relationships"><Relationship Type="http://schemas.openxmlformats.org/officeDocument/2006/relationships/drawing" Target="/xl/drawings/drawing31.xml" Id="rId3" /><Relationship Type="http://schemas.openxmlformats.org/officeDocument/2006/relationships/printerSettings" Target="/xl/printerSettings/printerSettings31.bin" Id="rId2" /><Relationship Type="http://schemas.openxmlformats.org/officeDocument/2006/relationships/pivotTable" Target="/xl/pivotTables/pivotTable1.xml" Id="rId1" /><Relationship Type="http://schemas.microsoft.com/office/2007/relationships/slicer" Target="/xl/slicers/slicer2.xml" Id="rId4" /></Relationships>
</file>

<file path=xl/worksheets/_rels/sheet44.xml.rels>&#65279;<?xml version="1.0" encoding="utf-8"?><Relationships xmlns="http://schemas.openxmlformats.org/package/2006/relationships"><Relationship Type="http://schemas.openxmlformats.org/officeDocument/2006/relationships/printerSettings" Target="/xl/printerSettings/printerSettings44.bin" Id="rId2" /><Relationship Type="http://schemas.openxmlformats.org/officeDocument/2006/relationships/pivotTable" Target="/xl/pivotTables/pivotTable22.xml"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5"/>
    <pageSetUpPr autoPageBreaks="0"/>
  </sheetPr>
  <dimension ref="B1:G23"/>
  <sheetViews>
    <sheetView showGridLines="0" tabSelected="1" zoomScaleNormal="100" workbookViewId="0"/>
  </sheetViews>
  <sheetFormatPr defaultColWidth="9.140625" defaultRowHeight="30" customHeight="1" x14ac:dyDescent="0.25"/>
  <cols>
    <col min="1" max="1" width="2.28515625" customWidth="1"/>
    <col min="2" max="2" width="15.28515625" customWidth="1"/>
    <col min="3" max="3" width="7.5703125" customWidth="1"/>
    <col min="4" max="4" width="18.7109375" customWidth="1"/>
    <col min="5" max="5" width="22.5703125" customWidth="1"/>
    <col min="6" max="6" width="17.28515625" customWidth="1"/>
    <col min="7" max="7" width="18.7109375" customWidth="1"/>
    <col min="8" max="8" width="5.5703125" customWidth="1"/>
    <col min="9" max="9" width="14.85546875" bestFit="1" customWidth="1"/>
    <col min="10" max="10" width="16.28515625" bestFit="1" customWidth="1"/>
    <col min="11" max="12" width="12.7109375" customWidth="1"/>
  </cols>
  <sheetData>
    <row r="1" spans="2:7" ht="18.75" customHeight="1" x14ac:dyDescent="0.25">
      <c r="B1" s="33" t="s">
        <v>0</v>
      </c>
      <c r="C1" s="33"/>
      <c r="D1" s="33"/>
      <c r="E1" s="33"/>
      <c r="F1" s="33"/>
    </row>
    <row r="2" spans="2:7" ht="18.75" customHeight="1" x14ac:dyDescent="0.25">
      <c r="B2" s="34"/>
      <c r="C2" s="34"/>
      <c r="D2" s="34"/>
      <c r="E2" s="34"/>
      <c r="F2" s="34"/>
      <c r="G2" s="11" t="s">
        <v>11</v>
      </c>
    </row>
    <row r="3" spans="2:7" ht="50.1" customHeight="1" x14ac:dyDescent="0.35">
      <c r="B3" s="37"/>
      <c r="C3" s="37"/>
      <c r="D3" s="30" t="s">
        <v>3</v>
      </c>
      <c r="E3" s="30"/>
    </row>
    <row r="4" spans="2:7" ht="30" customHeight="1" x14ac:dyDescent="0.25">
      <c r="B4" s="35" t="s">
        <v>1</v>
      </c>
      <c r="D4" s="2" t="s">
        <v>4</v>
      </c>
      <c r="E4" s="3" t="s">
        <v>9</v>
      </c>
      <c r="F4" s="3" t="s">
        <v>10</v>
      </c>
      <c r="G4" s="3" t="s">
        <v>12</v>
      </c>
    </row>
    <row r="5" spans="2:7" ht="30" customHeight="1" x14ac:dyDescent="0.25">
      <c r="B5" s="36"/>
      <c r="D5" s="10" t="s">
        <v>5</v>
      </c>
      <c r="E5" s="23">
        <v>3000</v>
      </c>
      <c r="F5" s="23">
        <f t="array" ref="F5">SUMIF(EfectivoGastado[Cuenta],"=" &amp;TablaResumenEfectivo[[#This Row],[Cuenta]],EfectivoGastado[Importe])</f>
        <v>496</v>
      </c>
      <c r="G5" s="23">
        <f>TablaResumenEfectivo[[#This Row],[Dinero inicial]]-TablaResumenEfectivo[[#This Row],[Gastos totales]]</f>
        <v>2504</v>
      </c>
    </row>
    <row r="6" spans="2:7" ht="30" customHeight="1" x14ac:dyDescent="0.25">
      <c r="B6" s="36"/>
      <c r="D6" s="10" t="s">
        <v>6</v>
      </c>
      <c r="E6" s="23">
        <v>500</v>
      </c>
      <c r="F6" s="23">
        <f t="array" ref="F6">SUMIF(EfectivoGastado[Cuenta],"=" &amp;TablaResumenEfectivo[[#This Row],[Cuenta]],EfectivoGastado[Importe])</f>
        <v>450</v>
      </c>
      <c r="G6" s="23">
        <f>TablaResumenEfectivo[[#This Row],[Dinero inicial]]-TablaResumenEfectivo[[#This Row],[Gastos totales]]</f>
        <v>50</v>
      </c>
    </row>
    <row r="7" spans="2:7" ht="30" customHeight="1" x14ac:dyDescent="0.25">
      <c r="B7" s="36"/>
      <c r="D7" s="10" t="s">
        <v>7</v>
      </c>
      <c r="E7" s="23">
        <v>200</v>
      </c>
      <c r="F7" s="23">
        <f t="array" ref="F7">SUMIF(EfectivoGastado[Cuenta],"=" &amp;TablaResumenEfectivo[[#This Row],[Cuenta]],EfectivoGastado[Importe])</f>
        <v>30</v>
      </c>
      <c r="G7" s="23">
        <f>TablaResumenEfectivo[[#This Row],[Dinero inicial]]-TablaResumenEfectivo[[#This Row],[Gastos totales]]</f>
        <v>170</v>
      </c>
    </row>
    <row r="8" spans="2:7" ht="30" customHeight="1" x14ac:dyDescent="0.25">
      <c r="B8" s="36"/>
      <c r="D8" s="10" t="s">
        <v>8</v>
      </c>
      <c r="E8" s="21">
        <f>SUBTOTAL(109,TablaResumenEfectivo[Dinero inicial])</f>
        <v>3700</v>
      </c>
      <c r="F8" s="21">
        <f>SUBTOTAL(109,TablaResumenEfectivo[Gastos totales])</f>
        <v>976</v>
      </c>
      <c r="G8" s="21">
        <f>SUBTOTAL(109,TablaResumenEfectivo[Dinero restante])</f>
        <v>2724</v>
      </c>
    </row>
    <row r="9" spans="2:7" ht="30" customHeight="1" x14ac:dyDescent="0.25">
      <c r="B9" s="36"/>
    </row>
    <row r="10" spans="2:7" ht="30" customHeight="1" x14ac:dyDescent="0.25">
      <c r="B10" s="36"/>
    </row>
    <row r="11" spans="2:7" ht="30" customHeight="1" x14ac:dyDescent="0.25">
      <c r="B11" s="36"/>
    </row>
    <row r="12" spans="2:7" ht="30" customHeight="1" x14ac:dyDescent="0.25">
      <c r="B12" s="36"/>
    </row>
    <row r="13" spans="2:7" ht="30" customHeight="1" x14ac:dyDescent="0.25">
      <c r="B13" s="36"/>
    </row>
    <row r="14" spans="2:7" ht="30" customHeight="1" x14ac:dyDescent="0.25">
      <c r="B14" s="36"/>
    </row>
    <row r="15" spans="2:7" ht="30" customHeight="1" x14ac:dyDescent="0.25">
      <c r="B15" s="36"/>
    </row>
    <row r="16" spans="2:7" ht="30" customHeight="1" x14ac:dyDescent="0.25">
      <c r="B16" s="36"/>
    </row>
    <row r="17" spans="2:2" ht="30" customHeight="1" x14ac:dyDescent="0.25">
      <c r="B17" s="36"/>
    </row>
    <row r="18" spans="2:2" ht="30" customHeight="1" x14ac:dyDescent="0.25">
      <c r="B18" s="36"/>
    </row>
    <row r="19" spans="2:2" ht="30" customHeight="1" x14ac:dyDescent="0.25">
      <c r="B19" s="36"/>
    </row>
    <row r="20" spans="2:2" ht="30" customHeight="1" x14ac:dyDescent="0.25">
      <c r="B20" s="31" t="s">
        <v>2</v>
      </c>
    </row>
    <row r="21" spans="2:2" ht="30" customHeight="1" x14ac:dyDescent="0.25">
      <c r="B21" s="32"/>
    </row>
    <row r="22" spans="2:2" ht="30" customHeight="1" x14ac:dyDescent="0.25">
      <c r="B22" s="28">
        <f>TablaResumenEfectivo[[#Totals],[Dinero restante]]/TablaResumenEfectivo[[#Totals],[Dinero inicial]]</f>
        <v>0.73621621621621625</v>
      </c>
    </row>
    <row r="23" spans="2:2" ht="30" customHeight="1" x14ac:dyDescent="0.25">
      <c r="B23" s="29"/>
    </row>
  </sheetData>
  <mergeCells count="6">
    <mergeCell ref="B22:B23"/>
    <mergeCell ref="D3:E3"/>
    <mergeCell ref="B20:B21"/>
    <mergeCell ref="B1:F2"/>
    <mergeCell ref="B4:B19"/>
    <mergeCell ref="B3:C3"/>
  </mergeCells>
  <conditionalFormatting sqref="B22">
    <cfRule type="expression" dxfId="59" priority="7" stopIfTrue="1">
      <formula>$B$22&gt;=0.5</formula>
    </cfRule>
    <cfRule type="expression" dxfId="58" priority="8" stopIfTrue="1">
      <formula>AND($B$22&gt;=0.25,$B$22&lt;0.5)</formula>
    </cfRule>
    <cfRule type="expression" dxfId="57" priority="9" stopIfTrue="1">
      <formula>$B$22&lt;0.25</formula>
    </cfRule>
  </conditionalFormatting>
  <dataValidations count="10">
    <dataValidation allowBlank="1" showInputMessage="1" showErrorMessage="1" prompt="Cree un rastreador de dinero personal en este libro. El gráfico está en la celda B4. El porcentaje de dinero pendiente se calcula automáticamente en la celda B22" sqref="A1" xr:uid="{00000000-0002-0000-0000-000000000000}"/>
    <dataValidation allowBlank="1" showInputMessage="1" showErrorMessage="1" prompt="Vínculo de navegación a la hoja de cálculo de efectivo gastado" sqref="G2" xr:uid="{00000000-0002-0000-0000-000001000000}"/>
    <dataValidation allowBlank="1" showInputMessage="1" showErrorMessage="1" prompt="Escriba los detalles del dinero en la tabla siguiente" sqref="D3:E3" xr:uid="{00000000-0002-0000-0000-000002000000}"/>
    <dataValidation allowBlank="1" showInputMessage="1" showErrorMessage="1" prompt="Escriba el tipo de cuenta en esta columna bajo este encabezado" sqref="D4" xr:uid="{00000000-0002-0000-0000-000003000000}"/>
    <dataValidation allowBlank="1" showInputMessage="1" showErrorMessage="1" prompt="Escriba el monto del efectivo inicial en esta columna bajo este encabezado" sqref="E4" xr:uid="{00000000-0002-0000-0000-000004000000}"/>
    <dataValidation allowBlank="1" showInputMessage="1" showErrorMessage="1" prompt="La cantidad total se calcula automáticamente en la columna con este encabezado." sqref="F4" xr:uid="{00000000-0002-0000-0000-000005000000}"/>
    <dataValidation allowBlank="1" showInputMessage="1" showErrorMessage="1" prompt="Las calorías restantes se calculan automáticamente en la columna con este encabezado" sqref="G4" xr:uid="{00000000-0002-0000-0000-000006000000}"/>
    <dataValidation allowBlank="1" showInputMessage="1" showErrorMessage="1" prompt="El título de esta hoja de cálculo está en esta celda. Escriba los detalles en la tabla de Resumen de efectivo, empezando en la celda D4 de esta hoja de cálculo. Seleccione la celda G2 para ir a la hoja de cálculo de efectivo gastado" sqref="B1:F2" xr:uid="{00000000-0002-0000-0000-000007000000}"/>
    <dataValidation allowBlank="1" showInputMessage="1" showErrorMessage="1" prompt="El porcentaje de efectivo pendiente se calcula automáticamente en la celda inferior" sqref="B20:B21" xr:uid="{00000000-0002-0000-0000-000008000000}"/>
    <dataValidation allowBlank="1" showInputMessage="1" showErrorMessage="1" prompt="El porcentaje de efectivo pendiente se calcula automáticamente en esta celda" sqref="B22:B23" xr:uid="{00000000-0002-0000-0000-000009000000}"/>
  </dataValidations>
  <hyperlinks>
    <hyperlink ref="G2" location="'Dinero gastado'!A1" tooltip="Seleccione para ir a la hoja de cálculo Efectivo gastado" display="Dinero gastado &gt;" xr:uid="{00000000-0004-0000-0000-000000000000}"/>
  </hyperlinks>
  <printOptions horizontalCentered="1"/>
  <pageMargins left="0.7" right="0.7" top="0.75" bottom="0.75" header="0.3" footer="0.3"/>
  <pageSetup paperSize="9" fitToHeight="0" orientation="portrait" r:id="rId1"/>
  <headerFooter differentFirst="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5"/>
    <pageSetUpPr autoPageBreaks="0"/>
  </sheetPr>
  <dimension ref="B1:G17"/>
  <sheetViews>
    <sheetView showGridLines="0" zoomScaleNormal="100" workbookViewId="0"/>
  </sheetViews>
  <sheetFormatPr defaultColWidth="9.140625" defaultRowHeight="30" customHeight="1" x14ac:dyDescent="0.25"/>
  <cols>
    <col min="1" max="1" width="2.28515625" customWidth="1"/>
    <col min="2" max="2" width="18.7109375" customWidth="1"/>
    <col min="3" max="3" width="28.7109375" customWidth="1"/>
    <col min="4" max="4" width="17.28515625" customWidth="1"/>
    <col min="5" max="6" width="20.7109375" customWidth="1"/>
    <col min="7" max="7" width="14" customWidth="1"/>
    <col min="8" max="8" width="5.5703125" customWidth="1"/>
    <col min="9" max="9" width="14.85546875" bestFit="1" customWidth="1"/>
    <col min="10" max="10" width="16.28515625" bestFit="1" customWidth="1"/>
    <col min="11" max="12" width="12.7109375" customWidth="1"/>
  </cols>
  <sheetData>
    <row r="1" spans="2:7" ht="18.75" customHeight="1" x14ac:dyDescent="0.25">
      <c r="B1" s="33" t="s">
        <v>0</v>
      </c>
      <c r="C1" s="33"/>
      <c r="D1" s="33"/>
      <c r="E1" s="15"/>
    </row>
    <row r="2" spans="2:7" ht="18.75" customHeight="1" x14ac:dyDescent="0.25">
      <c r="B2" s="34"/>
      <c r="C2" s="34"/>
      <c r="D2" s="34"/>
      <c r="E2" s="16" t="s">
        <v>23</v>
      </c>
      <c r="F2" s="11" t="s">
        <v>24</v>
      </c>
    </row>
    <row r="3" spans="2:7" ht="50.1" customHeight="1" x14ac:dyDescent="0.35">
      <c r="B3" s="30" t="s">
        <v>13</v>
      </c>
      <c r="C3" s="30"/>
    </row>
    <row r="4" spans="2:7" ht="30" customHeight="1" x14ac:dyDescent="0.25">
      <c r="B4" s="8" t="s">
        <v>14</v>
      </c>
      <c r="C4" s="8" t="s">
        <v>15</v>
      </c>
      <c r="D4" s="4" t="s">
        <v>22</v>
      </c>
      <c r="E4" s="8" t="s">
        <v>4</v>
      </c>
      <c r="F4" s="38" t="s">
        <v>25</v>
      </c>
      <c r="G4" s="38"/>
    </row>
    <row r="5" spans="2:7" ht="30" customHeight="1" x14ac:dyDescent="0.25">
      <c r="B5" s="7">
        <f ca="1">TODAY()+105</f>
        <v>45019</v>
      </c>
      <c r="C5" s="9" t="s">
        <v>16</v>
      </c>
      <c r="D5" s="22">
        <v>40</v>
      </c>
      <c r="E5" s="9" t="s">
        <v>5</v>
      </c>
      <c r="F5" s="38"/>
      <c r="G5" s="38"/>
    </row>
    <row r="6" spans="2:7" ht="30" customHeight="1" x14ac:dyDescent="0.25">
      <c r="B6" s="7">
        <f ca="1">TODAY()+106</f>
        <v>45020</v>
      </c>
      <c r="C6" s="9" t="s">
        <v>17</v>
      </c>
      <c r="D6" s="22">
        <v>5</v>
      </c>
      <c r="E6" s="9" t="s">
        <v>5</v>
      </c>
      <c r="F6" s="38"/>
      <c r="G6" s="38"/>
    </row>
    <row r="7" spans="2:7" ht="30" customHeight="1" x14ac:dyDescent="0.25">
      <c r="B7" s="7">
        <f ca="1">TODAY()+107</f>
        <v>45021</v>
      </c>
      <c r="C7" s="9" t="s">
        <v>18</v>
      </c>
      <c r="D7" s="22">
        <v>230</v>
      </c>
      <c r="E7" s="9" t="s">
        <v>6</v>
      </c>
      <c r="F7" s="38"/>
      <c r="G7" s="38"/>
    </row>
    <row r="8" spans="2:7" ht="30" customHeight="1" x14ac:dyDescent="0.25">
      <c r="B8" s="7">
        <f ca="1">TODAY()+135</f>
        <v>45049</v>
      </c>
      <c r="C8" s="9" t="s">
        <v>19</v>
      </c>
      <c r="D8" s="22">
        <v>70</v>
      </c>
      <c r="E8" s="9" t="s">
        <v>5</v>
      </c>
      <c r="F8" s="38" t="s">
        <v>26</v>
      </c>
      <c r="G8" s="38"/>
    </row>
    <row r="9" spans="2:7" ht="30" customHeight="1" x14ac:dyDescent="0.25">
      <c r="B9" s="7">
        <f ca="1">TODAY()+139</f>
        <v>45053</v>
      </c>
      <c r="C9" s="9" t="s">
        <v>20</v>
      </c>
      <c r="D9" s="22">
        <v>53</v>
      </c>
      <c r="E9" s="9" t="s">
        <v>5</v>
      </c>
      <c r="F9" s="38"/>
      <c r="G9" s="38"/>
    </row>
    <row r="10" spans="2:7" ht="30" customHeight="1" x14ac:dyDescent="0.25">
      <c r="B10" s="7">
        <f ca="1">TODAY()+162</f>
        <v>45076</v>
      </c>
      <c r="C10" s="9" t="s">
        <v>21</v>
      </c>
      <c r="D10" s="22">
        <v>100</v>
      </c>
      <c r="E10" s="9" t="s">
        <v>6</v>
      </c>
      <c r="F10" s="38"/>
      <c r="G10" s="38"/>
    </row>
    <row r="11" spans="2:7" ht="30" customHeight="1" x14ac:dyDescent="0.25">
      <c r="B11" s="7">
        <f ca="1">TODAY()+167</f>
        <v>45081</v>
      </c>
      <c r="C11" s="9" t="s">
        <v>18</v>
      </c>
      <c r="D11" s="22">
        <v>230</v>
      </c>
      <c r="E11" s="9" t="s">
        <v>5</v>
      </c>
      <c r="F11" s="38"/>
      <c r="G11" s="38"/>
    </row>
    <row r="12" spans="2:7" ht="30" customHeight="1" x14ac:dyDescent="0.25">
      <c r="B12" s="7">
        <f ca="1">TODAY()+198</f>
        <v>45112</v>
      </c>
      <c r="C12" s="9" t="s">
        <v>19</v>
      </c>
      <c r="D12" s="22">
        <v>70</v>
      </c>
      <c r="E12" s="9" t="s">
        <v>6</v>
      </c>
      <c r="F12" s="38"/>
      <c r="G12" s="38"/>
    </row>
    <row r="13" spans="2:7" ht="30" customHeight="1" x14ac:dyDescent="0.25">
      <c r="B13" s="7">
        <f ca="1">TODAY()+212</f>
        <v>45126</v>
      </c>
      <c r="C13" s="9" t="s">
        <v>16</v>
      </c>
      <c r="D13" s="22">
        <v>30</v>
      </c>
      <c r="E13" s="9" t="s">
        <v>5</v>
      </c>
      <c r="F13" s="38"/>
      <c r="G13" s="38"/>
    </row>
    <row r="14" spans="2:7" ht="30" customHeight="1" x14ac:dyDescent="0.25">
      <c r="B14" s="7">
        <f ca="1">TODAY()+225</f>
        <v>45139</v>
      </c>
      <c r="C14" s="9" t="s">
        <v>16</v>
      </c>
      <c r="D14" s="22">
        <v>50</v>
      </c>
      <c r="E14" s="9" t="s">
        <v>6</v>
      </c>
      <c r="F14" s="38"/>
      <c r="G14" s="38"/>
    </row>
    <row r="15" spans="2:7" ht="30" customHeight="1" x14ac:dyDescent="0.25">
      <c r="B15" s="7">
        <f ca="1">TODAY()+232</f>
        <v>45146</v>
      </c>
      <c r="C15" s="9" t="s">
        <v>16</v>
      </c>
      <c r="D15" s="22">
        <v>30</v>
      </c>
      <c r="E15" s="9" t="s">
        <v>7</v>
      </c>
      <c r="F15" s="38"/>
      <c r="G15" s="38"/>
    </row>
    <row r="16" spans="2:7" ht="30" customHeight="1" x14ac:dyDescent="0.25">
      <c r="B16" s="7">
        <f ca="1">TODAY()+283</f>
        <v>45197</v>
      </c>
      <c r="C16" s="9" t="s">
        <v>19</v>
      </c>
      <c r="D16" s="22">
        <v>68</v>
      </c>
      <c r="E16" s="9" t="s">
        <v>5</v>
      </c>
    </row>
    <row r="17" spans="2:5" ht="30" customHeight="1" x14ac:dyDescent="0.25">
      <c r="B17" s="7"/>
      <c r="C17" s="9"/>
      <c r="D17" s="22"/>
      <c r="E17" s="9"/>
    </row>
  </sheetData>
  <mergeCells count="4">
    <mergeCell ref="B1:D2"/>
    <mergeCell ref="B3:C3"/>
    <mergeCell ref="F8:G15"/>
    <mergeCell ref="F4:G7"/>
  </mergeCells>
  <dataValidations count="10">
    <dataValidation type="list" errorStyle="warning" allowBlank="1" showInputMessage="1" showErrorMessage="1" error="Seleccione el tipo de cuenta de la lista. Seleccione CANCELAR y, después, presione ALT + FLECHA ABAJO para opciones, FLECHA ABAJO y ENTRAR para seleccionar" sqref="E5:E17" xr:uid="{00000000-0002-0000-0100-000000000000}">
      <formula1>AccountList</formula1>
    </dataValidation>
    <dataValidation allowBlank="1" showInputMessage="1" showErrorMessage="1" prompt="Crear la lista de efectivo gastado en esta hoja de cálculo. Escriba detalles en la tabla en la que se ha pasado dinero. Seleccione la celda E2 para ir a hoja de cálculo de Resumen de efectivo y F2 para ir a la hoja de cálculo resumen mensual" sqref="A1" xr:uid="{00000000-0002-0000-0100-000001000000}"/>
    <dataValidation allowBlank="1" showInputMessage="1" showErrorMessage="1" prompt="El título de esta hoja de cálculo se encuentra en esta celda." sqref="B1" xr:uid="{00000000-0002-0000-0100-000002000000}"/>
    <dataValidation allowBlank="1" showInputMessage="1" showErrorMessage="1" prompt="Vínculo de navegación a la hoja de cálculo de Resumen de efectivo" sqref="E2" xr:uid="{00000000-0002-0000-0100-000003000000}"/>
    <dataValidation allowBlank="1" showInputMessage="1" showErrorMessage="1" prompt="Vínculo de navegación a la hoja de cálculo Resumen diario" sqref="F2" xr:uid="{00000000-0002-0000-0100-000004000000}"/>
    <dataValidation allowBlank="1" showInputMessage="1" showErrorMessage="1" prompt="Escriba los detalles en la tabla siguiente. Segmentación de datos para filtrar datos de tabla por cuenta y descripción están en la celda F4 y F8" sqref="B3:C3" xr:uid="{00000000-0002-0000-0100-000005000000}"/>
    <dataValidation allowBlank="1" showInputMessage="1" showErrorMessage="1" prompt="Escriba la fecha en esta columna, bajo este encabezado. Use los filtros de encabezado para buscar entradas específicas." sqref="B4" xr:uid="{00000000-0002-0000-0100-000006000000}"/>
    <dataValidation allowBlank="1" showInputMessage="1" showErrorMessage="1" prompt="Escriba la descripción en esta columna, debajo de este encabezado." sqref="C4" xr:uid="{00000000-0002-0000-0100-000007000000}"/>
    <dataValidation allowBlank="1" showInputMessage="1" showErrorMessage="1" prompt="Escriba el importe en esta columna, debajo de este encabezado." sqref="D4" xr:uid="{00000000-0002-0000-0100-000008000000}"/>
    <dataValidation allowBlank="1" showInputMessage="1" showErrorMessage="1" prompt="Seleccione la actividad en esta columna, debajo de este encabezado. Presione ALT+FLECHA ABAJO para ver las opciones y, después, use la tecla de FLECHA ABAJO y ENTRAR para realizar una selección." sqref="E4" xr:uid="{00000000-0002-0000-0100-000009000000}"/>
  </dataValidations>
  <hyperlinks>
    <hyperlink ref="F2" location="'Resumen mensual'!A1" tooltip="Seleccionar para ir a la hoja de cálculo de resumen mensual" display="Monthly Summary &gt;" xr:uid="{00000000-0004-0000-0100-000000000000}"/>
    <hyperlink ref="E2" location="'Resumen de dinero'!A1" tooltip="Seleccione esta opción para ir a la hoja de cálculo Resumen de confirmación de efectivo" display="&lt; Resumen de dinero" xr:uid="{00000000-0004-0000-0100-000001000000}"/>
  </hyperlinks>
  <printOptions horizontalCentered="1"/>
  <pageMargins left="0.7" right="0.7" top="0.75" bottom="0.75" header="0.3" footer="0.3"/>
  <pageSetup paperSize="9" scale="94" fitToHeight="0" orientation="portrait" r:id="rId1"/>
  <headerFooter differentFirst="1"/>
  <colBreaks count="1" manualBreakCount="1">
    <brk id="5" max="1048575" man="1"/>
  </colBreaks>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pageSetUpPr autoPageBreaks="0"/>
  </sheetPr>
  <dimension ref="B1:G48"/>
  <sheetViews>
    <sheetView showGridLines="0" zoomScaleNormal="100" workbookViewId="0"/>
  </sheetViews>
  <sheetFormatPr defaultColWidth="9.140625" defaultRowHeight="30" customHeight="1" x14ac:dyDescent="0.25"/>
  <cols>
    <col min="1" max="1" width="2.28515625" customWidth="1"/>
    <col min="2" max="2" width="30" customWidth="1"/>
    <col min="3" max="6" width="20.28515625" customWidth="1"/>
    <col min="7" max="7" width="4.28515625" customWidth="1"/>
  </cols>
  <sheetData>
    <row r="1" spans="2:7" ht="18.75" customHeight="1" x14ac:dyDescent="0.25">
      <c r="B1" s="33" t="s">
        <v>27</v>
      </c>
      <c r="C1" s="33"/>
      <c r="D1" s="33"/>
      <c r="E1" s="33"/>
    </row>
    <row r="2" spans="2:7" ht="18.75" customHeight="1" x14ac:dyDescent="0.25">
      <c r="B2" s="34"/>
      <c r="C2" s="34"/>
      <c r="D2" s="34"/>
      <c r="E2" s="34"/>
      <c r="F2" s="11" t="s">
        <v>32</v>
      </c>
    </row>
    <row r="3" spans="2:7" ht="35.450000000000003" customHeight="1" x14ac:dyDescent="0.25">
      <c r="B3" s="40" t="s">
        <v>28</v>
      </c>
      <c r="C3" s="40"/>
      <c r="D3" s="40"/>
      <c r="E3" s="40"/>
      <c r="F3" s="40"/>
    </row>
    <row r="4" spans="2:7" ht="27.6" customHeight="1" x14ac:dyDescent="0.35">
      <c r="B4" s="30" t="s">
        <v>29</v>
      </c>
      <c r="C4" s="30"/>
      <c r="D4" s="30"/>
      <c r="E4" s="30"/>
      <c r="F4" s="30"/>
      <c r="G4" s="30"/>
    </row>
    <row r="5" spans="2:7" ht="21.75" customHeight="1" x14ac:dyDescent="0.25">
      <c r="B5" s="38" t="s">
        <v>30</v>
      </c>
      <c r="C5" s="38"/>
      <c r="D5" s="38"/>
      <c r="E5" s="38"/>
      <c r="F5" s="38" t="s">
        <v>33</v>
      </c>
      <c r="G5" s="38"/>
    </row>
    <row r="6" spans="2:7" ht="21.75" customHeight="1" x14ac:dyDescent="0.25">
      <c r="B6" s="38"/>
      <c r="C6" s="38"/>
      <c r="D6" s="38"/>
      <c r="E6" s="38"/>
      <c r="F6" s="38"/>
      <c r="G6" s="38"/>
    </row>
    <row r="7" spans="2:7" ht="21.75" customHeight="1" x14ac:dyDescent="0.25">
      <c r="B7" s="38"/>
      <c r="C7" s="38"/>
      <c r="D7" s="38"/>
      <c r="E7" s="38"/>
      <c r="F7" s="38"/>
      <c r="G7" s="38"/>
    </row>
    <row r="8" spans="2:7" ht="21.75" customHeight="1" x14ac:dyDescent="0.25">
      <c r="B8" s="38"/>
      <c r="C8" s="38"/>
      <c r="D8" s="38"/>
      <c r="E8" s="38"/>
      <c r="F8" s="38"/>
      <c r="G8" s="38"/>
    </row>
    <row r="9" spans="2:7" ht="21.75" customHeight="1" x14ac:dyDescent="0.25">
      <c r="B9" s="38"/>
      <c r="C9" s="38"/>
      <c r="D9" s="38"/>
      <c r="E9" s="38"/>
      <c r="F9" s="38"/>
      <c r="G9" s="38"/>
    </row>
    <row r="10" spans="2:7" ht="21.75" customHeight="1" x14ac:dyDescent="0.25">
      <c r="B10" s="38"/>
      <c r="C10" s="38"/>
      <c r="D10" s="38"/>
      <c r="E10" s="38"/>
      <c r="F10" s="38" t="s">
        <v>34</v>
      </c>
      <c r="G10" s="38"/>
    </row>
    <row r="11" spans="2:7" ht="21.75" customHeight="1" x14ac:dyDescent="0.25">
      <c r="B11" s="38"/>
      <c r="C11" s="38"/>
      <c r="D11" s="38"/>
      <c r="E11" s="38"/>
      <c r="F11" s="38"/>
      <c r="G11" s="38"/>
    </row>
    <row r="12" spans="2:7" ht="21.75" customHeight="1" x14ac:dyDescent="0.25">
      <c r="B12" s="38"/>
      <c r="C12" s="38"/>
      <c r="D12" s="38"/>
      <c r="E12" s="38"/>
      <c r="F12" s="38"/>
      <c r="G12" s="38"/>
    </row>
    <row r="13" spans="2:7" ht="21.75" customHeight="1" x14ac:dyDescent="0.25">
      <c r="B13" s="38"/>
      <c r="C13" s="38"/>
      <c r="D13" s="38"/>
      <c r="E13" s="38"/>
      <c r="F13" s="38"/>
      <c r="G13" s="38"/>
    </row>
    <row r="14" spans="2:7" ht="21.75" customHeight="1" x14ac:dyDescent="0.25">
      <c r="B14" s="38"/>
      <c r="C14" s="38"/>
      <c r="D14" s="38"/>
      <c r="E14" s="38"/>
      <c r="F14" s="38"/>
      <c r="G14" s="38"/>
    </row>
    <row r="15" spans="2:7" ht="21.75" customHeight="1" x14ac:dyDescent="0.25">
      <c r="B15" s="38"/>
      <c r="C15" s="38"/>
      <c r="D15" s="38"/>
      <c r="E15" s="38"/>
      <c r="F15" s="38"/>
      <c r="G15" s="38"/>
    </row>
    <row r="16" spans="2:7" ht="21.75" customHeight="1" x14ac:dyDescent="0.25">
      <c r="B16" s="38"/>
      <c r="C16" s="38"/>
      <c r="D16" s="38"/>
      <c r="E16" s="38"/>
      <c r="F16" s="38"/>
      <c r="G16" s="38"/>
    </row>
    <row r="17" spans="2:7" ht="21.75" customHeight="1" x14ac:dyDescent="0.25">
      <c r="B17" s="38"/>
      <c r="C17" s="38"/>
      <c r="D17" s="38"/>
      <c r="E17" s="38"/>
      <c r="F17" s="38"/>
      <c r="G17" s="38"/>
    </row>
    <row r="18" spans="2:7" ht="41.25" customHeight="1" x14ac:dyDescent="0.25">
      <c r="B18" s="39" t="s">
        <v>31</v>
      </c>
      <c r="C18" s="39"/>
      <c r="D18" s="39"/>
      <c r="E18" s="39"/>
      <c r="F18" s="39"/>
      <c r="G18" s="17"/>
    </row>
    <row r="19" spans="2:7" ht="18.75" x14ac:dyDescent="0.25">
      <c r="B19" s="24" t="s">
        <v>37</v>
      </c>
      <c r="C19" s="14"/>
      <c r="D19" s="14"/>
      <c r="E19" s="14"/>
      <c r="F19" s="14"/>
    </row>
    <row r="20" spans="2:7" ht="15.75" x14ac:dyDescent="0.25">
      <c r="B20" s="14"/>
      <c r="C20" s="20" t="s">
        <v>5</v>
      </c>
      <c r="D20" s="20" t="s">
        <v>6</v>
      </c>
      <c r="E20" s="20" t="s">
        <v>7</v>
      </c>
      <c r="F20" s="6" t="s">
        <v>38</v>
      </c>
    </row>
    <row r="21" spans="2:7" ht="15" x14ac:dyDescent="0.25">
      <c r="B21" s="25" t="s">
        <v>39</v>
      </c>
      <c r="C21" s="21">
        <v>45</v>
      </c>
      <c r="D21" s="21">
        <v>230</v>
      </c>
      <c r="E21" s="21"/>
      <c r="F21" s="21">
        <v>275</v>
      </c>
    </row>
    <row r="22" spans="2:7" ht="15" x14ac:dyDescent="0.25">
      <c r="B22" s="13" t="s">
        <v>17</v>
      </c>
      <c r="C22" s="21">
        <v>5</v>
      </c>
      <c r="D22" s="21"/>
      <c r="E22" s="21"/>
      <c r="F22" s="21">
        <v>5</v>
      </c>
    </row>
    <row r="23" spans="2:7" ht="15" x14ac:dyDescent="0.25">
      <c r="B23" s="13" t="s">
        <v>18</v>
      </c>
      <c r="C23" s="21"/>
      <c r="D23" s="21">
        <v>230</v>
      </c>
      <c r="E23" s="21"/>
      <c r="F23" s="21">
        <v>230</v>
      </c>
    </row>
    <row r="24" spans="2:7" x14ac:dyDescent="0.25">
      <c r="B24" s="13" t="s">
        <v>16</v>
      </c>
      <c r="C24" s="21">
        <v>40</v>
      </c>
      <c r="D24" s="21"/>
      <c r="E24" s="21"/>
      <c r="F24" s="21">
        <v>40</v>
      </c>
    </row>
    <row r="25" spans="2:7" ht="15" x14ac:dyDescent="0.25">
      <c r="B25" s="25" t="s">
        <v>40</v>
      </c>
      <c r="C25" s="21">
        <v>123</v>
      </c>
      <c r="D25" s="21">
        <v>100</v>
      </c>
      <c r="E25" s="21"/>
      <c r="F25" s="21">
        <v>223</v>
      </c>
    </row>
    <row r="26" spans="2:7" ht="15" x14ac:dyDescent="0.25">
      <c r="B26" s="13" t="s">
        <v>20</v>
      </c>
      <c r="C26" s="21">
        <v>53</v>
      </c>
      <c r="D26" s="21"/>
      <c r="E26" s="21"/>
      <c r="F26" s="21">
        <v>53</v>
      </c>
    </row>
    <row r="27" spans="2:7" ht="15" x14ac:dyDescent="0.25">
      <c r="B27" s="13" t="s">
        <v>19</v>
      </c>
      <c r="C27" s="21">
        <v>70</v>
      </c>
      <c r="D27" s="21"/>
      <c r="E27" s="21"/>
      <c r="F27" s="21">
        <v>70</v>
      </c>
    </row>
    <row r="28" spans="2:7" ht="15" x14ac:dyDescent="0.25">
      <c r="B28" s="13" t="s">
        <v>21</v>
      </c>
      <c r="C28" s="21"/>
      <c r="D28" s="21">
        <v>100</v>
      </c>
      <c r="E28" s="21"/>
      <c r="F28" s="21">
        <v>100</v>
      </c>
    </row>
    <row r="29" spans="2:7" ht="15" x14ac:dyDescent="0.25">
      <c r="B29" s="25" t="s">
        <v>41</v>
      </c>
      <c r="C29" s="21">
        <v>230</v>
      </c>
      <c r="D29" s="21"/>
      <c r="E29" s="21"/>
      <c r="F29" s="21">
        <v>230</v>
      </c>
    </row>
    <row r="30" spans="2:7" ht="15" x14ac:dyDescent="0.25">
      <c r="B30" s="13" t="s">
        <v>18</v>
      </c>
      <c r="C30" s="21">
        <v>230</v>
      </c>
      <c r="D30" s="21"/>
      <c r="E30" s="21"/>
      <c r="F30" s="21">
        <v>230</v>
      </c>
    </row>
    <row r="31" spans="2:7" ht="15" x14ac:dyDescent="0.25">
      <c r="B31" s="25" t="s">
        <v>42</v>
      </c>
      <c r="C31" s="21">
        <v>30</v>
      </c>
      <c r="D31" s="21">
        <v>70</v>
      </c>
      <c r="E31" s="21"/>
      <c r="F31" s="21">
        <v>100</v>
      </c>
    </row>
    <row r="32" spans="2:7" ht="15" x14ac:dyDescent="0.25">
      <c r="B32" s="13" t="s">
        <v>19</v>
      </c>
      <c r="C32" s="21"/>
      <c r="D32" s="21">
        <v>70</v>
      </c>
      <c r="E32" s="21"/>
      <c r="F32" s="21">
        <v>70</v>
      </c>
    </row>
    <row r="33" spans="2:6" x14ac:dyDescent="0.25">
      <c r="B33" s="13" t="s">
        <v>16</v>
      </c>
      <c r="C33" s="21">
        <v>30</v>
      </c>
      <c r="D33" s="21"/>
      <c r="E33" s="21"/>
      <c r="F33" s="21">
        <v>30</v>
      </c>
    </row>
    <row r="34" spans="2:6" ht="15" x14ac:dyDescent="0.25">
      <c r="B34" s="41" t="s">
        <v>43</v>
      </c>
      <c r="C34" s="21"/>
      <c r="D34" s="21">
        <v>50</v>
      </c>
      <c r="E34" s="21">
        <v>30</v>
      </c>
      <c r="F34" s="21">
        <v>80</v>
      </c>
    </row>
    <row r="35" spans="2:6" x14ac:dyDescent="0.25">
      <c r="B35" s="13" t="s">
        <v>16</v>
      </c>
      <c r="C35" s="21"/>
      <c r="D35" s="21">
        <v>50</v>
      </c>
      <c r="E35" s="21">
        <v>30</v>
      </c>
      <c r="F35" s="21">
        <v>80</v>
      </c>
    </row>
    <row r="36" spans="2:6" ht="15" x14ac:dyDescent="0.25">
      <c r="B36" s="25" t="s">
        <v>44</v>
      </c>
      <c r="C36" s="21">
        <v>68</v>
      </c>
      <c r="D36" s="21"/>
      <c r="E36" s="21"/>
      <c r="F36" s="21">
        <v>68</v>
      </c>
    </row>
    <row r="37" spans="2:6" ht="15" x14ac:dyDescent="0.25">
      <c r="B37" s="13" t="s">
        <v>19</v>
      </c>
      <c r="C37" s="21">
        <v>68</v>
      </c>
      <c r="D37" s="21"/>
      <c r="E37" s="21"/>
      <c r="F37" s="21">
        <v>68</v>
      </c>
    </row>
    <row r="38" spans="2:6" ht="15" x14ac:dyDescent="0.25">
      <c r="B38" s="25" t="s">
        <v>38</v>
      </c>
      <c r="C38" s="21">
        <v>496</v>
      </c>
      <c r="D38" s="21">
        <v>450</v>
      </c>
      <c r="E38" s="21">
        <v>30</v>
      </c>
      <c r="F38" s="21">
        <v>976</v>
      </c>
    </row>
    <row r="39" spans="2:6" ht="15" x14ac:dyDescent="0.25"/>
    <row r="40" spans="2:6" ht="15" x14ac:dyDescent="0.25"/>
    <row r="41" spans="2:6" ht="15" x14ac:dyDescent="0.25"/>
    <row r="42" spans="2:6" ht="15" x14ac:dyDescent="0.25"/>
    <row r="43" spans="2:6" ht="15" x14ac:dyDescent="0.25"/>
    <row r="44" spans="2:6" ht="15" x14ac:dyDescent="0.25"/>
    <row r="45" spans="2:6" ht="15" x14ac:dyDescent="0.25"/>
    <row r="46" spans="2:6" ht="15" x14ac:dyDescent="0.25"/>
    <row r="47" spans="2:6" ht="15" x14ac:dyDescent="0.25"/>
    <row r="48" spans="2:6" ht="15" x14ac:dyDescent="0.25"/>
  </sheetData>
  <mergeCells count="7">
    <mergeCell ref="B18:F18"/>
    <mergeCell ref="B1:E2"/>
    <mergeCell ref="B3:F3"/>
    <mergeCell ref="B5:E17"/>
    <mergeCell ref="F10:G17"/>
    <mergeCell ref="F5:G9"/>
    <mergeCell ref="B4:G4"/>
  </mergeCells>
  <dataValidations count="5">
    <dataValidation allowBlank="1" showInputMessage="1" showErrorMessage="1" prompt="Cree un resumen mensual en esta hoja de cálculo. Escriba los detalles en la tabla dinámica. El gráfico está en la celda B5 y en la segmentación de datos en las celdas F5 y F10. Seleccione la celda F2 para ir a la hoja de cálculo de Resumen de efectivo" sqref="A1" xr:uid="{00000000-0002-0000-0200-000000000000}"/>
    <dataValidation allowBlank="1" showInputMessage="1" showErrorMessage="1" prompt="El título de esta hoja de cálculo está en esta celda y la sugerencia en la celda inferior." sqref="B1" xr:uid="{00000000-0002-0000-0200-000001000000}"/>
    <dataValidation allowBlank="1" showInputMessage="1" showErrorMessage="1" prompt="Vínculo de navegación a la hoja de cálculo de Resumen de efectivo" sqref="F2" xr:uid="{00000000-0002-0000-0200-000002000000}"/>
    <dataValidation allowBlank="1" showInputMessage="1" showErrorMessage="1" prompt="El gráfico de Resumen de la cuenta está en la celda siguiente. Este gráfico se actualiza basándose en tablas dinámicas en la hoja de cálculo de datos del gráfico" sqref="B4" xr:uid="{00000000-0002-0000-0200-000003000000}"/>
    <dataValidation allowBlank="1" showInputMessage="1" showErrorMessage="1" prompt="Se actualizan automáticamente los detalles de Resumen de gastos en la tabla siguiente desde la tabla de efectivo gastado." sqref="B18:F18" xr:uid="{00000000-0002-0000-0200-000004000000}"/>
  </dataValidations>
  <hyperlinks>
    <hyperlink ref="F2" location="'Dinero gastado'!A1" tooltip="Seleccione para ir a la hoja de cálculo Efectivo gastado" display="&lt; Dinero gastado" xr:uid="{00000000-0004-0000-0200-000000000000}"/>
  </hyperlinks>
  <printOptions horizontalCentered="1"/>
  <pageMargins left="0.7" right="0.7" top="0.75" bottom="0.75" header="0.3" footer="0.3"/>
  <pageSetup paperSize="9" scale="71" fitToHeight="0" orientation="portrait" r:id="rId2"/>
  <headerFooter differentFirst="1"/>
  <colBreaks count="1" manualBreakCount="1">
    <brk id="5" max="1048575" man="1"/>
  </colBreaks>
  <drawing r:id="rId3"/>
  <extLst>
    <ext xmlns:x14="http://schemas.microsoft.com/office/spreadsheetml/2009/9/main" uri="{A8765BA9-456A-4dab-B4F3-ACF838C121DE}">
      <x14:slicerList>
        <x14:slicer r:id="rId4"/>
      </x14:slicerList>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7" tint="0.79998168889431442"/>
  </sheetPr>
  <dimension ref="B1:J11"/>
  <sheetViews>
    <sheetView showGridLines="0" zoomScaleNormal="100" workbookViewId="0"/>
  </sheetViews>
  <sheetFormatPr defaultColWidth="9.140625" defaultRowHeight="30" customHeight="1" x14ac:dyDescent="0.25"/>
  <cols>
    <col min="1" max="1" width="2.28515625" customWidth="1"/>
    <col min="2" max="2" width="23" customWidth="1"/>
    <col min="3" max="3" width="26.85546875" customWidth="1"/>
    <col min="4" max="4" width="8" bestFit="1" customWidth="1"/>
    <col min="5" max="5" width="6" bestFit="1" customWidth="1"/>
    <col min="6" max="6" width="13.28515625" bestFit="1" customWidth="1"/>
    <col min="7" max="7" width="6.5703125" bestFit="1" customWidth="1"/>
    <col min="8" max="9" width="7.42578125" bestFit="1" customWidth="1"/>
    <col min="10" max="10" width="6.5703125" bestFit="1" customWidth="1"/>
    <col min="11" max="13" width="6" bestFit="1" customWidth="1"/>
    <col min="14" max="14" width="6.85546875" bestFit="1" customWidth="1"/>
    <col min="15" max="15" width="13.28515625" bestFit="1" customWidth="1"/>
  </cols>
  <sheetData>
    <row r="1" spans="2:10" ht="38.25" customHeight="1" x14ac:dyDescent="0.4">
      <c r="B1" s="34" t="s">
        <v>35</v>
      </c>
      <c r="C1" s="34"/>
      <c r="D1" s="1"/>
      <c r="E1" s="1"/>
      <c r="F1" s="1"/>
    </row>
    <row r="2" spans="2:10" ht="30" customHeight="1" x14ac:dyDescent="0.25">
      <c r="B2" s="18" t="s">
        <v>36</v>
      </c>
      <c r="C2" s="18"/>
      <c r="D2" s="18"/>
      <c r="E2" s="18"/>
      <c r="F2" s="18"/>
      <c r="G2" s="18"/>
      <c r="H2" s="18"/>
      <c r="I2" s="18"/>
      <c r="J2" s="18"/>
    </row>
    <row r="3" spans="2:10" ht="30" customHeight="1" x14ac:dyDescent="0.25">
      <c r="B3" s="26" t="s">
        <v>37</v>
      </c>
      <c r="C3" s="19" t="s">
        <v>45</v>
      </c>
      <c r="D3" s="27"/>
      <c r="E3" s="27"/>
      <c r="F3" s="27"/>
    </row>
    <row r="4" spans="2:10" ht="30" customHeight="1" x14ac:dyDescent="0.25">
      <c r="B4" s="19" t="s">
        <v>46</v>
      </c>
      <c r="C4" t="s">
        <v>5</v>
      </c>
      <c r="D4" t="s">
        <v>6</v>
      </c>
      <c r="E4" t="s">
        <v>7</v>
      </c>
      <c r="F4" s="5" t="s">
        <v>38</v>
      </c>
    </row>
    <row r="5" spans="2:10" ht="30" customHeight="1" x14ac:dyDescent="0.25">
      <c r="B5" s="12" t="s">
        <v>39</v>
      </c>
      <c r="C5" s="21">
        <v>45</v>
      </c>
      <c r="D5" s="21">
        <v>230</v>
      </c>
      <c r="E5" s="21"/>
      <c r="F5" s="21">
        <v>275</v>
      </c>
    </row>
    <row r="6" spans="2:10" ht="30" customHeight="1" x14ac:dyDescent="0.25">
      <c r="B6" s="12" t="s">
        <v>40</v>
      </c>
      <c r="C6" s="21">
        <v>123</v>
      </c>
      <c r="D6" s="21">
        <v>100</v>
      </c>
      <c r="E6" s="21"/>
      <c r="F6" s="21">
        <v>223</v>
      </c>
    </row>
    <row r="7" spans="2:10" ht="30" customHeight="1" x14ac:dyDescent="0.25">
      <c r="B7" s="12" t="s">
        <v>41</v>
      </c>
      <c r="C7" s="21">
        <v>230</v>
      </c>
      <c r="D7" s="21"/>
      <c r="E7" s="21"/>
      <c r="F7" s="21">
        <v>230</v>
      </c>
    </row>
    <row r="8" spans="2:10" ht="30" customHeight="1" x14ac:dyDescent="0.25">
      <c r="B8" s="12" t="s">
        <v>42</v>
      </c>
      <c r="C8" s="21">
        <v>30</v>
      </c>
      <c r="D8" s="21">
        <v>70</v>
      </c>
      <c r="E8" s="21"/>
      <c r="F8" s="21">
        <v>100</v>
      </c>
    </row>
    <row r="9" spans="2:10" ht="30" customHeight="1" x14ac:dyDescent="0.25">
      <c r="B9" s="12" t="s">
        <v>43</v>
      </c>
      <c r="C9" s="21"/>
      <c r="D9" s="21">
        <v>50</v>
      </c>
      <c r="E9" s="21">
        <v>30</v>
      </c>
      <c r="F9" s="21">
        <v>80</v>
      </c>
    </row>
    <row r="10" spans="2:10" ht="30" customHeight="1" x14ac:dyDescent="0.25">
      <c r="B10" s="12" t="s">
        <v>44</v>
      </c>
      <c r="C10" s="21">
        <v>68</v>
      </c>
      <c r="D10" s="21"/>
      <c r="E10" s="21"/>
      <c r="F10" s="21">
        <v>68</v>
      </c>
    </row>
    <row r="11" spans="2:10" ht="30" customHeight="1" x14ac:dyDescent="0.25">
      <c r="B11" s="12" t="s">
        <v>38</v>
      </c>
      <c r="C11" s="21">
        <v>496</v>
      </c>
      <c r="D11" s="21">
        <v>450</v>
      </c>
      <c r="E11" s="21">
        <v>30</v>
      </c>
      <c r="F11" s="21">
        <v>976</v>
      </c>
    </row>
  </sheetData>
  <mergeCells count="1">
    <mergeCell ref="B1:C1"/>
  </mergeCells>
  <dataValidations count="2">
    <dataValidation allowBlank="1" showInputMessage="1" showErrorMessage="1" prompt="Crear datos de gráfico dinámico en esta hoja de cálculo. La tabla dinámica que empieza en la celda B3 se actualiza automáticamente de la tabla de efectivo gastado" sqref="A1" xr:uid="{00000000-0002-0000-0300-000000000000}"/>
    <dataValidation allowBlank="1" showInputMessage="1" showErrorMessage="1" prompt="El título de esta hoja de cálculo está en esta celda y la información en la celda inferior." sqref="B1:C1" xr:uid="{00000000-0002-0000-0300-000001000000}"/>
  </dataValidations>
  <printOptions horizontalCentered="1"/>
  <pageMargins left="0.7" right="0.7" top="0.75" bottom="0.75" header="0.3" footer="0.3"/>
  <pageSetup paperSize="9" orientation="portrait" r:id="rId2"/>
  <headerFooter differentFirst="1"/>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mso-contentType ?>
<FormTemplates xmlns="http://schemas.microsoft.com/sharepoint/v3/contenttype/forms">
  <Display>DocumentLibraryForm</Display>
  <Edit>DocumentLibraryForm</Edit>
  <New>DocumentLibraryForm</New>
</FormTemplates>
</file>

<file path=customXml/item1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3.xml><?xml version="1.0" encoding="utf-8"?>
<ds:datastoreItem xmlns:ds="http://schemas.openxmlformats.org/officeDocument/2006/customXml" ds:itemID="{2D870041-2229-4D07-904B-DF14F1D72C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2.xml><?xml version="1.0" encoding="utf-8"?>
<ds:datastoreItem xmlns:ds="http://schemas.openxmlformats.org/officeDocument/2006/customXml" ds:itemID="{FF9D7E52-D399-4139-AB3A-0A84B6C60791}">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1.xml><?xml version="1.0" encoding="utf-8"?>
<ds:datastoreItem xmlns:ds="http://schemas.openxmlformats.org/officeDocument/2006/customXml" ds:itemID="{2B01AB24-FCE7-49B9-B36C-CE18326B5EAE}">
  <ds:schemaRefs>
    <ds:schemaRef ds:uri="http://schemas.microsoft.com/sharepoint/v3/contenttype/forms"/>
  </ds:schemaRefs>
</ds:datastoreItem>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Application>Microsoft Excel</ap:Application>
  <ap:Template>TM00000038</ap:Template>
  <ap:DocSecurity>0</ap:DocSecurity>
  <ap:ScaleCrop>false</ap:ScaleCrop>
  <ap:HeadingPairs>
    <vt:vector baseType="variant" size="4">
      <vt:variant>
        <vt:lpstr>Worksheets</vt:lpstr>
      </vt:variant>
      <vt:variant>
        <vt:i4>4</vt:i4>
      </vt:variant>
      <vt:variant>
        <vt:lpstr>Named Ranges</vt:lpstr>
      </vt:variant>
      <vt:variant>
        <vt:i4>2</vt:i4>
      </vt:variant>
    </vt:vector>
  </ap:HeadingPairs>
  <ap:TitlesOfParts>
    <vt:vector baseType="lpstr" size="6">
      <vt:lpstr>Resumen de dinero</vt:lpstr>
      <vt:lpstr>Dinero gastado</vt:lpstr>
      <vt:lpstr>Resumen mensual</vt:lpstr>
      <vt:lpstr>Datos del gráfico</vt:lpstr>
      <vt:lpstr>PercentageAvailable</vt:lpstr>
      <vt:lpstr>'Resumen mensual'!Print_Titles</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2022-11-06T06:25:47Z</dcterms:created>
  <dcterms:modified xsi:type="dcterms:W3CDTF">2022-12-19T08:03:40Z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