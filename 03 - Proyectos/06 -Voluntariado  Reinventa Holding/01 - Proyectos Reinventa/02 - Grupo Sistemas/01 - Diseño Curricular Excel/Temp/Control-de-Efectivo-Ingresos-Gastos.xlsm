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CONTROL DE EFECTIVO/"/>
    </mc:Choice>
  </mc:AlternateContent>
  <xr:revisionPtr revIDLastSave="120" documentId="13_ncr:1_{447E5C63-6E4B-49A1-A495-D8638478AE08}" xr6:coauthVersionLast="43" xr6:coauthVersionMax="46" xr10:uidLastSave="{85460740-81F2-4C69-9039-C6F34CCF5AC1}"/>
  <bookViews>
    <workbookView xWindow="22932" yWindow="-108" windowWidth="23256" windowHeight="12456" tabRatio="761" activeTab="6" xr2:uid="{00000000-000D-0000-FFFF-FFFF00000000}"/>
  </bookViews>
  <sheets>
    <sheet name="Ctas Ingresos" sheetId="28" r:id="rId1"/>
    <sheet name="Ctas Gastos" sheetId="15" r:id="rId2"/>
    <sheet name="Base" sheetId="13" r:id="rId3"/>
    <sheet name="ReporteIngresos" sheetId="21" r:id="rId4"/>
    <sheet name="ReporteGastos" sheetId="31" r:id="rId5"/>
    <sheet name="Detalle-Gastos" sheetId="27" r:id="rId6"/>
    <sheet name="ANALISIS" sheetId="29" r:id="rId7"/>
    <sheet name="ARQUEO" sheetId="19" r:id="rId8"/>
  </sheets>
  <definedNames>
    <definedName name="_xlnm._FilterDatabase" localSheetId="2" hidden="1">Base!$A$8:$H$8</definedName>
    <definedName name="_xlnm._FilterDatabase" localSheetId="1" hidden="1">'Ctas Ingresos'!$B$1:$B$6</definedName>
    <definedName name="_xlnm.Print_Area" localSheetId="6">ANALISIS!$A$1:$N$53</definedName>
    <definedName name="_xlnm.Print_Area" localSheetId="7">ARQUEO!$A$1:$D$20</definedName>
    <definedName name="_xlnm.Print_Area" localSheetId="2">Base!$A$7:$F$8</definedName>
    <definedName name="_xlnm.Print_Area" localSheetId="5">'Detalle-Gastos'!$A$1:$B$12</definedName>
    <definedName name="BaseDatos">OFFSET(Base!$A$8,0,0,COUNTA(Base!$A:$A),COUNTA(Base!$8:$8))</definedName>
    <definedName name="Gastos">'Ctas Gastos'!$B$2:$B$11</definedName>
    <definedName name="Ingresos">'Ctas Ingresos'!$B$2:$B$6</definedName>
    <definedName name="_xlnm.Print_Titles" localSheetId="2">Base!$8:$8</definedName>
    <definedName name="Total_general">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8" i="29" l="1"/>
  <c r="A9" i="29" l="1"/>
  <c r="M15" i="29" s="1"/>
  <c r="L15" i="29" l="1"/>
  <c r="D5" i="19"/>
  <c r="B6" i="29"/>
  <c r="B11" i="29"/>
  <c r="C12" i="29" l="1"/>
  <c r="D12" i="29"/>
  <c r="F12" i="29"/>
  <c r="G12" i="29"/>
  <c r="H12" i="29"/>
  <c r="I12" i="29"/>
  <c r="J12" i="29"/>
  <c r="K12" i="29"/>
  <c r="L12" i="29"/>
  <c r="M12" i="29"/>
  <c r="B12" i="29"/>
  <c r="E11" i="29"/>
  <c r="H11" i="29"/>
  <c r="I11" i="29"/>
  <c r="J11" i="29"/>
  <c r="K11" i="29"/>
  <c r="L11" i="29"/>
  <c r="M11" i="29"/>
  <c r="H13" i="29" l="1"/>
  <c r="I13" i="29"/>
  <c r="K13" i="29"/>
  <c r="J13" i="29"/>
  <c r="L13" i="29"/>
  <c r="B13" i="29"/>
  <c r="B15" i="29" s="1"/>
  <c r="M13" i="29"/>
  <c r="G11" i="29"/>
  <c r="G13" i="29" s="1"/>
  <c r="F11" i="29" l="1"/>
  <c r="F13" i="29" s="1"/>
  <c r="E12" i="29" l="1"/>
  <c r="E13" i="29" l="1"/>
  <c r="D11" i="29"/>
  <c r="D13" i="29" l="1"/>
  <c r="C11" i="29"/>
  <c r="C13" i="29" l="1"/>
  <c r="C15" i="29" s="1"/>
  <c r="D15" i="29" s="1"/>
  <c r="E15" i="29" s="1"/>
  <c r="F15" i="29" s="1"/>
  <c r="G15" i="29" s="1"/>
  <c r="H15" i="29" s="1"/>
  <c r="I15" i="29" s="1"/>
  <c r="J15" i="29" s="1"/>
  <c r="K15" i="29" s="1"/>
  <c r="D14" i="19" l="1"/>
  <c r="D15" i="19" l="1"/>
  <c r="D13" i="19"/>
  <c r="D12" i="19"/>
  <c r="D11" i="19"/>
  <c r="D10" i="19"/>
  <c r="D9" i="19"/>
  <c r="D8" i="19"/>
  <c r="D7" i="19"/>
  <c r="D6" i="19"/>
  <c r="D16" i="19" l="1"/>
  <c r="D18" i="19"/>
  <c r="D20" i="19" l="1"/>
  <c r="B20" i="19" s="1"/>
</calcChain>
</file>

<file path=xl/sharedStrings.xml><?xml version="1.0" encoding="utf-8"?>
<sst xmlns="http://schemas.openxmlformats.org/spreadsheetml/2006/main" count="1003" uniqueCount="949">
  <si>
    <t>Fecha</t>
  </si>
  <si>
    <t>Concepto</t>
  </si>
  <si>
    <t>Entrada</t>
  </si>
  <si>
    <t>Salida</t>
  </si>
  <si>
    <t>Tipo de Ingreso/Gasto</t>
  </si>
  <si>
    <t>INGRESOS</t>
  </si>
  <si>
    <t>GASTOS</t>
  </si>
  <si>
    <t>Viaticos</t>
  </si>
  <si>
    <t>Gastos de Combustible</t>
  </si>
  <si>
    <t>Gastos de Energía Eléctrica.</t>
  </si>
  <si>
    <t>Tipo Op</t>
  </si>
  <si>
    <t/>
  </si>
  <si>
    <t>Cantidad</t>
  </si>
  <si>
    <t>Total</t>
  </si>
  <si>
    <t>Denominación</t>
  </si>
  <si>
    <t>Billetes de:</t>
  </si>
  <si>
    <t>Monedas de:</t>
  </si>
  <si>
    <t>ARQUEO DE EFECTIVO EN CAJA</t>
  </si>
  <si>
    <t>TOTAL EFECTIVO EN CAJA</t>
  </si>
  <si>
    <t xml:space="preserve">TOTAL SEGÚN REPORTE </t>
  </si>
  <si>
    <t>Suma de Salida</t>
  </si>
  <si>
    <t>Total INGRESOS</t>
  </si>
  <si>
    <t>Total GASTOS</t>
  </si>
  <si>
    <t>INGRESO</t>
  </si>
  <si>
    <t>Total general</t>
  </si>
  <si>
    <t>SALDO DISPONIBLE</t>
  </si>
  <si>
    <t xml:space="preserve">SALIDAS </t>
  </si>
  <si>
    <t>DESCRIPCIÓN DE GASTOS REALIZADOS DURANTE EL MES</t>
  </si>
  <si>
    <t>Insumos de Limpieza</t>
  </si>
  <si>
    <t>MES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</si>
  <si>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</si>
  <si>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</si>
  <si>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</si>
  <si>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</si>
  <si>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</si>
  <si>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</si>
  <si>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</si>
  <si>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</si>
  <si>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</si>
  <si>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</si>
  <si>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</si>
  <si>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</si>
  <si>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</si>
  <si>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Transacción</t>
  </si>
  <si>
    <t>INGRESO- GASTOS</t>
  </si>
  <si>
    <t>SALDO ANTERIOR</t>
  </si>
  <si>
    <t>AÑO:</t>
  </si>
  <si>
    <t xml:space="preserve">AÑO: </t>
  </si>
  <si>
    <t>REPORTE DE INGRESOS MENSUALES</t>
  </si>
  <si>
    <t>REPORTE DE GASTOS MENSUALES</t>
  </si>
  <si>
    <t>Fecha:</t>
  </si>
  <si>
    <t>Venta de Productos</t>
  </si>
  <si>
    <t>Venta de Servicios</t>
  </si>
  <si>
    <t>CONCEPTO DE INGRESOS</t>
  </si>
  <si>
    <t>CONCEPTO DE GASTOS</t>
  </si>
  <si>
    <t>EMPRESA XYZ, S.A DE C.V</t>
  </si>
  <si>
    <t>Clasificación</t>
  </si>
  <si>
    <t xml:space="preserve">ANALISIS DE INGRESOS Y GASTOS </t>
  </si>
  <si>
    <t>Fondos en Bancos:</t>
  </si>
  <si>
    <t>REPORTE DE GASTOS DETALLADO POR MES</t>
  </si>
  <si>
    <t>Otros Ingresos</t>
  </si>
  <si>
    <t>Mejoras y Mantenimientos de Local</t>
  </si>
  <si>
    <t>Compras</t>
  </si>
  <si>
    <t>Otros Gastos</t>
  </si>
  <si>
    <t>Sustituya las items de ingreso por las que usted necesita utilizar o agregue más items de ingreso</t>
  </si>
  <si>
    <t>Sustituya las items de gasto por las que usted necesita utilizar o agregue más items de gastos</t>
  </si>
  <si>
    <t xml:space="preserve"> Entrada </t>
  </si>
  <si>
    <t xml:space="preserve">Entrada </t>
  </si>
  <si>
    <t>nota: estos datos se borrarán y se actualizarán automaticamente al ingresar su información</t>
  </si>
  <si>
    <t xml:space="preserve"> Saldo</t>
  </si>
  <si>
    <t xml:space="preserve">Control de Efectivo 
</t>
  </si>
  <si>
    <t>abr</t>
  </si>
  <si>
    <t>may</t>
  </si>
  <si>
    <t>nota: estos datos se borrarán y se actualizarán automaticamente al ingresar su información en la hoja "Base". Para cambiar el formato de moneda haga clic derecho &gt; formato de número &gt; moneda</t>
  </si>
  <si>
    <t xml:space="preserve">Para cambiar el formato de moneda has clic derecho &gt; formato de celda &gt; moneda
</t>
  </si>
  <si>
    <t>(Todas)</t>
  </si>
  <si>
    <t>Ingreso Tarjeta de Credito</t>
  </si>
  <si>
    <t xml:space="preserve">ingreso total  </t>
  </si>
  <si>
    <t>Gastos en Compras</t>
  </si>
  <si>
    <t>Gastos Egreso a Capital (Reinversion)</t>
  </si>
  <si>
    <t>Gastos de Sueldos</t>
  </si>
  <si>
    <t>Bono 14</t>
  </si>
  <si>
    <t>Aguinaldo</t>
  </si>
  <si>
    <t>Mobiliario y Equipo</t>
  </si>
  <si>
    <t xml:space="preserve">Uniformes Empleados </t>
  </si>
  <si>
    <t>I.V.A.</t>
  </si>
  <si>
    <t>I.S.R.</t>
  </si>
  <si>
    <t>sueldo de empleados</t>
  </si>
  <si>
    <t>horas extras</t>
  </si>
  <si>
    <t>compras de productos tampico segun serie#82320E20, 03/01/22</t>
  </si>
  <si>
    <t>compra de mercaderia Bimbo  segun factua#812273588, 03/01/22</t>
  </si>
  <si>
    <t>se compraron mercaderia de FUD segun factura#4870004528, 04/01/22</t>
  </si>
  <si>
    <t>se compro mercaderia  de Lala SEGUN FACTURA#001550, 09/01/22</t>
  </si>
  <si>
    <t>se compro mercaderia de BIMBO segun factura #119891937, 10/01/22</t>
  </si>
  <si>
    <t>se compro mercaderia de FUD segun factura #4870004644, 11/01/22</t>
  </si>
  <si>
    <t>se compraron mercaderia de FUD segun factrura #4870004645, 11/01/22</t>
  </si>
  <si>
    <t>se compraron mercaderia BIMBO segun factura #49235990, 11/01/22</t>
  </si>
  <si>
    <t>se compraron mercaderia tampico  segun factura #2f21e7e9, 10/01/22</t>
  </si>
  <si>
    <t>se compro mercaderia de Comabsa segun factura #3129098278, 13/01/22</t>
  </si>
  <si>
    <t>se compro pmercaderia de senorsa segun factura #3104000806, 13/01/22</t>
  </si>
  <si>
    <t>se compro mercaderia a Senorsa segun Factura #576670400, 13/01/22</t>
  </si>
  <si>
    <t>gastos por etraccion de basura segun boleta de comprobante, 14/01/22</t>
  </si>
  <si>
    <t>se compro mercaderia tampico segun comprovante "no hay factura", 14/01/22</t>
  </si>
  <si>
    <t>se compro mercaderia LALA segun factura #001499, 15/01/22</t>
  </si>
  <si>
    <t>Pago del personal de trabajo , 31/01/22</t>
  </si>
  <si>
    <t>total de gastos por horas extras , 31/01/22</t>
  </si>
  <si>
    <t>total de gastos varios , 31/01/22</t>
  </si>
  <si>
    <t>se compro mercaderia de tampico segun factura #1537101310, 17/01/22</t>
  </si>
  <si>
    <t>se compro mercaderia BIMBO segun factura #195120752, 17/01/22</t>
  </si>
  <si>
    <t>se compro mercaderia de Huevos (no hay factura), 17/01/22</t>
  </si>
  <si>
    <t>se compro mercaderia de BIMBO factura#2319862598, 18/01/22</t>
  </si>
  <si>
    <t>se compro mercaderia a FUD segun factura , 18/01/22</t>
  </si>
  <si>
    <t>se compro mercaderia Inprolacsa segun factura #3628222660, 20/01/22</t>
  </si>
  <si>
    <t>se compro mercaderia de tampico segun factura #3942991390, 24/01/22</t>
  </si>
  <si>
    <t>se compro mercaderia BIMBO segun factura #2543406172, 25/01/22</t>
  </si>
  <si>
    <t>se compro mercaderia de bimbo segun factura #2689548518, 25/01/22</t>
  </si>
  <si>
    <t>se compro mercaderia Comabsa segun factura #3059754, 25/01/22</t>
  </si>
  <si>
    <t>Compra de Huevos "sin factura", 27/01/22</t>
  </si>
  <si>
    <t>se compro mercaderia FUD segun factura #4870004939, 29/01/22</t>
  </si>
  <si>
    <t>se compro mercaderia FUD segun facutra #4870004940, 29/01/22</t>
  </si>
  <si>
    <t>se compro mercaderia a LALA segun factura #001571, 29/01/22</t>
  </si>
  <si>
    <t>se compro mercaderia de Huevos "sin factura", 29/01/22</t>
  </si>
  <si>
    <t>se compro mercaderia a BIMBO segun factura #1456228381, 31/01/22</t>
  </si>
  <si>
    <t>total de ingreso del mes de enero , 31/01/22</t>
  </si>
  <si>
    <t>se compro mercaderia de bebidas  segun factura #3758378003, 05/01/22</t>
  </si>
  <si>
    <t>se compro mercadera a Grupo Bodegas segun factura #3445113670, 05/01/22</t>
  </si>
  <si>
    <t>se compro mercaderia de Pepsi " no tiene factura", 05/01/22</t>
  </si>
  <si>
    <t>se compro mercaderia malher segun factura #2343128376, 05/01/22</t>
  </si>
  <si>
    <t>se compro mercaderia a Distribuidora Pami segun factura#25471, 04/01/22</t>
  </si>
  <si>
    <t>se compro mercaderia de Bocadeli #2534100463, 05/01/22</t>
  </si>
  <si>
    <t>se compro mercaderia a Maxa segun factura#224022442, 06/01/22</t>
  </si>
  <si>
    <t>se compro mercaderia a Bodega farmaceutica segun factura #1585726572, 06/01/22</t>
  </si>
  <si>
    <t>se compro mercaderia segun factura #1504399029, 07/01/22</t>
  </si>
  <si>
    <t>compra de mercaderia Inasa segun factura #3906945696, 05/01/22</t>
  </si>
  <si>
    <t>se compro mercaderia la popular #2284537235, 07/01/22</t>
  </si>
  <si>
    <t>se compro mercaderia a Distribuidora Sagitario segun factura#1825128878, 08/01/22</t>
  </si>
  <si>
    <t>se compro mercaderia Me Llega segun factura #753812667, 07/01/22</t>
  </si>
  <si>
    <t>se compro mercaderia Codisa segun factura #2320124567, 08/01/22</t>
  </si>
  <si>
    <t>se compro mercaderia de bebidas segun factura #872435132, 12/01/22</t>
  </si>
  <si>
    <t>se compro mercaderia de Gama segun factura #975652468, 10/01/22</t>
  </si>
  <si>
    <t>se compro mercaderia de Malher segun factura#1975796983, 12/01/22</t>
  </si>
  <si>
    <t>se compro mercaderia de licores segun factura#4015737655, 13/01/22</t>
  </si>
  <si>
    <t>se compro mercaderia bocadeli segun factura#1616462018, 12/01/22</t>
  </si>
  <si>
    <t>se compro mercaderia a Distribuidora el Campesino segun factura#2126925448, 12/01/22</t>
  </si>
  <si>
    <t>se compro mercaderia de Ideal segun factura#616187494, 12/01/22</t>
  </si>
  <si>
    <t>se compro mercaderia a Distribuidora Sagitario segun factura#205736326, 15/01/22</t>
  </si>
  <si>
    <t>se comrpo mercaderia a Grupo Palmas segun factura #645942131, 15/01/22</t>
  </si>
  <si>
    <t>se compro mercaderia  de shampoo y aceite babychic "factura Comercial", 17/01/22</t>
  </si>
  <si>
    <t>se compro mercaderia a Grupo Bodegas segun factura #3023522203, 19/01/22</t>
  </si>
  <si>
    <t>se compro mercaderia Malher segun factura #1225477096, 19/01/22</t>
  </si>
  <si>
    <t>se compro mercaderia   a distribuidora los volcanes segun factura#3045802173, 19/01/22</t>
  </si>
  <si>
    <t>se compro mercaderia a distribuidora Yani segun factura #27094, 18/01/22</t>
  </si>
  <si>
    <t>se compro mercaderia a Nutrica segun recibo #029157, 17/01/22</t>
  </si>
  <si>
    <t>se compro mercaderia de licores segun factura #437865578, 20/01/22</t>
  </si>
  <si>
    <t>se compro mercaderia Gama segun factura #2050247011, 19/01/22</t>
  </si>
  <si>
    <t>se compro mercaderia bocadeli segun factura#1434996520, 19/01/22</t>
  </si>
  <si>
    <t>se compro mercaderia Maxa segun factura #1223249779, 20/01/22</t>
  </si>
  <si>
    <t>se compro mercaderia cafe quetzal segun factura#2733853239, 20/01/22</t>
  </si>
  <si>
    <t>se compro  mercaderia Dinant "no hay factura", 20/01/22</t>
  </si>
  <si>
    <t>compra de 2 canales de teflon segun factura 01, 21/01/22</t>
  </si>
  <si>
    <t>se compro mercaderia Ideal segun factura #169558333, 19/01/22</t>
  </si>
  <si>
    <t>se compro mercaderia Inasa segun factura #575423670, 19/01/22</t>
  </si>
  <si>
    <t>se compro mercaderia Ninoshka  segun factura#322388620, 14/01/22</t>
  </si>
  <si>
    <t>se compro mercaderia a distribuidora sagitario segun factura #307242245, 21/01/22</t>
  </si>
  <si>
    <t>se compro mercaderia a distribuidora sagitario segun factura#1517047765, 22/01/22</t>
  </si>
  <si>
    <t>se compro mercaderia Me Llega segun factura#768689459, 21/01/22</t>
  </si>
  <si>
    <t>se compro mercaderia Codisa segun factura#2071217780, 22/01/22</t>
  </si>
  <si>
    <t>se compro mercaderia a fabrica de productos y alimenticios Rene segun factura#612321055, 26/01/22</t>
  </si>
  <si>
    <t>se compro mercaderia a Distribuidora Marte segun facrtura #904675485, 24/01/22</t>
  </si>
  <si>
    <t>se compro mercaderia a Distribuidora la bendicion de Dios segun factura#002711, 24/01/22</t>
  </si>
  <si>
    <t>se compro mercaderia a Embotelladora las mariposas segun factura#1360283792, 26/01/22</t>
  </si>
  <si>
    <t>se compro mercaderia a distribuidora Yami segun factura #27757, 25/01/22</t>
  </si>
  <si>
    <t>se compro mercaderiaa Industria la Popular segun factura #3310110129, 22/01/22</t>
  </si>
  <si>
    <t>se compro mercaderia a Malher S.A " no hay factura", 22/01/22</t>
  </si>
  <si>
    <t>se compro mercaderia a Maxa segun factura#3896525346, 26/01/22</t>
  </si>
  <si>
    <t>se compro mercaderia a Malher "no hay Factura", 27/01/22</t>
  </si>
  <si>
    <t>se compro mercaderia a Gama segun factura#2977972857, 26/01/22</t>
  </si>
  <si>
    <t>se compro mercaderia de licores segun factura#1050100869, 27/01/22</t>
  </si>
  <si>
    <t>se compro mercaderiaa productora los volcanes segun factura#133841935, 26/01/22</t>
  </si>
  <si>
    <t>se compro mercaderia a distribuidora el Campesino #3472836947, 26/01/22</t>
  </si>
  <si>
    <t>se compro mercaderia a Dinant  "no hay factura", 27/01/22</t>
  </si>
  <si>
    <t>se compro mercaderia a Acsa segun factura #3093, 28/01/22</t>
  </si>
  <si>
    <t>se compro mercaderia segun factura comercial , 28/01/22</t>
  </si>
  <si>
    <t>se compro mercaderia Ideal segun factura #1627406746, 26/01/22</t>
  </si>
  <si>
    <t>se compro  mercaderia a Bodega Farmaceutica segun factura#3871950490, 27/01/22</t>
  </si>
  <si>
    <t>se compro mercaderia a Comercial Electromark segun factura #005212, 28/01/22</t>
  </si>
  <si>
    <t>se compro mercaderia a Bofansa "sin factura", 29/01/22</t>
  </si>
  <si>
    <t>se compro mercaderia a distribuidora Sagitario S.A segun factura#2888584009, 29/01/22</t>
  </si>
  <si>
    <t>se compro mercaderia a Compañia de embotelladora la mariposa segun factura #2659665379, 29/01/22</t>
  </si>
  <si>
    <t>se compro mercaderia a Grupo la Palma segun factura#1643476024, 27/01/22</t>
  </si>
  <si>
    <t>pago mensual de energia electrica, 17/01/22</t>
  </si>
  <si>
    <t>se compro mercaderia laky men segun factura#1463897429, 05/01/22</t>
  </si>
  <si>
    <t>servicio total de fletes en el mes de enero , 31/01/22</t>
  </si>
  <si>
    <t>se compro mercaderia Senorsa segun factura#382750136, 10/02/22</t>
  </si>
  <si>
    <t>se compro mercaderia a Senorsa segun factura#3327739155, 10/02/22</t>
  </si>
  <si>
    <t>se compro mercaderia Comabsa segun factura#3736423157, 08/02/22</t>
  </si>
  <si>
    <t>se compro mercaderia FUD segun factura#4870005136, 08/02/22</t>
  </si>
  <si>
    <t>se compro mercaderia tampico  segun factura#3027717737, 08/02/22</t>
  </si>
  <si>
    <t>se compro mercaderia bimbo segun factura #3608496900, 08/02/22</t>
  </si>
  <si>
    <t>se compro 3 cajas de huevo "no hay factura", 07/02/22</t>
  </si>
  <si>
    <t>se compro mercaderia Bimbo segun factura #2756919969, 07/02/22</t>
  </si>
  <si>
    <t>se compro mercaderia a distribuidora Lafer segun factura#001579, 07/02/22</t>
  </si>
  <si>
    <t>se compro mercaderia de BIMBO segun factura #395921764, 01/02/22</t>
  </si>
  <si>
    <t xml:space="preserve"> se compro mercaderia  "no hay factura", 01/02/22</t>
  </si>
  <si>
    <t>se compro 1 caja de huevo , 11/02/22</t>
  </si>
  <si>
    <t>se compro mercaderia de leche lala segun factura#001645, 12/02/22</t>
  </si>
  <si>
    <t>se compro mercaderia bimbo segun factura#117125627, 14/02/22</t>
  </si>
  <si>
    <t>se compro mercaderia de especies "no hay factura", 14/02/22</t>
  </si>
  <si>
    <t>se compro mercaderia improlaxa segun factura#2175550011, 14/02/22</t>
  </si>
  <si>
    <t>se compro mercaderia bimbo segun factura#1510098796, 15/02/22</t>
  </si>
  <si>
    <t>se compro mercaderia chimex segun factura #4870005268, 15/02/22</t>
  </si>
  <si>
    <t>se compro mercaderia tampico segun factura #2687977462, 17/02/22</t>
  </si>
  <si>
    <t>se compro 3 cajas de huevos "no hay factura", 18/02/22</t>
  </si>
  <si>
    <t>se compro mercaderia lala segun factura#001594, 19/02/22</t>
  </si>
  <si>
    <t>se compro mercaderia bimboo segun factura #117311931, 21/02/22</t>
  </si>
  <si>
    <t>se compro mercaderia bimbo segun factura#3496296830, 22/02/22</t>
  </si>
  <si>
    <t>se compro mercaderia chimex segun factura #4870005393, 22/02/22</t>
  </si>
  <si>
    <t>se compro mercaderia comapsa segun factura #4157098735, 22/02/22</t>
  </si>
  <si>
    <t>se compro mercaderia senorsa "no hay factura " se arruino la maquina, 24/02/22</t>
  </si>
  <si>
    <t>se compro mercaderia a industrias zam segun factura #09754, 24/02/22</t>
  </si>
  <si>
    <t>se compro 3 cajas de huevos "no hay factura", 25/02/22</t>
  </si>
  <si>
    <t>se compro mercaderia lala segun factura #001523, 26/02/22</t>
  </si>
  <si>
    <t>se compro mercaderia tampico segun factura#1473006211, 28/02/22</t>
  </si>
  <si>
    <t>se compro mercaderia de especies "no hay factura", 28/02/22</t>
  </si>
  <si>
    <t>se compro mercaderia bimbo segun factura #513624451, 28/02/22</t>
  </si>
  <si>
    <t>gasto total de sueldos de empleados , 28/02/22</t>
  </si>
  <si>
    <t>gasto total de horas extras de trabajadores, 28/02/22</t>
  </si>
  <si>
    <t>gasto total de mantenimiento y mejoras durante el mes , 28/02/22</t>
  </si>
  <si>
    <t>ingreso total durante el mes , 28/02/22</t>
  </si>
  <si>
    <t>se compraron 2 cuadernos , 07/02/22</t>
  </si>
  <si>
    <t>se gastaros en fletes de viaje a san miguel , 07/02/22</t>
  </si>
  <si>
    <t>se compro mercaderia Ninoshka segun factura #1113476341, 25/02/22</t>
  </si>
  <si>
    <t>pago  mensual de energia electrica, 28/02/22</t>
  </si>
  <si>
    <t>se compro mercaderia pepsi  "no hay factura", 26/02/22</t>
  </si>
  <si>
    <t>se compro mercaderia  a distribuidora sagitario segun factura #770852456, 26/02/22</t>
  </si>
  <si>
    <t>se compro mercaderia Ideal  segun factura #954418556, 23/02/22</t>
  </si>
  <si>
    <t>se compro mercaderia a bodega farmaceutica segun factura #3520613915, 24/02/22</t>
  </si>
  <si>
    <t xml:space="preserve"> se compro mercaderia  de plastico "factura comercial", 25/02/22</t>
  </si>
  <si>
    <t>se compro mercaderia  Acsa segun factura #1217546605, 25/02/22</t>
  </si>
  <si>
    <t>se compro mercaderia  a distribuidora el campesino segun factura #249644352, 23/02/22</t>
  </si>
  <si>
    <t>se compro mercaderia Gama segun factura #2510310264, 23/02/22</t>
  </si>
  <si>
    <t>se compro mercaderia a distribuidora Rene segun factura #603117340, 24/02/22</t>
  </si>
  <si>
    <t>se compro mercaderia a distribuidora de licores segun factura #2839036955, 24/02/22</t>
  </si>
  <si>
    <t>se compro mercaderia Malher segun factura #2483437867, 23/02/22</t>
  </si>
  <si>
    <t>se compro mercaderia pepsi  "no hay factura", 23/02/22</t>
  </si>
  <si>
    <t>se compro mercaderia de golosinas segun factura #0016004911, 23/02/22</t>
  </si>
  <si>
    <t>se compro  70 libras de arros blanco "no hay factura ", 23/02/22</t>
  </si>
  <si>
    <t>se compro mercaderia a distribuidora los volcanes segun factura #615271076, 23/02/22</t>
  </si>
  <si>
    <t>se compro mercaderia Maxa  "no hay factura ", 22/02/22</t>
  </si>
  <si>
    <t>se compro mercaderia a distribuidora me llega "no hay factura ", 22/02/22</t>
  </si>
  <si>
    <t>se compro mercaderia a distribuidora Me Llega segun factura "1627013864, 19/02/22</t>
  </si>
  <si>
    <t>se compro mercaderia Codisa segun factura #3480371473, 19/02/22</t>
  </si>
  <si>
    <t>se compro mercaderia a distribuidora Sagitario segun factura #473581689, 19/02/22</t>
  </si>
  <si>
    <t>se compro mercaderia pepsi  "no hay factura ", 19/02/22</t>
  </si>
  <si>
    <t>se compro mercaderia a Grupo Palma segun factura #1645122592, 17/02/22</t>
  </si>
  <si>
    <t>se compro mercaderia a industria la popular segun factura #4027862851, 18/02/22</t>
  </si>
  <si>
    <t>se compro mercaderia  de golosina segun factura #4515338, 18/02/22</t>
  </si>
  <si>
    <t>se compro mercaderia Inasa segun factura #1501580584, 16/02/22</t>
  </si>
  <si>
    <t>se compro 75 libras de frijol "no hay factura ", 18/02/22</t>
  </si>
  <si>
    <t>se compro mercaderia Coca cola "no hay factura ", 18/02/22</t>
  </si>
  <si>
    <t>se compro mercaderia a Bodega Farmaceutica segun factura#2640725631, 17/02/22</t>
  </si>
  <si>
    <t>se compro mercaderia Ideal segun factura #1546275746, 17/02/22</t>
  </si>
  <si>
    <t>se compro mercaderia Gama segun factura #3029283687, 16/02/22</t>
  </si>
  <si>
    <t>se compro mercaderia Bocadeli segun factura #2199275208, 16/02/22</t>
  </si>
  <si>
    <t>se compro mercaderia a distribuidora los volcanes  segun factura #1860650537, 16/02/22</t>
  </si>
  <si>
    <t>se compro mercaderia Malher segun factura #2590329606, 16/02/22</t>
  </si>
  <si>
    <t>se compro mercaderia Codicasa  segun factura#22040440, 10/02/22</t>
  </si>
  <si>
    <t>se compro mercaderia a Bodega Farmaceutica segun factura #3644935664, 16/02/22</t>
  </si>
  <si>
    <t>se compro mercaderia Pepsi "no hay factura ", 16/02/22</t>
  </si>
  <si>
    <t>se compro mercaderia Ninoshka segun factura #1486243965, 11/02/22</t>
  </si>
  <si>
    <t>se compro mercaderia a grupo bodega farmaceutica segun factura#2657173742, 10/02/22</t>
  </si>
  <si>
    <t>se compro mercaderia Ideal segun factura #3033115, 09/02/22</t>
  </si>
  <si>
    <t>se compro mercaderia Gama segun factura #2446347301, 09/02/22</t>
  </si>
  <si>
    <t>se compro mercaderia a distribuidora el campesino  segun factura #2554676664, 09/02/22</t>
  </si>
  <si>
    <t>se compro mercaderia Cafe quetzal segun factura #3661120050, 10/02/22</t>
  </si>
  <si>
    <t>se compro mercaderia Malher  segun factura #3659745186, 09/02/22</t>
  </si>
  <si>
    <t>se compro mercaderia a distribuidora Yani segun factura #29391, 08/02/22</t>
  </si>
  <si>
    <t>se compro mercaderia de plasticos "factura Comercial", 08/02/22</t>
  </si>
  <si>
    <t>se compro mercaderia a distribuidora la bendicion  segun factura #292967, 03/02/22</t>
  </si>
  <si>
    <t>se compro mercaderia a distribuidora la popular segun factura #3382068345, 04/02/22</t>
  </si>
  <si>
    <t>se compro mercaderia Codisa segun factura #2489207734, 05/02/22</t>
  </si>
  <si>
    <t>se compro mercaderia a distribuidora  Sagitario Segun factura #713507057, 05/02/22</t>
  </si>
  <si>
    <t>se compro mercaderia  Me Llega segun factura #4288302047, 04/02/22</t>
  </si>
  <si>
    <t>se compro mercaderia a distribuidora Sagitario  segun factura #1773817170, 04/02/22</t>
  </si>
  <si>
    <t>se compro mercaderia Inasa segun factura #458050032, 02/02/22</t>
  </si>
  <si>
    <t>se compro mercaderia Ideal segun factura #1753959426, 02/02/22</t>
  </si>
  <si>
    <t>se compro mercaderia  Bocadeli segun factura #3020572516, 02/02/22</t>
  </si>
  <si>
    <t>se compro merdaderia a Grupo Bodega Farmaceutica  segun factura #93275770, 03/02/22</t>
  </si>
  <si>
    <t>se compro mercaderia a Distribuidora de Licores segun factura #1530939089, 03/02/22</t>
  </si>
  <si>
    <t>se compro mercaderia Gama segun factura #1768375228, 02/02/22</t>
  </si>
  <si>
    <t>se compro mercaderia Malher  segun factura #1918520370, 02/02/22</t>
  </si>
  <si>
    <t>se compro mercaderia a distribuidora Yani segun factura #28601, 01/02/22</t>
  </si>
  <si>
    <t>se compro mercaderia coca cola   "no hay factura", 02/02/22</t>
  </si>
  <si>
    <t>se compro 75 libras de frijol "factura comercial", 02/02/22</t>
  </si>
  <si>
    <t>se compro 6 panes magdalena, "factura comercial ", 02/02/22</t>
  </si>
  <si>
    <t>se compro mercaderia Ninoshka segun factura #3932505579, 28/01/22</t>
  </si>
  <si>
    <t>gastos varios , 28/02/22</t>
  </si>
  <si>
    <t>se compro mercaderia Bimbo, segun factura #3557313481, 01/03/22</t>
  </si>
  <si>
    <t>se compro mercaderia Chimex,  se daño maquina de facturacion , 01/03/22</t>
  </si>
  <si>
    <t>se compro 3 cajas de huevo, no hay factura , 04/03/22</t>
  </si>
  <si>
    <t>se comrpo mercaderia de bimbo, segun factura #1214857924, 07/03/22</t>
  </si>
  <si>
    <t>se compro mercaderia bimbo, segun factura #2377860890, 08/03/22</t>
  </si>
  <si>
    <t>se compro mercaderia chimex, segun factura #4870005670, 08/03/22</t>
  </si>
  <si>
    <t>se compro mercaderia a industrias Zam, segun factura 09807, 09/03/22</t>
  </si>
  <si>
    <t>se compro mercaderia Comabsa, segun factura #1069171134, 08/03/22</t>
  </si>
  <si>
    <t>se compro mercaderia Tropic, segun factura #348473017, 10/03/22</t>
  </si>
  <si>
    <t>se compro mercaderia a distribuidora lafer, segun factura #001339, 12/03/22</t>
  </si>
  <si>
    <t>se compro mercaderia tampico, segun factura #3564651070, 14/03/22</t>
  </si>
  <si>
    <t>se compro mercaderia bimbo, segun factura #2325106348, 14/03/22</t>
  </si>
  <si>
    <t>se compro mercaderia bimbo, segun factura #1468353561, 15/03/22</t>
  </si>
  <si>
    <t>se compro mercaderia Chimex, segun factura #4870005821, 15/03/22</t>
  </si>
  <si>
    <t>se compro mercaderia Lafer, segun factura #001615, 19/03/22</t>
  </si>
  <si>
    <t>se compro mercaderia bimbo, segun factura #2036157586, 21/03/22</t>
  </si>
  <si>
    <t>se compro mercaderia bimbo, segun factura #1916749472, 22/03/22</t>
  </si>
  <si>
    <t>se compro mercaderia chimex, segun factura #4870005964, 22/03/22</t>
  </si>
  <si>
    <t>se compro mercaderia chimex, segun recibo No.8, 22/03/22</t>
  </si>
  <si>
    <t>se compro mercaderia senorsa, segun factura #1054297186, 24/03/22</t>
  </si>
  <si>
    <t>se compro mercaderia Tampico, segun factura #2345028451, 24/03/22</t>
  </si>
  <si>
    <t>se compro mercaderia de especies, segun Recibo No.6, 22/03/22</t>
  </si>
  <si>
    <t>se compro mercaderia bimbo segun factura #115144523, 28/03/22</t>
  </si>
  <si>
    <t>se compro mercaderia bimbo segun factura #3042921632, 29/03/22</t>
  </si>
  <si>
    <t>se compro mercaderia chimex, segun factura #4870006111, 29/03/22</t>
  </si>
  <si>
    <t>se compro mercaderia improlacsa, segun factura #2193768959, 29/03/22</t>
  </si>
  <si>
    <t>se compro mercadeira improlacsa, segun factura #88819719, 29/03/22</t>
  </si>
  <si>
    <t>pago total del personal , 31/03/22</t>
  </si>
  <si>
    <t>total de horas extras, 31/03/22</t>
  </si>
  <si>
    <t>servicio total de mantenimiento , 31/03/22</t>
  </si>
  <si>
    <t>ventas brutas durante el mes , 31/03/22</t>
  </si>
  <si>
    <t>ingreso total de tarjeta de credito , 31/03/22</t>
  </si>
  <si>
    <t>se compro mercaderia  a fabrica de productos alimenticios Rene y CIA, segun factura #612321928, 01/03/22</t>
  </si>
  <si>
    <t>se compro mercaderia a industrias Magaña L., segun factura #0010239, 01/03/22</t>
  </si>
  <si>
    <t>se compro mercaderia a distribuidora los volcanes, segun factura #4189473376, 02/03/22</t>
  </si>
  <si>
    <t>se compro mercaderia pepsi, "no hay factura ", 02/03/22</t>
  </si>
  <si>
    <t>se compro mercaderia Malher, segun factura #4080814198, 02/03/22</t>
  </si>
  <si>
    <t>se compro mercaderia a distribuidora Yani, segun factura #31746, 01/03/22</t>
  </si>
  <si>
    <t>se compro mercaderia a corporacion Gama, segun factura #1268337102, 02/03/22</t>
  </si>
  <si>
    <t>se compro mercaderia a bodega farmaceutica, segun factura #3557903497, 03/03/22</t>
  </si>
  <si>
    <t>se compro mercaderia a Bocadeli, segun factura #2549367314, 02/03/22</t>
  </si>
  <si>
    <t>se compro mercaderia a bodega farmaceutica, segun factura #2137803173, 03/03/22</t>
  </si>
  <si>
    <t>se compro mercaderia Ideal, segun factura #2637186174, 02/03/22</t>
  </si>
  <si>
    <t>se compro mercaderia a distribuidora sagitario, segun factura #1356153838, 04/03/22</t>
  </si>
  <si>
    <t>se compro mercaderia Inasa, segun factura #2063351936, 02/03/22</t>
  </si>
  <si>
    <t>se compro mercaderia Me Llega, segun factura #2720942493, 04/03/22</t>
  </si>
  <si>
    <t>se compro mercaderia a distribuidora Codisa, segun factura #1417563908, 05/03/22</t>
  </si>
  <si>
    <t>se compro mercaderia a industria la popular, segun factura #4287121344, 04/03/22</t>
  </si>
  <si>
    <t>se compro mercaderia Me Llega, "no hay factura ", 07/03/22</t>
  </si>
  <si>
    <t>se compro mercaderia a distribuidora la bendicion, segun factura #303823, 07/03/22</t>
  </si>
  <si>
    <t>se compro mercaderia Pepsi,  "no hay factura ", 09/03/22</t>
  </si>
  <si>
    <t>se compro mercaderia Malher, segun factura #3000717048, 09/03/22</t>
  </si>
  <si>
    <t>se compro mercaderia a distribuidora los volcanes, segun factura #1098337586, 09/03/22</t>
  </si>
  <si>
    <t>se compro mercaderia Maxa, segun factura #20073071, 10/03/22</t>
  </si>
  <si>
    <t>se compro mercaderia a distribuidora el campesino, segun factura #2223981229, 09/03/22</t>
  </si>
  <si>
    <t>se compro mercaderia Gama, segun factura #3871231397, 09/03/22</t>
  </si>
  <si>
    <t>se compro mercaderia Ideal, segun factura #484393081, 09/03/22</t>
  </si>
  <si>
    <t>se compro mercaderia a comercializadora COGUA, segun factura #6529, 10/03/22</t>
  </si>
  <si>
    <t>se compro una cafetera marca black decker, segun recibo, 11/03/22</t>
  </si>
  <si>
    <t>se compro mercaderia a distribuidora las mariposas, segun factura#2173193055, 12/03/22</t>
  </si>
  <si>
    <t>se compro mercaderia a distribuidora sagitario, segun factura #493961347, 12/03/22</t>
  </si>
  <si>
    <t>se compro mercaderia de jabon, no hay factura , 12/03/22</t>
  </si>
  <si>
    <t>se compro arroz blanco 50 libras, "no hay factura ", 12/03/22</t>
  </si>
  <si>
    <t>se compro mercaderia a distribuidora alianza mayorista, segun factura "2928233414, 12/03/22</t>
  </si>
  <si>
    <t>se compro mercaderia a Distribuidora los volcanes, segun factura#190991322, 16/03/22</t>
  </si>
  <si>
    <t>se compro mercaderiaa corporacion instantaneos, segun factura #596657291, 16/03/22</t>
  </si>
  <si>
    <t>se compro mercaderia pepsi,  "no hay factura", 16/03/22</t>
  </si>
  <si>
    <t>se compro mercaderia a distribuidora sagitario, segun factura #33441, 15/03/22</t>
  </si>
  <si>
    <t>se compro mercaderia a bodega farmaceutica, segun factura #508576572, 16/03/22</t>
  </si>
  <si>
    <t>se compro mercaderia Malher, segun factura #732450801, 16/03/22</t>
  </si>
  <si>
    <t>se compro mercaderia a distribuidora de Licores, segun factura #951537229, 17/03/22</t>
  </si>
  <si>
    <t>se compro mercaderiaa coporacion Gama, segun factura #3813097722, 16/03/22</t>
  </si>
  <si>
    <t>se compro mercaderia Nutrica, segun factura #001643, 15/03/22</t>
  </si>
  <si>
    <t>se compro mercaderi Bocadeli, segun factura #3964751457, 16/03/22</t>
  </si>
  <si>
    <t>se compro mercaderia Ideal, segun factura #1860978048, 16/03/22</t>
  </si>
  <si>
    <t>se compro mercaderia a Bodega Farmaceutica, segun factura#206786247, 17/03/22</t>
  </si>
  <si>
    <t>se compro mercaderia Ninoshka, segun factura #3779546439, 11/03/22</t>
  </si>
  <si>
    <t>se compro mercaderia Inasa, segun factura #125193337, 16/03/22</t>
  </si>
  <si>
    <t>se compro mercaderia a distribuidora Sagitario; segun factura #4069083232, 18/03/22</t>
  </si>
  <si>
    <t>se compro mercaderia a distribuidora sagitario, segun factura #2442740223, 19/03/22</t>
  </si>
  <si>
    <t>se compro mercaderia Maxa, "no hay factura ", 19/03/22</t>
  </si>
  <si>
    <t>se compro mercaderia Codisa, segun factura #1779451919, 19/03/22</t>
  </si>
  <si>
    <t>se compro mercaderia de industria la popular, segun factura #2348040723, 18/03/22</t>
  </si>
  <si>
    <t>se compro mercaderia a distribuidora la bendicion , segun factura #307860, 21/03/22</t>
  </si>
  <si>
    <t>se compro mercaderia Me Llega, segun factura #3790028937, 21/03/22</t>
  </si>
  <si>
    <t>se compro mercaderia Codisa, segun factura #22041226, 21/03/22</t>
  </si>
  <si>
    <t>se compro mercaderia a distribuidora Me Llega,  "no hay factura ", 23/03/22</t>
  </si>
  <si>
    <t>se compro mercaderia pepsi, "no hay factura ", 23/03/22</t>
  </si>
  <si>
    <t>se compro mercaderia a Distribuidora Yani, segun factura #34244 , 22/03/22</t>
  </si>
  <si>
    <t>se compro mercaderia a distribuidora los volcanes, segun factura #2604420404, 23/03/22</t>
  </si>
  <si>
    <t>se compro mercaderia Malher, segun factura #204556832, 23/03/22</t>
  </si>
  <si>
    <t>se compro mercaderia  Bocadeli, segun factura #1649558009, 22/03/22</t>
  </si>
  <si>
    <t>se compro mercaderia ACSA, segun factura #5329, 24/03/22</t>
  </si>
  <si>
    <t>se compro mercaderia Proyalsa, segun factura #2200849489, 24/03/22</t>
  </si>
  <si>
    <t>se compro productos desechables, "no hay factura ", 24/03/22</t>
  </si>
  <si>
    <t>se compro mercaderia a corporacion Gama, segun factura #1942570383, 23/03/22</t>
  </si>
  <si>
    <t>se compro mercaderia a distribuidora el campesino, segun factura #2755610897, 23/03/22</t>
  </si>
  <si>
    <t>se compro mercaderia a distribuidora Comabsa, segun factura #2017478348, 22/03/22</t>
  </si>
  <si>
    <t>se compro mercaderia Ideal, segun factura #1525828880, 23/03/22</t>
  </si>
  <si>
    <t>se compro mercaderia a distribuidora Guayacan, segun factura #3192474022, 24/03/22</t>
  </si>
  <si>
    <t>se compro mercaderia a distribuidora Sagitario, segun factura #3204269766, 26/03/22</t>
  </si>
  <si>
    <t>se compro mercaderia Ninoshka, segun factura #2462403363, 25/03/22</t>
  </si>
  <si>
    <t>se compro mercaderia a industrias Magaña, segun factura #0002963, 30/03/22</t>
  </si>
  <si>
    <t>se compro mercaderia Pepsi, "no hay factura ", 30/03/22</t>
  </si>
  <si>
    <t>se compro mercaderia a distribuidora los volcanes, segun factura #1871792137, 30/03/22</t>
  </si>
  <si>
    <t>se compro mercaderia  a distribuidora Me Llega, "no hay factura ", 31/03/22</t>
  </si>
  <si>
    <t>se compro mercaderia a Grupo Bodega Farmaceutica, segun factura #3933161722, 31/03/22</t>
  </si>
  <si>
    <t>se compro mercaderia a distribuidora de licores, segun factura #3809101051, 31/03/22</t>
  </si>
  <si>
    <t>se compro mercaderia a fabrica de productos alimenticios Rene y CIA, segun factura #603118017, 31/03/22</t>
  </si>
  <si>
    <t>se compro mercaderia a distribuidora Proyalsa, segun factura #1363822860, 31/03/22</t>
  </si>
  <si>
    <t>se compro mercaderia  a corporacion Gama , segun factura #3482075274, 30/03/22</t>
  </si>
  <si>
    <t>se compro juego de bicicletas marca Shimano, "no hay factura ", 31/03/22</t>
  </si>
  <si>
    <t>pago mensual de energia electrica , 31/03/22</t>
  </si>
  <si>
    <t>gastos varios, 31/03/22</t>
  </si>
  <si>
    <t>se compro mercaderia a Distribuidora Sagitario, segun factura #2114866813, 04/04/22</t>
  </si>
  <si>
    <t>se compro mercaderia Bimbo, segun factura #113342628, 04/04/22</t>
  </si>
  <si>
    <t>se compro mercaderia a Industrias Zam, segun factura #09240, 05/04/22</t>
  </si>
  <si>
    <t>se compro mercaderia Bimbo, segun factura #2228961632, 05/04/22</t>
  </si>
  <si>
    <t>se compro mercaderia Chimex, segun factura #4870006261, 05/04/22</t>
  </si>
  <si>
    <t>se compro mercaderia Chimex, segun factura #4870006262, 05/04/22</t>
  </si>
  <si>
    <t>se compro mercaderia Comabsa, segun factura #2260747178, 05/04/22</t>
  </si>
  <si>
    <t>se compro mercaderia Chimex, segun factura #4870006286, 07/04/22</t>
  </si>
  <si>
    <t>Se compro mercaderia La Bonita, segun factura #428884752, 09/04/22</t>
  </si>
  <si>
    <t>se compro mercaderia de  especies, segun recibo #14, 09/04/22</t>
  </si>
  <si>
    <t>se compro mercaderia Lala, segun factura #001704, 09/04/22</t>
  </si>
  <si>
    <t>se compro mercaderia a distribuidora Sagitario, segun factura #2771405487, 11/04/22</t>
  </si>
  <si>
    <t>se compro mercaderia bimbo, segun factura #197937480, 11/04/22</t>
  </si>
  <si>
    <t>se compro mercaderia bimbo, segun factura #934167825, 12/04/22</t>
  </si>
  <si>
    <t>se compro mercaderia lala, segun factura #105307, 02/04/22</t>
  </si>
  <si>
    <t>se compro mercaderia  a distribuidora sagitario, segun factura #645744958, 14/04/22</t>
  </si>
  <si>
    <t>se compro mercaderia la Bonita, segun factura #980828584, 13/04/22</t>
  </si>
  <si>
    <t>se compro mercaderia bimbo, segun factura #113348924, 18/04/22</t>
  </si>
  <si>
    <t>se compro mercaderia bimbo, segun factura #3923659864, 19/04/22</t>
  </si>
  <si>
    <t>se compro mercaderia chimex segun factura #4870006483, 19/04/22</t>
  </si>
  <si>
    <t>se compro mercaderia Comabsa, segun factura #1947943346, 20/04/22</t>
  </si>
  <si>
    <t>se compro mercaderia Senorsa S.A, segun factura #4143990435, 21/04/22</t>
  </si>
  <si>
    <t>se compro 5 huevos en tienda para complementar, segun recibo No 16, 21/04/22</t>
  </si>
  <si>
    <t>se compro mercaderia  a distribuidora la bonita, segun factura #4165944437, 21/04/22</t>
  </si>
  <si>
    <t>se compro mercaderia bimbo, segun factura #1970423817, 25/04/22</t>
  </si>
  <si>
    <t>se compro mercaderia a distribuidora lafer, segun factura #001664, 25/04/22</t>
  </si>
  <si>
    <t>se compro mercaderia  a distribuidora sagitario S.A , segun factura #2757446025, 26/04/22</t>
  </si>
  <si>
    <t>se compro mercaderia bimbo, segun factura #1446266794, 26/04/22</t>
  </si>
  <si>
    <t>se compro mercaderai chimex, segun factura #4870006638, 26/04/22</t>
  </si>
  <si>
    <t>se compro mercaderia  inprolacsa, segun factura #3535029599, 25/04/22</t>
  </si>
  <si>
    <t>gastos realizados durante el mes, 30/04/22</t>
  </si>
  <si>
    <t>ventas brutas generadas durante el mes , 30/04/22</t>
  </si>
  <si>
    <t>ingreso total en tarjetas de Debito/Credito , 30/04/22</t>
  </si>
  <si>
    <t>compra de 6 topes , 08/04/22</t>
  </si>
  <si>
    <t>pago de servicio de energia electrica , 19/04/22</t>
  </si>
  <si>
    <t>compra de mercaderia a Bodega Farmaceutica  S.A, segun factura #1318797790, 01/04/22</t>
  </si>
  <si>
    <t>compra de mercaderia Ideal, segun factura #3219997732, 01/04/22</t>
  </si>
  <si>
    <t>compra de mercaderia a Distribuidora Sagitario, segun factura #3515171491, 01/04/22</t>
  </si>
  <si>
    <t>compra de mercaderia Inasa, segun factura #2722251668, 01/04/22</t>
  </si>
  <si>
    <t>compra de mercaderia a distribuidora me llega, segun factura #3693430311, 01/04/22</t>
  </si>
  <si>
    <t>se compro mercaderia a fabrica de productos y alimenticios Rene y CIA, S.A, segun factura #612322804, 02/04/22</t>
  </si>
  <si>
    <t>compra de mercaderia de golosinas y  cosas de cocina, "no hay factura ", 02/04/22</t>
  </si>
  <si>
    <t>compra de mercaderia a distribuidora la bendicion, segun factura #312884, 03/04/22</t>
  </si>
  <si>
    <t>compra de mercaderia Codisa, segun factura #1215579867, 02/04/22</t>
  </si>
  <si>
    <t>compra de mercaderia a distribuidora  Sagitario, S.A, segun factura#1804160894, 05/04/22</t>
  </si>
  <si>
    <t>compra de mercaderia Coca Cola, "no hay factura" , 06/04/22</t>
  </si>
  <si>
    <t>compra de mercaderia a industrias la popular, segun factura #542787737, 01/04/22</t>
  </si>
  <si>
    <t>compra de mercaderia Pepsi, "no hay factura ", 06/04/22</t>
  </si>
  <si>
    <t>compra de mercaderia a distribuidora Yani, S.A, segun factura #35860, 05/04/22</t>
  </si>
  <si>
    <t>compra de mercaderia Nestle, segun factura #4122037216, 06/04/22</t>
  </si>
  <si>
    <t>compra de mercaderia  a distribuidora Rene, y CIA. S.A, segun factura #603118175, 07/04/22</t>
  </si>
  <si>
    <t>compra de mercaderia Ideal, segun factura #3406319294, 06/04/22</t>
  </si>
  <si>
    <t>compra de mercaderia Bocadeli, segun factura #3674556891, 06/04/22</t>
  </si>
  <si>
    <t>compra de mercaderia a Corporacion Gama, segun factura #2811252110, 06/04/22</t>
  </si>
  <si>
    <t>compra de mercaderia  proyalsa, segun factura #3981853812, 07/04/22</t>
  </si>
  <si>
    <t>compra de mercaderia a distribuidora el campesino, segun factura #4012591643, 06/04/22</t>
  </si>
  <si>
    <t>compra de mercaderia a Bodega Farmaceutica S.A, segun factura #817579332, 07/04/22</t>
  </si>
  <si>
    <t>compra de mercaderia a distribuciones Guayacan, S.A, segun factura #422857702, 07/04/22</t>
  </si>
  <si>
    <t>compra de mercaderia Pepsi, no hay factura ", 09/04/22</t>
  </si>
  <si>
    <t>compra de mercaderia a distribuidora sagitario, segun factura #311640192, 08/04/22</t>
  </si>
  <si>
    <t>compra de mercaderia a distribuidora sagitario, segun factura #956910027, 09/04/22</t>
  </si>
  <si>
    <t>compra de mercaderia a distribuidora  los volcanes, segun factura #2825407722, 10/04/22</t>
  </si>
  <si>
    <t>compra de mercaderia Maxa, no hay recibo, 11/04/22</t>
  </si>
  <si>
    <t>compra de mercaderia a grupo palmas costa sur, segun factura #1649464809, 11/04/22</t>
  </si>
  <si>
    <t>compra de mercaderia a distribuidora sagitario, segun factura #2141540316, 12/04/22</t>
  </si>
  <si>
    <t>compra de mercaderia pepsi, no hay factura , 12/04/22</t>
  </si>
  <si>
    <t>compra de mercaderia a cafe quetzal, segun factura #3130215052, 12/04/22</t>
  </si>
  <si>
    <t>compra de mercaderia a corporacion Gama, segun factura #405293275, 11/04/22</t>
  </si>
  <si>
    <t>compra de mercaderia a fabrica de productos Rene y CIA. S.A, segun factura #612323061, 13/04/22</t>
  </si>
  <si>
    <t>compra de mercaderia a distribuidora los volcanes, segun factura #3200797975, 13/04/22</t>
  </si>
  <si>
    <t>compra de mercaderia a grupo bodega farmaceutica, segun factura#2735753755, 12/04/22</t>
  </si>
  <si>
    <t>compra de mercaderia Nestle, segun factura #161500009, 13/04/22</t>
  </si>
  <si>
    <t>compra de mercaderia a Cogua, segun factura #3841018865, 13/04/22</t>
  </si>
  <si>
    <t>compra de mercaderia de Arroz, no hay factura , 14/04/22</t>
  </si>
  <si>
    <t>compra de mercaderia a distribuidora la bendicion de Dios, segun factura #317309, 18/04/22</t>
  </si>
  <si>
    <t>compra de mercaderia me llega, segun factura #3954593773, 18/04/22</t>
  </si>
  <si>
    <t>compra de mercaderia pepsi, no hay factura, 19/04/22</t>
  </si>
  <si>
    <t>compra de mercaderia a distribuidora sagitario S.A, segun factura #1338917286, 19/04/22</t>
  </si>
  <si>
    <t>compra de mercaderia Codisa, segun factura #3581364175, 18/04/22</t>
  </si>
  <si>
    <t>compra de merdaceria Proyalsa, segun factura #2493401105, 18/04/22</t>
  </si>
  <si>
    <t>compra de mercaderia Idealsa, segun factura #3709159006, 13/04/22</t>
  </si>
  <si>
    <t>compra de mercaderia Inasa, segun factura #906184366, 13/04/22</t>
  </si>
  <si>
    <t>compra de mercaderia Nestle, segun factura #416040100, 20/04/22</t>
  </si>
  <si>
    <t>compra de mercaderia a distribuidora los volcanes, segun factura #1928351139, 20/04/22</t>
  </si>
  <si>
    <t>compra de mercaderia a distribuidores de licores, segun factura #1931626928, 21/04/22</t>
  </si>
  <si>
    <t>compra de mercaderia a distribuidora el campesino, segun factura #1324895641, 20/04/22</t>
  </si>
  <si>
    <t>compra de mercaderia Bocadeli, segun factura #2581873030, 20/04/22</t>
  </si>
  <si>
    <t>compra de mercaderia a distribuidora Cogua, segun factura #3191359076, 21/04/22</t>
  </si>
  <si>
    <t>compra de mercaderia a Bodega Farmaceutica S,A segun factura #2539274578, 21/04/22</t>
  </si>
  <si>
    <t>compra de mercaderia a industrias la popular, segun factura #2752595695, 21/04/22</t>
  </si>
  <si>
    <t>compra de mercaderia Idealsa, segun factura #4063250105, 20/04/22</t>
  </si>
  <si>
    <t>compra de mercaderia a distribuciones Guayacan S.A, segun factura #2108966571, 21/04/22</t>
  </si>
  <si>
    <t>compra de 6 cartones de huevos. no hay factura , 22/04/22</t>
  </si>
  <si>
    <t>compra de mercaderia Maxa, segun factura #2694138332, 22/04/22</t>
  </si>
  <si>
    <t>compra de mercaderia a distribuidora las mariposas, segun factura #1686589131, 23/04/22</t>
  </si>
  <si>
    <t>compra de productos desechables, segun recibo no comercial, 23/04/22</t>
  </si>
  <si>
    <t>compra de mercaderia a distribuidora Sagitario, segun factura #1243563995, 23/04/22</t>
  </si>
  <si>
    <t>compra de mercaderia a corporacion de instantaneos san isabel, segun factura #2500346936, 26/04/22</t>
  </si>
  <si>
    <t>compra de mercaderia a distribuidora sagitario, segun factura #1746878607, 26/04/22</t>
  </si>
  <si>
    <t>compra de mercaderia a distribuidora los volcanes,segun factura #705774156, 27/04/22</t>
  </si>
  <si>
    <t>compra de mercaderia a distribuiodra Yani, segun factura #37680, 26/04/22</t>
  </si>
  <si>
    <t>compra de mercaderia Pepsi,  no hay factura #, 27/04/22</t>
  </si>
  <si>
    <t>compra de mercaderia Nestle, segun factura #3796976432, 27/04/22</t>
  </si>
  <si>
    <t>compra de mercaderia a bodega farmaceutica, segun factura #229196456, 27/04/22</t>
  </si>
  <si>
    <t>compra de mercaderia de golosinas, segun factura #0016004911, 27/04/22</t>
  </si>
  <si>
    <t>compra de mercadeia a industrias la popular S.A, segun factura #2130724328, 25/04/22</t>
  </si>
  <si>
    <t>compra de mercaderia  a distribuidora  de licores, segun factura #1708280051, 28/04/22</t>
  </si>
  <si>
    <t>compra de mercaderia  a Dacema, S.A, segun factura #862865159, 21/04/22</t>
  </si>
  <si>
    <t>compra de mercaderia a distribuidora Proyalsa, segun factura #37700378, 28/04/22</t>
  </si>
  <si>
    <t>compra de telefonos segun factura #000833, 28/04/22</t>
  </si>
  <si>
    <t>compra de mercaderia Idealsa, segun factura #2344174182, 27/04/22</t>
  </si>
  <si>
    <t>compra de mercaderia a distribuidora sagitario segun factura#3748286011, 29/04/22</t>
  </si>
  <si>
    <t>compra de mercaderia Inasa, segun factura #2686863081, 27/04/22</t>
  </si>
  <si>
    <t>compra de mercaderia a grupo bodegas farmaceuticas S.A, segun factura #1889093291, 28/04/22</t>
  </si>
  <si>
    <t>compra de mercaderia Me Llega, segun factura #3027847889, 29/04/22</t>
  </si>
  <si>
    <t>compra de mercaderia a distribuidora Rene y CIA. S.A, segun factura #612323430, 30/04/22</t>
  </si>
  <si>
    <t>compra de mercaderia de libreria, no hay factura , 07/04/22</t>
  </si>
  <si>
    <t>pago del personal , 30/04/22</t>
  </si>
  <si>
    <t>pago del personal por horas extras , 30/04/22</t>
  </si>
  <si>
    <t>se compro mercaderia a distribuidora maravilla segun factura #3595977000, 02/05/22</t>
  </si>
  <si>
    <t>se compro mercaderia bimbo, segun factura #111767116, 02/05/22</t>
  </si>
  <si>
    <t>se compro mercaderia lala segun factura #001674, 02/05/22</t>
  </si>
  <si>
    <t>se compro mercaderia bimbo, segun factura #2809414012, 03/05/22</t>
  </si>
  <si>
    <t>se compro mercaderia FUD segun factura #4870006792, 03/05/22</t>
  </si>
  <si>
    <t>se compro mercaderia senorsa, segun factura #2901, 05/05/22</t>
  </si>
  <si>
    <t>se compro mercaderia de especies, segun recibo No.20, 05/05/22</t>
  </si>
  <si>
    <t>se compro mercaderia de productos de semillas, segun factura #1982484058, 05/05/22</t>
  </si>
  <si>
    <t>se compro mercaderia la bonita segun factura #3547873646, 05/05/22</t>
  </si>
  <si>
    <t>se compro mercaderia la bonita segun factura #4036772508, 07/05/22</t>
  </si>
  <si>
    <t>se compro mercaderia maravilla, segun factura #2131640621, 09/05/22</t>
  </si>
  <si>
    <t>se compro mercaderia lala segun factura #001681, 09/05/22</t>
  </si>
  <si>
    <t>se compro mercaderia bimbo, segun factura #111415435, 09/05/22</t>
  </si>
  <si>
    <t>se compro mercaderia FUD, segun factura #487008910, 10/05/22</t>
  </si>
  <si>
    <t>se compro mercaderia FUD, segun factura #4870006941, 10/05/22</t>
  </si>
  <si>
    <t>se compro mercaderia  bimbo, segun factura #1746684586, 10/05/22</t>
  </si>
  <si>
    <t>se compro mercaderia FUD, segun factura #4870006967, 12/05/22</t>
  </si>
  <si>
    <t>se compro mercaderia la bonita, segun factura #3612360940, 13/05/22</t>
  </si>
  <si>
    <t>se compro mercaderia maravilla, segun factur #2451525065, 16/05/22</t>
  </si>
  <si>
    <t>se compro mercaderia bimbo, segun factura #1350846245, 16/05/22</t>
  </si>
  <si>
    <t>se compro mercaderia lala, segun factura #001688, 16/05/22</t>
  </si>
  <si>
    <t>se compro mercaderia bimbo, segun factura #181563859, 17/05/22</t>
  </si>
  <si>
    <t>se compro mercaderia FUD, segun factura #4870007097, 17/05/22</t>
  </si>
  <si>
    <t>se compro mercaderia Milpa altas, segun  factura #2629324430, 18/05/22</t>
  </si>
  <si>
    <t>se compro mercaderia Comapsa, segun factura #3373747632, 19/05/22</t>
  </si>
  <si>
    <t>se compro mercaderia la bonita segun factura #2407154896, 19/05/22</t>
  </si>
  <si>
    <t>se compro mercaderia maravilla, segun factura #75516296, 23/05/22</t>
  </si>
  <si>
    <t>se compro mercaderia bimbo segun factura#111114833, 23/05/22</t>
  </si>
  <si>
    <t>se compro mercaderia lala segun factura #001692, 23/05/22</t>
  </si>
  <si>
    <t>se compro mercaderia bimbo, segun factura #181889464, 24/05/22</t>
  </si>
  <si>
    <t>se compro mercaderia FUD, segun factura #4870007238, 24/05/22</t>
  </si>
  <si>
    <t>se compro mercaderia la bonita, segun factura #651447730, 26/05/22</t>
  </si>
  <si>
    <t>se comrpo mercaderia lala, segun factura #001706, 30/05/22</t>
  </si>
  <si>
    <t>se compro mercaderia bimbo segun factura #3845145967, 30/05/22</t>
  </si>
  <si>
    <t>se compro mercaderia bimbo segun factura #181161174, 31/05/22</t>
  </si>
  <si>
    <t>se compro mercaderia FUD,segun factura#4870007361, 31/05/22</t>
  </si>
  <si>
    <t>se compro mercaderia maravilla segun factura 1362249039, 31/05/22</t>
  </si>
  <si>
    <t>pago del personal durante el mes, 31/05/22</t>
  </si>
  <si>
    <t>gastos totales durante el mes , 31/05/22</t>
  </si>
  <si>
    <t>ventas brutas , 31/05/22</t>
  </si>
  <si>
    <t>ventas realizadas con tarjetas , 31/05/22</t>
  </si>
  <si>
    <t>gastos varios durante el mes, 31/05/22</t>
  </si>
  <si>
    <t>pago de servicio de energia electrica, 31/05/22</t>
  </si>
  <si>
    <t>se compro mercaderia ninoshka, segun factura #162939486, 27/05/22</t>
  </si>
  <si>
    <t>se compro mercaderia Codisa, segun factura #4114695710, 28/05/22</t>
  </si>
  <si>
    <t>se compro mercaderia a industria la popula S.A, segun factura #1265127090, 28/05/22</t>
  </si>
  <si>
    <t>se compro 60  libras de arros blanco, no hay factura , 28/05/22</t>
  </si>
  <si>
    <t>se compro mercaderia pepsi, no hay factura , 28/05/22</t>
  </si>
  <si>
    <t>se compro mercaderia  a distribuidora  sagitario, segun factura #4083172056, 28/05/22</t>
  </si>
  <si>
    <t>se compro mercaderia Me llega, segun factura #3496562207, 27/05/22</t>
  </si>
  <si>
    <t>se compro mercaderia  a distribuidora Inasa, segun factura #4188687120, 25/05/22</t>
  </si>
  <si>
    <t>se compro mercaderia a distribuidora sagitario, segun factura #3231599556, 27/05/22</t>
  </si>
  <si>
    <t>se compro mercaderia Idealsa, segun factura #3688713797, 25/05/22</t>
  </si>
  <si>
    <t>se compro mercaderia a distribuidora Cogua, segun factura #3569437919, 26/05/22</t>
  </si>
  <si>
    <t>se compro mercaderia  a corporacion Gama de occidente, segun factura #1582971237, 25/05/22</t>
  </si>
  <si>
    <t>se compro mercaderia  a fabrica de productos alimenticios Rene, segun factura #612324127, 26/05/22</t>
  </si>
  <si>
    <t>se compro mercaderia cafe quetzal segun factura #730549896, 26/05/22</t>
  </si>
  <si>
    <t>se compro mercaderia de golosinas, no hay factura , 26/05/22</t>
  </si>
  <si>
    <t>se compro mercaderia a bodega farmaceutica, segun factura #124339187, 26/05/22</t>
  </si>
  <si>
    <t>se compro mercaderia  a fabrica de productos alimenticios Rene, segun factura #603119190, 26/05/22</t>
  </si>
  <si>
    <t>se compro mercaderia  Nestle, segun factura #3980347314, 25/05/22</t>
  </si>
  <si>
    <t>se compro mercaderia ACSA, segun factura #4662, 25/05/22</t>
  </si>
  <si>
    <t>se compro mercaderia  a distribuidora Yani, segun factura #005656, 25/05/22</t>
  </si>
  <si>
    <t>se compro mercaderia Pepsi, no hay factura , 25/05/22</t>
  </si>
  <si>
    <t>se compro mercaderia a comercializadora los volcanes, segun factura #1781484716, 25/05/22</t>
  </si>
  <si>
    <t>se compro mercaderia  a distribuidora Dacema, sociedad anonima, segun factura #1772768377, 18/05/22</t>
  </si>
  <si>
    <t>se compro mercaderia a distribuidora COGUA, segun factura #2788770194, 19/05/22</t>
  </si>
  <si>
    <t>se compro mercaderia a distribuciones Guayacan, segun factura #3191685960, 19/05/22</t>
  </si>
  <si>
    <t>se compro mercaderia Idealsa, segun factura #1531399999, 18/05/22</t>
  </si>
  <si>
    <t>se compro mercaderia a bodega farmaceutica, segun factura #3309978689, 19/05/22</t>
  </si>
  <si>
    <t>se compro mercaderia  a distribuidora  el campesino, segun factura #2785034452, 18/05/22</t>
  </si>
  <si>
    <t>se compro mercaderia a Grupo Palmas Costa Sur, segun factura #1652920100, 16/05/22</t>
  </si>
  <si>
    <t>se compro mercaderia a distribuidora Proyalsa, segun factura #3686352360, 18/05/22</t>
  </si>
  <si>
    <t>se compro  golosina, margarina y aceite, segun comrpobante, 18/05/22</t>
  </si>
  <si>
    <t>se compro mercaderia a corporacion Gama de occidente, segun factura #1350976451, 18/05/22</t>
  </si>
  <si>
    <t>se compro mercaderia  a fabrica de productos alimenticios Rene, segun factura #612323931, 19/05/22</t>
  </si>
  <si>
    <t>se compro mercaderia a distribuidora de licores, segun factura #3299822518, 19/05/22</t>
  </si>
  <si>
    <t>se compro mercaderia Bocadeli, segun factura #3364373017, 18/05/22</t>
  </si>
  <si>
    <t>se compro 18 unidades de shampoo, no hay factura , 18/05/22</t>
  </si>
  <si>
    <t>se compro mercaderia  a comercializadora los volcanes, segun factura #4078389721, 18/05/22</t>
  </si>
  <si>
    <t>se compro mercaderia a distribuidora Yani, segun factura #40021, 16/05/22</t>
  </si>
  <si>
    <t>se compro mercaderia Nestle, segun factura #3169010427, 18/05/22</t>
  </si>
  <si>
    <t>se compro 4 telefonos gama alta tigo, segun nota de envio, PVR0308-032614, 18/05/22</t>
  </si>
  <si>
    <t>se compro mercaderia pepsi, segun comprobante, 18/05/22</t>
  </si>
  <si>
    <t>se compro mercaderia a industria la popular, segun factura #3107931358, 14/05/22</t>
  </si>
  <si>
    <t>se compro mercaderia Maxa, segun comprobante, 18/05/22</t>
  </si>
  <si>
    <t>se compro mercaderia a  distribuidora La Uva segun factura #439044767, 12/05/22</t>
  </si>
  <si>
    <t>se compro mercaderia a distribuidora sagitario, segun factura #87115188, 17/05/22</t>
  </si>
  <si>
    <t>se compro mercaderia a distribuidora me llega, segun comprobante, 17/05/22</t>
  </si>
  <si>
    <t>se compro mercaderia a distribuidora  la bendicion segun factura #326597, 12/05/22</t>
  </si>
  <si>
    <t>se compro  160 cereales  a distribuidora me llega, segun comprobante, 16/05/22</t>
  </si>
  <si>
    <t>se compro mercaderia a distribuidroa Codisa, segun factura #3839313367, 14/05/22</t>
  </si>
  <si>
    <t>se compro mercaderia Pepsi, segun comprobante, 14/05/22</t>
  </si>
  <si>
    <t>se compro mercaderia a distribuidora  sagitario, segun factura #3979562350, 13/05/22</t>
  </si>
  <si>
    <t>se compro mercaderia  a distribuidora Inasa, segun factura #1711753821, 11/05/22</t>
  </si>
  <si>
    <t>se compro mercaderia a distribuidora Sagitario, segun factura #3602728458, 13/05/22</t>
  </si>
  <si>
    <t>se comrpraron bicicletas, segun recibo , 13/05/22</t>
  </si>
  <si>
    <t>se compro mercaderia Idealsa, segun factura #2403943408, 11/05/22</t>
  </si>
  <si>
    <t>se compro mercaderia a bodega farmaceutica, segun factura #4069213628, 13/05/22</t>
  </si>
  <si>
    <t xml:space="preserve"> se compro mercaderia desechables, segun factura no contable., 13/05/22</t>
  </si>
  <si>
    <t>se compro mercaderia a bodega farmaceutica, segun factura #3332917594, 12/05/22</t>
  </si>
  <si>
    <t>se compro mercaderia a distribuidora  COGUA, segun factura #2769438467, 12/05/22</t>
  </si>
  <si>
    <t>se compro mercaderia a distribuidora Proyalsa, segun factura #4157820031, 11/05/22</t>
  </si>
  <si>
    <t>se compro mercaderia a corporacion Gama de occidente, segun factura #253708916, 11/05/22</t>
  </si>
  <si>
    <t>se compro mercaderia Nestle, segun factura #2856206420, 11/05/22</t>
  </si>
  <si>
    <t>se compro mercaderia a comercializadora los volcanes, segun factura #1839024912, 11/05/22</t>
  </si>
  <si>
    <t>se compro productos basicos para cocina, no hay factura , 11/05/22</t>
  </si>
  <si>
    <t>se compro mercaderia pepsi, no hay factura }, 11/05/22</t>
  </si>
  <si>
    <t>se compro productos varios para cocina, segun factura no contable, 11/05/22</t>
  </si>
  <si>
    <t>se compro 40 libras de arros blanco segun comprobante, 09/05/22</t>
  </si>
  <si>
    <t>se compro mercaderia a distribuidora Maxa, segun factura #103236850, 09/05/22</t>
  </si>
  <si>
    <t>se compro mercaderia a distribuidora  sagitario, segun factura #3561964156, 07/05/22</t>
  </si>
  <si>
    <t>se compro mercaderia a distribuidora  la bendicion de Dios, segun factura #005228, 05/05/22</t>
  </si>
  <si>
    <t>se compro mercaderia a distribuciones Guayacan, segun factura #827150260, 05/05/22</t>
  </si>
  <si>
    <t>se compro mercaderia a bodega farmaceutica, segun factura #2896249634, 05/05/22</t>
  </si>
  <si>
    <t>se compro mercaderia  a distribuidora COGUA, segun factura #3737079068, 05/05/22</t>
  </si>
  <si>
    <t>se compro mercaderia Idealsa, segun factura #2875148244, 04/05/22</t>
  </si>
  <si>
    <t>se compro 40 libras de frijol segun comprobante., 06/05/22</t>
  </si>
  <si>
    <t>se compro mercaderia  a corporacion Gama de Occidente, segun factura #1998211539, 04/05/22</t>
  </si>
  <si>
    <t>se compro mercaderia a distribuidora  el campesino, segun factura #2640396957, 04/05/22</t>
  </si>
  <si>
    <t>se compro mercaderia  cafe quetzal, segun factura #1966425172, 05/05/22</t>
  </si>
  <si>
    <t>se compro mercaderia  a distribuidora Proyalsa, segun factura #806046194, 04/05/22</t>
  </si>
  <si>
    <t>se compro mercaderia a grupo palmas costa sur, segun factura #1651642914, 02/05/22</t>
  </si>
  <si>
    <t>se compro mercaderia  a corporacion Gama de occidente, segun factura #796410464, 04/05/22</t>
  </si>
  <si>
    <t>se compro mercaderia a distribuidora sagitario, segun factura #3978904123, 05/05/22</t>
  </si>
  <si>
    <t>se compro mercaderia  Bocadeli, segun factura #1201356904, 04/05/22</t>
  </si>
  <si>
    <t>se compro mercaderia a industria La Popular, segun factura #2382840768, 01/05/22</t>
  </si>
  <si>
    <t>se compro mercaderia Nestle, segun factura #3192276759, 04/05/22</t>
  </si>
  <si>
    <t>se compro mercaderia a distribuidora Yani, segun factura #38491, 03/05/22</t>
  </si>
  <si>
    <t>se compro mercaderia pepsi, segun comprobante, 04/05/22</t>
  </si>
  <si>
    <t>se compro mercaderia a comercializadora los volcanes, segun factura #3247195775, 04/05/22</t>
  </si>
  <si>
    <t>se compro 50 libras de arroz blanco, segun comprobante, 04/05/22</t>
  </si>
  <si>
    <t>se compro mercaderia a industrias magañas L. segun factura#45413, 03/05/22</t>
  </si>
  <si>
    <t>Se compro mercaderia  a distribuidora sagitario, segun factura #3950264867, 03/05/22</t>
  </si>
  <si>
    <t>se compro mercaderia a distribuidora la bendicion, segun factura #321947, 02/05/22</t>
  </si>
  <si>
    <t>se compro mercaderia Ninoska, segun factura #1351960365, 01/05/22</t>
  </si>
  <si>
    <t>se compro mercaderia a distribuidora CODISA, segun factura #2568634478, 01/05/22</t>
  </si>
  <si>
    <t>se compro mercaderia a distribuidora sagitario, segun factura #316687866, 24/05/22</t>
  </si>
  <si>
    <t>se compro mercaderia de especies segun recibo No.28, 01/06/22</t>
  </si>
  <si>
    <t>se compro mercaderia comabsa, segun factura #2730377263, 02/06/22</t>
  </si>
  <si>
    <t>se compro mercaderia la bonita, segun factura #4025369562, 02/06/22</t>
  </si>
  <si>
    <t>se compro mercaderia senorsa, segun factura #2949791946, 02/06/22</t>
  </si>
  <si>
    <t>se compro mercaderia milpas altas, segun factura #12777374, 03/06/22</t>
  </si>
  <si>
    <t>se compro mercaderia Maravilla, segun factura #106250812, 06/06/22</t>
  </si>
  <si>
    <t>se compro mercaderia bimbo, segun factura #111119329, 06/06/22</t>
  </si>
  <si>
    <t>se compro mercaderia Lala, segun factura #3709815373, 06/06/22</t>
  </si>
  <si>
    <t>se compro mercaderia bimbo, segun factura #2223786306, 07/06/22</t>
  </si>
  <si>
    <t>se compro mercaderia fud, segun factura #4870007507, 07/06/22</t>
  </si>
  <si>
    <t>se compro mercaderia la bonita, segun factura #948390744, 10/06/22</t>
  </si>
  <si>
    <t>se compro mercaderia maravilla, segun factura #1410353523, 13/06/22</t>
  </si>
  <si>
    <t>se compro mercaderia bimbo, segun factura #111242423, 13/06/22</t>
  </si>
  <si>
    <t>se compro mercaderia lala, segun factura #1731873849, 13/06/22</t>
  </si>
  <si>
    <t>se compro mercaderia bimbo, segun factura #1654868904, 14/06/22</t>
  </si>
  <si>
    <t>se compro mercaderia Fud, segun factura #4870007639, 14/06/22</t>
  </si>
  <si>
    <t>se compro mercaderia comabsa, segun factura #350900016, 16/06/22</t>
  </si>
  <si>
    <t>se compro mercaderia Senorsa, segun factura #803031556, 16/06/22</t>
  </si>
  <si>
    <t>se compro mercaderia la bonita, segun factura #861093957, 16/06/22</t>
  </si>
  <si>
    <t>se compro mercaderia Inprolacsa, segun factura #2246657439, 17/06/22</t>
  </si>
  <si>
    <t>se compro mercaderia Dinant, segun comprobante, 18/06/22</t>
  </si>
  <si>
    <t>se compro mercaderia Maravilla, segun factura #954679619, 20/06/22</t>
  </si>
  <si>
    <t>se compro mercaderia Lala, segun factura #3823519580, 20/06/22</t>
  </si>
  <si>
    <t>se compro mercaderia bimbo, segun factura #111597731, 20/06/22</t>
  </si>
  <si>
    <t>se compro mercaderia bimbo, segun factura #3227535125, 21/06/22</t>
  </si>
  <si>
    <t>se compro mercaderia Fud, segun factura #4870007757, 21/06/22</t>
  </si>
  <si>
    <t>se compro mercaderia de especies, segun recibo,.35, 23/06/22</t>
  </si>
  <si>
    <t>se compro mercaderia la bonita, segun factura #4182001815, 23/06/22</t>
  </si>
  <si>
    <t>se compro mercaderia inprolacsa, segun factura #747520413, 23/06/22</t>
  </si>
  <si>
    <t>se compro mercaderia Maravilla, segun factura #3772598161, 27/06/22</t>
  </si>
  <si>
    <t>se compro mercaderia bimbo, segun factura #763972820, 27/06/22</t>
  </si>
  <si>
    <t>se compro mercaderia lala, segun factura #1429161162, 27/06/22</t>
  </si>
  <si>
    <t>se compro mercaderia Bimbo, segun factura #1946437231, 28/06/22</t>
  </si>
  <si>
    <t>se compro mercaderia FUD, segun factura #4870007874, 28/06/22</t>
  </si>
  <si>
    <t>se compro mercaderia milpas altas, segun factura #3938405252, 28/ 06/22</t>
  </si>
  <si>
    <t>se compro mercaderia Tropic, segun factura #2443855140, 28/ 06/22</t>
  </si>
  <si>
    <t>se compro mercaderia Senorsa, segun factura #1435123883, 30/06/22</t>
  </si>
  <si>
    <t>pago del personal de trabajo , 30/06/22</t>
  </si>
  <si>
    <t>gastos realizados durante el mes , 30/06/22</t>
  </si>
  <si>
    <t>ventas brutas durante el mes, 30/06/22</t>
  </si>
  <si>
    <t>compras realizadas con tarjeta , 30/06/22</t>
  </si>
  <si>
    <t>se compro mercaderia Idealsa, segun factura #358960008, 29/06/22</t>
  </si>
  <si>
    <t>pago de servicio de energia electrica, 29/06/22</t>
  </si>
  <si>
    <t>compra der mercaderia de fabrica de productos alimenticios Rene, segun factura #612325065, 30/06/22</t>
  </si>
  <si>
    <t>se compro mercaderia Bocadeli, segun factura #1345996429, 29/06/22</t>
  </si>
  <si>
    <t>se compro mercaderia a Distribuidora el campesino, segun factura #3393536545, 29/06/22</t>
  </si>
  <si>
    <t>se compro mercaderia a grupo palmas costa sur, segun factura #1656497766, 27/06/22</t>
  </si>
  <si>
    <t>se compro mercaderia a distribuidora Proyalsa, segun factura #3866905954, 29/06/22</t>
  </si>
  <si>
    <t>se compro mercaderia a corporacion Gama, segun factura #900943294, 29/06/22</t>
  </si>
  <si>
    <t>se compro mercaderia a distribuidora de licores, segun factura #2365079668, 30/06/22</t>
  </si>
  <si>
    <t>se compro mercaderia a distribuidora Yani, segun factura #43736, 28/06/22</t>
  </si>
  <si>
    <t>se compro mercaderia Nestle, segun factura #64309814, 29/06/22</t>
  </si>
  <si>
    <t>se compro mercaderia Laky Men, segun comprobante, 29/06/22</t>
  </si>
  <si>
    <t>se compro mercaderia a distribuidora las mariposas, segun factura #931483626, 29/06/22</t>
  </si>
  <si>
    <t>se compro mercaderia a distribuidroa los volcanes, segun factura #3770368269, 29/06/22</t>
  </si>
  <si>
    <t>se compro mercaderia Ninoshka, segun factura #100024611, 24/06/22</t>
  </si>
  <si>
    <t>se compro mercaderia a industrias magañas, segun factura #3853533848, 27/06/22</t>
  </si>
  <si>
    <t>se compro mercaderia a distribuidora Sagitario, segun factura #2628928059, 28/06/22</t>
  </si>
  <si>
    <t>se compro mercaderia a distribuidora la bendicion, segun factura #006779, 27/06/22</t>
  </si>
  <si>
    <t>se compro mercaderia Codisa, segun factura #192497041, 25/06/22</t>
  </si>
  <si>
    <t>se compro mercaderia a fabrica de productos alimenticios Rene, segun factura #612324940, 27/06/22</t>
  </si>
  <si>
    <t>se compro mercaderia a industrias la popular, segun factura #3191295610, 25/06/22</t>
  </si>
  <si>
    <t>se compro mercaderia  a distribuidora sagitario, segun factura #2521452247, 25/06/22</t>
  </si>
  <si>
    <t>se compro mercaderia a distribuidora me llega, segun factura #3022669868, 24/06/22</t>
  </si>
  <si>
    <t>se compro mercaderia a distribuidora sagitario, segun factura #2582398382, 24/06/22</t>
  </si>
  <si>
    <t>se compro mercaderia Inasa, segun factura #2228045711, 22/06/22</t>
  </si>
  <si>
    <t>se compro mercaderia a corporacion Gama de Occidente, segun factura #714557299, 22/06/22</t>
  </si>
  <si>
    <t>se compro mercaderia Idealsa, segun factura #1706837218, 22/06/22</t>
  </si>
  <si>
    <t>se compro 1 M. bandeja y 200 basureros, segun factura no contable, 23/06/22</t>
  </si>
  <si>
    <t>se compro mercaderi a distribuidora  de licores, segun factura #825706888, 23/06/22</t>
  </si>
  <si>
    <t>se compro mercaderia  a bodega farmaceutica, segun factura #1020022626, 22/06/22</t>
  </si>
  <si>
    <t>se compro 40 unidades de arroz blanco, segun comprobant, 22/06/22</t>
  </si>
  <si>
    <t>se compro mercaderia a distribuidora acsa, segun factura #1236289805, 22/06/22</t>
  </si>
  <si>
    <t>se compro mercaderia a distribuidora Dacema, segun factura #1374372904, 17/06/22</t>
  </si>
  <si>
    <t>se compro mercaderia Nestle, segun factura #3983624694, 22/06/22</t>
  </si>
  <si>
    <t>se compro mercaderia Pepsi, segun comprobante, 22/06/22</t>
  </si>
  <si>
    <t>se compro mercaderia a distribuidora Marte, segun factura #2810332336, 16/06/22</t>
  </si>
  <si>
    <t>se compro mercaderia a comercializadora lo volcanes, segun factura #670321755, 22/06/22</t>
  </si>
  <si>
    <t>se compro mercaderia a distribuidora Yani, segun factura #43095, 21/06/22</t>
  </si>
  <si>
    <t>se compro mercaderia a Distribuidora Sagitario, segun factura #234439413, 21/ 06/22</t>
  </si>
  <si>
    <t>se compro mercaderia a distribuidora la bendicion, segun factura #006620, 20/06/22</t>
  </si>
  <si>
    <t>se compro mercaderia Maxa, segun factura #3451537466, 20/06/22</t>
  </si>
  <si>
    <t>se compro mercaderia a distribuidora Guayacan, segun factura #376915643, 16/06/22</t>
  </si>
  <si>
    <t>se compro mercaderia a distribuidora Cogua, segun factura #1318670124, 16/06/22</t>
  </si>
  <si>
    <t>se compro mercaderia a bodega farmaceutica, segun factura #2926592330, 16/06/22</t>
  </si>
  <si>
    <t>se compro mercaderia Idealsa, segun factura #311706943, 15/06/22</t>
  </si>
  <si>
    <t>se compro mercaderia Cafe quetzal, segun factura #2594066267, 16/06/22</t>
  </si>
  <si>
    <t>se compro mercaderia a distribuidora el campesino, segun factura #3760668743, 15/06/22</t>
  </si>
  <si>
    <t>se compro mercaderia Bocadeli,segun factura #3774497160, 15/06/22</t>
  </si>
  <si>
    <t>se compro mercaderia a grupo palmas, segun factura #1655285209, 13/06/22</t>
  </si>
  <si>
    <t>se compro mercaderia a distribuidora de licores, segun factura #1008288235, 16/06/22</t>
  </si>
  <si>
    <t>se compro mercaderia Nestle, segun factura #783893567, 15/06/22</t>
  </si>
  <si>
    <t>compra de  Sommieres y estufas, segun comprobante, 15/06/22</t>
  </si>
  <si>
    <t>se compro mercaderia a industrias la popular, segun factura #716262366, 14/06/22</t>
  </si>
  <si>
    <t>se compro mercaderia pepsi, segun comprobante, 15/06/22</t>
  </si>
  <si>
    <t>se compro mercaderia a comercializadora los volcanes, segun factura #3448065715, 15/06/22</t>
  </si>
  <si>
    <t>compra de 4 bicicletas shimano, segun comprobante, 14/06/22</t>
  </si>
  <si>
    <t>se compro mercaderia Codisa, segun factura #1062227418, 11/06/22</t>
  </si>
  <si>
    <t>se compro mercaderia Maxa, segun comprobante, 13/06/22</t>
  </si>
  <si>
    <t>se compro mercaderia a distribuidora me llega, segun factura #4087303739, 10/06/22</t>
  </si>
  <si>
    <t>se compro mercaderia a distribuidora sagitario, segun factura #3530048967, 10/06/22</t>
  </si>
  <si>
    <t>se compro mercaderia Inasa, segun factura #4153296380, 08/06/22</t>
  </si>
  <si>
    <t>se compro mercaderia a corporacion Gama de occidente, segun factura #3025161473, 08/06/22</t>
  </si>
  <si>
    <t>se compro mercaderia de productos desechables, segun factura no comercial., 09/06/22</t>
  </si>
  <si>
    <t>se compro mercaderia Idealsa, segun factura #693325801, 08/06/22</t>
  </si>
  <si>
    <t>se compro mercaderia a fabrica de productos alimenticios Rene, segun factura #612324523, 09/06/22</t>
  </si>
  <si>
    <t>se compro 50 unidades de frijol segun comprobante, 09/06/22</t>
  </si>
  <si>
    <t>se compro 50 unidades de arroz blanco segun comprobante, 09/06/22</t>
  </si>
  <si>
    <t>se compro mercaderia a distribuidora Proyalsa, segun factura #3493282916, 08/06/22</t>
  </si>
  <si>
    <t>se compro mercaderia Bocadeli, segun factura #3119140561, 08/06/22</t>
  </si>
  <si>
    <t>se compro mercaderia a distribuidora  sagitario, segun factura#2650164126, 09/06/22</t>
  </si>
  <si>
    <t>se compro mercaderia  a distribuidora me llega, segun factura #713048142, 09/06/22</t>
  </si>
  <si>
    <t>se compro mercaderia a distribuidora de licores, segun factura #619661686, 09/06/22</t>
  </si>
  <si>
    <t>se compro mercaderia Pepsi, segun comprobante, 08/06/22</t>
  </si>
  <si>
    <t>se compro mercaderia Nestle, segun factura #1892632692, 08/06/22</t>
  </si>
  <si>
    <t>se compro mercaderia a grupo  Bodegas farmaceuticas, segun factura #2061322932, 08/06/22</t>
  </si>
  <si>
    <t>se compro mercaderia a distribuidora Yani, segun factura #41928, 07/06/22</t>
  </si>
  <si>
    <t>se compro 1 telefono Pco X4 pro, segun recibo No.000657, 08/06/22</t>
  </si>
  <si>
    <t>se compro mercaderia  a comercializadora los volcanes, segun factura #245843463, 08/06/22</t>
  </si>
  <si>
    <t>se compro mercaderia  a distribuidora  la bendicion de Dios, segun factura #333215, 06/06/22</t>
  </si>
  <si>
    <t>se compro mercaderia  Maxa, segun comprobante, 06/06/22</t>
  </si>
  <si>
    <t>se compro mercaderia  Nutrica, segun factura #689981383, 03/06/22</t>
  </si>
  <si>
    <t>se compro mercaderia Pepsi, segun comprobante, 04/06/22</t>
  </si>
  <si>
    <t>se compro mercaderia a distribuidora Sagitario, segun factura #123030463, 04/ 06/22</t>
  </si>
  <si>
    <t>se compro mercaderia a distribuidora Guayacan, segun factura #3224126362, 02/06/22</t>
  </si>
  <si>
    <t>se compro mercaderia a distribuidora Cogua, segun factura #2563589792, 02/06/22</t>
  </si>
  <si>
    <t>se compro mercaderia de productos para fiestas, con envio incluido, segun factura #2255, 03/06/22</t>
  </si>
  <si>
    <t>se compro mercaderia a corporacion Gama, segun factura #1423787530, 01/06/22</t>
  </si>
  <si>
    <t>se compro mercaderia a distribuidora el campesino segun factura #849103577, 01/06/22</t>
  </si>
  <si>
    <t>se compro mercaderia a fabrica de productos alimenticios Rene, segun factura#612324323, 02/06/22</t>
  </si>
  <si>
    <t>se compro mercaderia a grupo palmas, segun factura #1654062920, 01/06/22</t>
  </si>
  <si>
    <t>se compro mercaderia a distribuidora Proyalsa, segun factura #3190246472, 01/06/22</t>
  </si>
  <si>
    <t>se compro mercaderia a corporacion Instantaneo, segun factura #33001105, 01/06/22</t>
  </si>
  <si>
    <t>se compro mercaderia a distribuidora de licores, segun factura #3792191848, 02/06/22</t>
  </si>
  <si>
    <t>se compro mercaderia Bocadeli, segun factura #161628254, 01/06/22</t>
  </si>
  <si>
    <t>se compro mercaderia Nestle, segun factura #934169129, 01/06/22</t>
  </si>
  <si>
    <t>se compro mercaderia a distribuidora la casa del dulce, segun factura #2203207340, 01/06/22</t>
  </si>
  <si>
    <t>se compro mercaderia a distribuidora Yani, segun factura #41333, 01/06/22</t>
  </si>
  <si>
    <t>se compro mercaderia Pepsi, segun comprobante, 01/06/22</t>
  </si>
  <si>
    <t>se compro mercaderia a comercializadora los volcanes, segun factura #1252085240, 01/06/22</t>
  </si>
  <si>
    <t>compra de tiempo de aire claro, 23/06/22</t>
  </si>
  <si>
    <t>total de gastos varios, 30/06/22</t>
  </si>
  <si>
    <t>compra de mercaderia la bonita, segun factura #1272070847, 01/07/22</t>
  </si>
  <si>
    <t>compra de mercaderia de especies, segun comprobante , 02/07/22</t>
  </si>
  <si>
    <t>compra de mercaderia maravilla, segun factura 2802271890, 04/07/22</t>
  </si>
  <si>
    <t>se compro mercaderia lala, segun factura #161302858, 04/ 07/22</t>
  </si>
  <si>
    <t>se compro mercaderia bimbo, segun factura 1183218312, 04/ 07/22</t>
  </si>
  <si>
    <t>se compro mercaderia bimbo, segun factura #1685147254, 05/07/22</t>
  </si>
  <si>
    <t>se compro mercaderia FUD, segun factura #4870007994, 05/07/22</t>
  </si>
  <si>
    <t>se compro mercadera de especies, segun comprobante No.37, 06/07/22</t>
  </si>
  <si>
    <t>se compro mercaderia la bonita, segun factura  1790723193, 08/07/22</t>
  </si>
  <si>
    <t>se compro mercaderia maravilla, segun factuar #232672916, 11/07/22</t>
  </si>
  <si>
    <t>se compro mercaderia bimbo, segun factura #118627328, 11/07/22</t>
  </si>
  <si>
    <t>se compro mercaderia Lala, segun factura #590431212, 11/07/22</t>
  </si>
  <si>
    <t>se compro mercaderia bimbo, segun factura #1785876393, 12/07/22</t>
  </si>
  <si>
    <t>se compro mercaderia FUD, segun factura #4870008123, 12/07/22</t>
  </si>
  <si>
    <t>se compro mercaderia la bonita, segun factura #165039994, 14/07/22</t>
  </si>
  <si>
    <t>se compro mercaderia senorsa, segun factura #2788838370, 14/07/22</t>
  </si>
  <si>
    <t>se compro mercaderia comabsa, segun factura #1919436083, 14/07/22</t>
  </si>
  <si>
    <t>se compro mercaderia  de especies, segun comprobante No43, 15/07/22</t>
  </si>
  <si>
    <t>se compro mercaderia maravilla, segun factura #152626942176, 18/07/22</t>
  </si>
  <si>
    <t>se compro mercaderia Lala, segun factura #1913210238, 18/07/22</t>
  </si>
  <si>
    <t>se compro mercaderia bimbo, segun factura #118315135, 18/07/22</t>
  </si>
  <si>
    <t>se compro mercaderia bimbo, segun factura #3641789758, 19/07/22</t>
  </si>
  <si>
    <t>se compro mercaderia FUD, segun factura #4870008259, 19/07/22</t>
  </si>
  <si>
    <t>se compro mercaderia la bonita, segun factura #2634631399, 22/07/22</t>
  </si>
  <si>
    <t>se compro mercaderia inprolacsa, segun factura #115098548, 23/07/22</t>
  </si>
  <si>
    <t>se compro mercaderia maravilla, segun factura #1750876643, 25/07/22</t>
  </si>
  <si>
    <t>se compro mercaderia de especies, segun comprobante 45, 25/07/22</t>
  </si>
  <si>
    <t>se compro mercaderia bimbo, segun comprobante 388648788, 25/07/22</t>
  </si>
  <si>
    <t>se compro mercaderia lala, segun factura #2364818281, 25/07/22</t>
  </si>
  <si>
    <t>se compro mercaderia bimbo, segun factura #2255506947, 26/07/22</t>
  </si>
  <si>
    <t>se compro mercaderia fud, segun factura #4870008394, 26/07/22</t>
  </si>
  <si>
    <t>se compro mercaderia de especies, segun comprobante 46, 27/07/22</t>
  </si>
  <si>
    <t>se compro mercaderia milpas altas, segun factura #2576239027, 27/07/22</t>
  </si>
  <si>
    <t>se compro mercaderia comabsa, segun factura #1807173472, 28/07/22</t>
  </si>
  <si>
    <t>se compro mercaderia tropic, segun factura #3023521277, 28/07/22</t>
  </si>
  <si>
    <t>se compro mercaderia senorsa, segun factura #3776463763, 28/07/22</t>
  </si>
  <si>
    <t>se compro mercaderia la bonita, segun factura #245252907, 29/07/22</t>
  </si>
  <si>
    <t>pago del personal de trabajo , 31/07/22</t>
  </si>
  <si>
    <t>pago del personal del bono 14 , 31/07/22</t>
  </si>
  <si>
    <t>ventas brutas durante el mes , 31/07/22</t>
  </si>
  <si>
    <t>compras pagadas con tarjeta , 31/07/22</t>
  </si>
  <si>
    <t>gastos varios durante el mes, 31/07/22</t>
  </si>
  <si>
    <t>pago mensual de energia electrica , 31/07/22</t>
  </si>
  <si>
    <t>compra de mercaderia a fabrica de productos alimenticios Rene, segun factura #612325791, 30/07/22</t>
  </si>
  <si>
    <t>compra de mercaderia de golosinas, segun comprobante, 30/07/22</t>
  </si>
  <si>
    <t>compra de mercaderia a distribuidora guayacan, segun factura #4110369393, 28/07/22</t>
  </si>
  <si>
    <t>se compro mercaderia a distribuidora Sagitario, segun factura #938493410, 29/07/22</t>
  </si>
  <si>
    <t>se compro mercaderia  Idealsa, segun factura #1900953652, 27/07/22</t>
  </si>
  <si>
    <t>se compro mercaderia a bodega farmaceutica, segun factura #4118628453, 28/07/22</t>
  </si>
  <si>
    <t>se compro 15 unidades de arroz blanco, segun comprobante, 28/07/22</t>
  </si>
  <si>
    <t>se compro mercaderia de leche segun comprobante, 28/07/22</t>
  </si>
  <si>
    <t>se compro mercaderia a distribuidora el campesino, segun factura #174408515, 27/07/22</t>
  </si>
  <si>
    <t>se compro mercaderia a grupo palmas, segun factura #1658915624, 25/07/22</t>
  </si>
  <si>
    <t>se compro mercaderia a distribuidora Acsa, segun factura #1932610639, 28/07/22</t>
  </si>
  <si>
    <t>se compro mercaderia a distribuidora proyalsa, segun factura #2703312616, 27/07/22</t>
  </si>
  <si>
    <t>se compro mercaderia bocadeli, segun factura #1890799428, 27/07/22</t>
  </si>
  <si>
    <t>se compro mercaderia a corporacion Gama de Occidente, segun factura #3835643014, 27/07/22</t>
  </si>
  <si>
    <t>se compro mercaderia a distribuidora de licores,  segun factura #3823586859, 28/07/22</t>
  </si>
  <si>
    <t>se compro mercaderia Nestle, segun factura #968641225, 27/07/22</t>
  </si>
  <si>
    <t>se compro mercaderia a comercializadora los volcanes, segun factura #3603317835, 27/07/22</t>
  </si>
  <si>
    <t>se compro mercaderia a distribuidora las mariposas, segun factura #1076185112, 27/07/22</t>
  </si>
  <si>
    <t>se compro mercaderia a distribuidora sagitario, segun factura #3774106547, 27/07/22</t>
  </si>
  <si>
    <t>se compro mercaderia a distribuidora Yani, segun factura #46634, 26/07/22</t>
  </si>
  <si>
    <t>se compro mercaderia Ninoshka, segun factura #1550795964, 22/07/22</t>
  </si>
  <si>
    <t>se compro mercaderia a distribuidora la bendicion de Dios, segun factura #350855, 21/07/22</t>
  </si>
  <si>
    <t>compra de mercaderia la popular, segun factura #2315602512, 23/07/22</t>
  </si>
  <si>
    <t>se compro mercaderia a grupo palmas costa sur, segun factura #1658607125, 21/07/22</t>
  </si>
  <si>
    <t>se compro mercaderia Codisa, segun factura #1824213674, 23/07/22</t>
  </si>
  <si>
    <t>se compro mercaderia  a distribuidora me llega , 22/07/22</t>
  </si>
  <si>
    <t>se compro mercaderia  a alimentos  nutrica, segun factura #3025487127, 19/07/22</t>
  </si>
  <si>
    <t>se compro mercaderia Inasa, segun factura #4150283431, 20/07/22</t>
  </si>
  <si>
    <t>se compro mercaderia a distribuidora sagitario, segun factura #2122270242, 22/07/22</t>
  </si>
  <si>
    <t>se compro mercaderia  Idealsa, segun factura #3654307217, 20/07/22</t>
  </si>
  <si>
    <t>se compro mercaderia a bodega farmaceutica, segun factura #3555411281, 21/07/22</t>
  </si>
  <si>
    <t>Se compro mercaderia bocadeli, segun factura #2819571894, 20/07/22</t>
  </si>
  <si>
    <t>se compro mercaderia Proyalsa, segun factura #2091336337, 21/07/22</t>
  </si>
  <si>
    <t>se compro mercaderia Dacema, segun factura #1397902013, 13/07/22</t>
  </si>
  <si>
    <t>se compro mercaderia a fabrica de productos alimenticios Rene, segun factura#603120298, 21/07/22</t>
  </si>
  <si>
    <t>se compro mercaderia a corporacion gama de occidente, segun factura #1774602826, 20/07/22</t>
  </si>
  <si>
    <t>se compro mercaderia Nestle, segun factura #501629246, 20/07/22</t>
  </si>
  <si>
    <t>se compro mercaderia de golosinas segun comprobante, 20/07/22</t>
  </si>
  <si>
    <t>se compro mercaderia  a bodega farmaceutica, segun factura #3666300469, 19/07/22</t>
  </si>
  <si>
    <t>se compro mercaderia Pepsi, segun comprobante, 19/07/22</t>
  </si>
  <si>
    <t>se compro mercaderia  a comercializadora los volcanes, segun factura #2138393177, 20/07/22</t>
  </si>
  <si>
    <t>se compro mercaderia de shampoo segun comprobante, 20/07/22</t>
  </si>
  <si>
    <t>se compro mercaderia a distribuidora Dilacsa, segun factura #1579370060, 18/07/22</t>
  </si>
  <si>
    <t>se compro mercaderia a distribuidora sagitario, segun factura #1374962934, 19/07/22</t>
  </si>
  <si>
    <t>se compro mercaderia Maxa, segun comprobante, 19/07/22</t>
  </si>
  <si>
    <t>se compro mercaderia a distribuidora la bendicion, segun factura #1114915257, 18/07/22</t>
  </si>
  <si>
    <t>Se compro mercaderia   a Grupo palmas, segun factura #1658042986, 14/07/22</t>
  </si>
  <si>
    <t>se compro mercaderia a corporacion de instantaneos san isabel, segun factura #4029694860, 18/07/22</t>
  </si>
  <si>
    <t>se compro mercaderia a fabrica de productos alimenticios Rene, segun factura#612325415, 16/07/22</t>
  </si>
  <si>
    <t>se compro mercaderia a distribuciones MyL segun factura #2487, 07/07/22</t>
  </si>
  <si>
    <t>se compro mercaderia a distribuidora la Uva, segun factura #974538683, 13/07/22</t>
  </si>
  <si>
    <t>se cómpro mercaderia a distribuidora Guayacan , segun factura #2660059748, 14/07/22</t>
  </si>
  <si>
    <t>se compro mercaderia Idealsa, segun factura #943472924, 13/07/22</t>
  </si>
  <si>
    <t>se compro mercaderia a industrias la popular, segun factura #2393525555, 13/07/22</t>
  </si>
  <si>
    <t>se compro mercaderia a corporacion Gama, segun factura #3618783455, 13/07/22</t>
  </si>
  <si>
    <t>se compro mercaderia a distribuidora el campesino, segun factura #837371082, 13/07/22</t>
  </si>
  <si>
    <t>se compro mercaderia a grupo palmas, segun factura #1657724607, 11/07/22</t>
  </si>
  <si>
    <t>se compro mercaderia bocadeli, segun factura #2239711319, 13/07/22</t>
  </si>
  <si>
    <t>se compro mercaderia  a distribuidora proyalsa, segun factura #1233930156, 13/07/22</t>
  </si>
  <si>
    <t>se compro mercaderia a distribuidora de licores, segun factura #3876472592, 14/07/22</t>
  </si>
  <si>
    <t>se compro mercaderia a comercializadora los volcanes, segun factura #1521698507, 13/07/22</t>
  </si>
  <si>
    <t>se compro mercaderia pepsi, segun comprobante, 13/07/22</t>
  </si>
  <si>
    <t>se compro mercaderia Nestle, segun factura #3594601709, 13/07/22</t>
  </si>
  <si>
    <t>se compro mercaderia a distribuidora la bendicion de Dio, segun factura #344851, 08/07/22</t>
  </si>
  <si>
    <t>se compro mercaderia Codisa, segun factura #3066776152, 09/07/22</t>
  </si>
  <si>
    <t>se compro mercaderia me llega, segun factura #3416998241, 08/07/22</t>
  </si>
  <si>
    <t>se compro mercaderia  a distribuidora sagitario, segun factura #2446083482, 08/07/22</t>
  </si>
  <si>
    <t>se compro mercaderia  a distribuidora dilacsa, segun factura #934494250, 07/07/22</t>
  </si>
  <si>
    <t>se compro mercaderia Inasa, segun factura #3495577575, 06/07/22</t>
  </si>
  <si>
    <t>se compro mercaderia  a corporacion Gama, segun factura #3994041525, 06/07/22</t>
  </si>
  <si>
    <t>se compro mercaderia a bodega farmaceutica, segun factura #716263307, 07/07/22</t>
  </si>
  <si>
    <t>se compro mercaderia de desodorante, segun factura #19325, 07/07/22</t>
  </si>
  <si>
    <t>se compro mercaderia  Idealsa, segun factura #2177911124, 06/07/22</t>
  </si>
  <si>
    <t>se compro mercaderia  de cafe quetzal, segun factura #1073302970, 07/07/22</t>
  </si>
  <si>
    <t>se compro mercaderia bocadeli segun factura #3551283236, 06/07/22</t>
  </si>
  <si>
    <t>se compro mercaderia de productos desechables, segun comprobante, 07/07/22</t>
  </si>
  <si>
    <t>se compro mercaderia a distribuidora proyalsa segun factura #1792560405, 06/07/22</t>
  </si>
  <si>
    <t>se compro mercaderia a distribuidora de licores, segun factura #363678622, 07/07/22</t>
  </si>
  <si>
    <t>se compro mercaderia a comercializadora la casa del dulce, segun factura #1765362800, 02/07/22</t>
  </si>
  <si>
    <t>se compro mercaderia a distribuidora yani, segun factura #44390, 05/07/22</t>
  </si>
  <si>
    <t>se compro mercaderia Nestle, segun factura #2865186131, 06/07/22</t>
  </si>
  <si>
    <t>se compro mercaderia a  bodega farmaceutica, segun factura#1010977955, 06/07/22</t>
  </si>
  <si>
    <t>se compro mercaderia de golosinas segun comprobante, 06/07/22</t>
  </si>
  <si>
    <t>se compro mercaderia a distribuidora las mariposas, segun factura #4136584495, 06/07/22</t>
  </si>
  <si>
    <t>se compro mercaderia a comercializadora los volcanes segun factura #3542763133, 06/07/22</t>
  </si>
  <si>
    <t>se compro mercaderia a distribuidora Maxa, segun comprobante, 05/07/22</t>
  </si>
  <si>
    <t>se compro mercaderia a distribuidora  sagitario, segun factura #360337187, 05/07/22</t>
  </si>
  <si>
    <t>se compro mercaderia  a distribuidora guayacan segun factura #1052655910, 01/07/22</t>
  </si>
  <si>
    <t>se compro mercaderia  a distribuidora Cogua, segun factura #2428651088, 01/07/22</t>
  </si>
  <si>
    <t>2022</t>
  </si>
  <si>
    <t>ene</t>
  </si>
  <si>
    <t>feb</t>
  </si>
  <si>
    <t>mar</t>
  </si>
  <si>
    <t>jun</t>
  </si>
  <si>
    <t>jul</t>
  </si>
  <si>
    <t>Empresa 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</si>
</sst>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440A]* #,##0.00_ ;_-[$$-440A]* \-#,##0.00\ ;_-[$$-440A]* &quot;-&quot;??_ ;_-@_ "/>
    <numFmt numFmtId="166" formatCode="_-[$$-440A]* #,##0.00_-;\-[$$-440A]* #,##0.00_-;_-[$$-440A]* &quot;-&quot;??_-;_-@_-"/>
  </numFmts>
  <fonts count="30" x14ac:knownFonts="1">
    <font>
      <sz val="11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b/>
      <sz val="14"/>
      <color theme="0"/>
      <name val="Century Gothic"/>
      <family val="2"/>
      <scheme val="minor"/>
    </font>
    <font>
      <sz val="14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ajor"/>
    </font>
    <font>
      <sz val="11"/>
      <color theme="1"/>
      <name val="Century Gothic"/>
      <family val="2"/>
      <scheme val="minor"/>
    </font>
    <font>
      <b/>
      <sz val="18"/>
      <color theme="1"/>
      <name val="Arial Black"/>
      <family val="2"/>
    </font>
    <font>
      <b/>
      <sz val="12"/>
      <color theme="1"/>
      <name val="Century Gothic"/>
      <family val="2"/>
      <scheme val="minor"/>
    </font>
    <font>
      <b/>
      <sz val="11"/>
      <color theme="1"/>
      <name val="Arial Black"/>
      <family val="2"/>
    </font>
    <font>
      <b/>
      <sz val="11"/>
      <color rgb="FFC00000"/>
      <name val="Arial Black"/>
      <family val="2"/>
    </font>
    <font>
      <b/>
      <sz val="11"/>
      <color rgb="FF002060"/>
      <name val="Arial Black"/>
      <family val="2"/>
    </font>
    <font>
      <sz val="10"/>
      <color theme="1"/>
      <name val="Segoe UI"/>
      <family val="2"/>
    </font>
    <font>
      <b/>
      <sz val="30"/>
      <color theme="1"/>
      <name val="Segoe UI"/>
      <family val="2"/>
    </font>
    <font>
      <sz val="12"/>
      <color theme="1"/>
      <name val="Century Gothic"/>
      <family val="2"/>
      <scheme val="minor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  <font>
      <b/>
      <sz val="11"/>
      <color theme="0"/>
      <name val="Calibri"/>
      <family val="2"/>
    </font>
    <font>
      <b/>
      <sz val="18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</font>
    <font>
      <b/>
      <sz val="10"/>
      <color rgb="FFC00000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6" fillId="0" borderId="0" xfId="0" applyFont="1"/>
    <xf numFmtId="165" fontId="6" fillId="0" borderId="0" xfId="0" applyNumberFormat="1" applyFont="1"/>
    <xf numFmtId="0" fontId="6" fillId="0" borderId="0" xfId="0" applyFont="1" applyAlignment="1">
      <alignment horizontal="center"/>
    </xf>
    <xf numFmtId="15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4" fontId="2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4" xfId="0" applyNumberFormat="1" applyBorder="1"/>
    <xf numFmtId="0" fontId="0" fillId="0" borderId="3" xfId="0" applyBorder="1" applyAlignment="1">
      <alignment horizontal="right"/>
    </xf>
    <xf numFmtId="165" fontId="0" fillId="0" borderId="3" xfId="0" applyNumberFormat="1" applyBorder="1"/>
    <xf numFmtId="165" fontId="5" fillId="0" borderId="0" xfId="0" applyNumberFormat="1" applyFont="1"/>
    <xf numFmtId="165" fontId="10" fillId="0" borderId="0" xfId="0" applyNumberFormat="1" applyFont="1" applyAlignment="1">
      <alignment horizontal="center"/>
    </xf>
    <xf numFmtId="0" fontId="0" fillId="0" borderId="0" xfId="0" applyAlignment="1" applyProtection="1">
      <alignment vertical="center"/>
      <protection locked="0"/>
    </xf>
    <xf numFmtId="15" fontId="0" fillId="0" borderId="0" xfId="0" applyNumberFormat="1" applyAlignment="1" applyProtection="1">
      <alignment horizontal="center" vertical="center"/>
      <protection locked="0"/>
    </xf>
    <xf numFmtId="1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/>
    <xf numFmtId="0" fontId="6" fillId="3" borderId="0" xfId="0" applyFont="1" applyFill="1"/>
    <xf numFmtId="165" fontId="0" fillId="3" borderId="0" xfId="0" applyNumberFormat="1" applyFill="1"/>
    <xf numFmtId="0" fontId="0" fillId="3" borderId="0" xfId="0" applyFill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3" borderId="0" xfId="0" applyFill="1" applyAlignment="1" applyProtection="1">
      <alignment vertical="center"/>
      <protection locked="0"/>
    </xf>
    <xf numFmtId="15" fontId="0" fillId="3" borderId="0" xfId="0" applyNumberFormat="1" applyFill="1" applyAlignment="1" applyProtection="1">
      <alignment horizontal="center" vertical="center"/>
      <protection locked="0"/>
    </xf>
    <xf numFmtId="15" fontId="0" fillId="3" borderId="0" xfId="0" applyNumberForma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5" fontId="1" fillId="3" borderId="0" xfId="0" applyNumberFormat="1" applyFont="1" applyFill="1" applyAlignment="1" applyProtection="1">
      <alignment vertical="center"/>
      <protection locked="0"/>
    </xf>
    <xf numFmtId="15" fontId="1" fillId="3" borderId="0" xfId="0" applyNumberFormat="1" applyFont="1" applyFill="1" applyAlignment="1" applyProtection="1">
      <alignment horizontal="left" vertical="center"/>
      <protection locked="0"/>
    </xf>
    <xf numFmtId="166" fontId="3" fillId="3" borderId="0" xfId="0" applyNumberFormat="1" applyFont="1" applyFill="1" applyAlignment="1" applyProtection="1">
      <alignment horizontal="center" vertical="center"/>
      <protection locked="0"/>
    </xf>
    <xf numFmtId="166" fontId="3" fillId="0" borderId="0" xfId="0" applyNumberFormat="1" applyFont="1" applyAlignment="1" applyProtection="1">
      <alignment horizontal="center" vertical="center"/>
      <protection locked="0"/>
    </xf>
    <xf numFmtId="15" fontId="14" fillId="3" borderId="0" xfId="0" applyNumberFormat="1" applyFont="1" applyFill="1" applyAlignment="1" applyProtection="1">
      <alignment horizontal="left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17" fillId="3" borderId="0" xfId="0" applyFont="1" applyFill="1"/>
    <xf numFmtId="0" fontId="17" fillId="0" borderId="0" xfId="0" applyFont="1" applyFill="1" applyAlignment="1">
      <alignment vertical="center"/>
    </xf>
    <xf numFmtId="0" fontId="16" fillId="0" borderId="0" xfId="0" pivotButton="1" applyFont="1" applyAlignment="1">
      <alignment horizontal="right"/>
    </xf>
    <xf numFmtId="0" fontId="18" fillId="0" borderId="0" xfId="0" applyFont="1" applyAlignment="1">
      <alignment horizontal="left"/>
    </xf>
    <xf numFmtId="0" fontId="17" fillId="0" borderId="0" xfId="0" pivotButton="1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/>
    </xf>
    <xf numFmtId="15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indent="1"/>
    </xf>
    <xf numFmtId="0" fontId="17" fillId="0" borderId="0" xfId="0" applyFont="1" applyFill="1"/>
    <xf numFmtId="0" fontId="21" fillId="0" borderId="0" xfId="0" pivotButton="1" applyFont="1" applyAlignment="1">
      <alignment horizontal="right"/>
    </xf>
    <xf numFmtId="0" fontId="22" fillId="3" borderId="0" xfId="0" applyFont="1" applyFill="1" applyAlignment="1">
      <alignment vertical="center"/>
    </xf>
    <xf numFmtId="0" fontId="22" fillId="3" borderId="0" xfId="0" applyFont="1" applyFill="1"/>
    <xf numFmtId="0" fontId="23" fillId="3" borderId="0" xfId="0" applyFont="1" applyFill="1" applyAlignment="1">
      <alignment horizontal="right"/>
    </xf>
    <xf numFmtId="0" fontId="17" fillId="8" borderId="0" xfId="0" applyFont="1" applyFill="1"/>
    <xf numFmtId="0" fontId="17" fillId="0" borderId="0" xfId="0" pivotButton="1" applyFont="1"/>
    <xf numFmtId="0" fontId="17" fillId="0" borderId="0" xfId="0" applyFont="1" applyAlignment="1">
      <alignment horizontal="left" indent="2"/>
    </xf>
    <xf numFmtId="0" fontId="17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/>
      <protection hidden="1"/>
    </xf>
    <xf numFmtId="0" fontId="26" fillId="0" borderId="1" xfId="0" applyFont="1" applyBorder="1" applyAlignment="1" applyProtection="1">
      <alignment horizontal="center"/>
      <protection locked="0"/>
    </xf>
    <xf numFmtId="0" fontId="27" fillId="0" borderId="0" xfId="0" applyFont="1" applyProtection="1">
      <protection hidden="1"/>
    </xf>
    <xf numFmtId="164" fontId="28" fillId="0" borderId="0" xfId="0" applyNumberFormat="1" applyFont="1" applyProtection="1">
      <protection hidden="1"/>
    </xf>
    <xf numFmtId="0" fontId="29" fillId="0" borderId="0" xfId="0" applyFont="1" applyAlignment="1" applyProtection="1">
      <alignment horizontal="center"/>
      <protection locked="0"/>
    </xf>
    <xf numFmtId="164" fontId="29" fillId="0" borderId="0" xfId="0" applyNumberFormat="1" applyFont="1" applyProtection="1">
      <protection locked="0"/>
    </xf>
    <xf numFmtId="0" fontId="29" fillId="0" borderId="0" xfId="0" applyFont="1" applyAlignment="1" applyProtection="1">
      <alignment horizontal="center"/>
    </xf>
    <xf numFmtId="164" fontId="29" fillId="0" borderId="0" xfId="0" applyNumberFormat="1" applyFont="1" applyProtection="1"/>
    <xf numFmtId="0" fontId="17" fillId="0" borderId="0" xfId="0" applyFont="1" applyProtection="1"/>
    <xf numFmtId="0" fontId="17" fillId="0" borderId="0" xfId="0" applyFont="1" applyAlignment="1" applyProtection="1">
      <alignment horizontal="center"/>
    </xf>
    <xf numFmtId="0" fontId="20" fillId="7" borderId="3" xfId="0" applyFont="1" applyFill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3" xfId="0" applyFont="1" applyBorder="1" applyProtection="1">
      <protection hidden="1"/>
    </xf>
    <xf numFmtId="0" fontId="17" fillId="0" borderId="0" xfId="0" applyFont="1" applyProtection="1">
      <protection hidden="1"/>
    </xf>
    <xf numFmtId="0" fontId="20" fillId="6" borderId="6" xfId="0" applyFont="1" applyFill="1" applyBorder="1" applyProtection="1">
      <protection hidden="1"/>
    </xf>
    <xf numFmtId="0" fontId="18" fillId="0" borderId="0" xfId="0" applyFont="1" applyProtection="1">
      <protection hidden="1"/>
    </xf>
    <xf numFmtId="0" fontId="18" fillId="5" borderId="7" xfId="0" applyFont="1" applyFill="1" applyBorder="1" applyProtection="1">
      <protection hidden="1"/>
    </xf>
    <xf numFmtId="44" fontId="0" fillId="3" borderId="0" xfId="0" applyNumberFormat="1" applyFill="1" applyAlignment="1" applyProtection="1">
      <alignment vertical="center"/>
      <protection locked="0"/>
    </xf>
    <xf numFmtId="44" fontId="15" fillId="3" borderId="0" xfId="0" applyNumberFormat="1" applyFont="1" applyFill="1" applyAlignment="1" applyProtection="1">
      <alignment vertical="center"/>
      <protection locked="0"/>
    </xf>
    <xf numFmtId="44" fontId="1" fillId="3" borderId="0" xfId="0" applyNumberFormat="1" applyFont="1" applyFill="1" applyAlignment="1" applyProtection="1">
      <alignment vertical="center"/>
      <protection locked="0"/>
    </xf>
    <xf numFmtId="44" fontId="0" fillId="0" borderId="0" xfId="0" applyNumberFormat="1" applyAlignment="1" applyProtection="1">
      <alignment vertical="center"/>
      <protection locked="0"/>
    </xf>
    <xf numFmtId="44" fontId="17" fillId="0" borderId="0" xfId="0" applyNumberFormat="1" applyFont="1"/>
    <xf numFmtId="44" fontId="17" fillId="0" borderId="3" xfId="1" applyNumberFormat="1" applyFont="1" applyBorder="1" applyProtection="1">
      <protection hidden="1"/>
    </xf>
    <xf numFmtId="44" fontId="20" fillId="6" borderId="6" xfId="0" applyNumberFormat="1" applyFont="1" applyFill="1" applyBorder="1" applyProtection="1">
      <protection hidden="1"/>
    </xf>
    <xf numFmtId="44" fontId="18" fillId="0" borderId="0" xfId="0" applyNumberFormat="1" applyFont="1" applyProtection="1">
      <protection hidden="1"/>
    </xf>
    <xf numFmtId="44" fontId="18" fillId="5" borderId="7" xfId="0" applyNumberFormat="1" applyFont="1" applyFill="1" applyBorder="1" applyProtection="1">
      <protection hidden="1"/>
    </xf>
    <xf numFmtId="44" fontId="0" fillId="0" borderId="3" xfId="0" applyNumberFormat="1" applyBorder="1"/>
    <xf numFmtId="44" fontId="0" fillId="0" borderId="4" xfId="0" applyNumberFormat="1" applyBorder="1"/>
    <xf numFmtId="44" fontId="12" fillId="0" borderId="5" xfId="0" applyNumberFormat="1" applyFont="1" applyBorder="1"/>
    <xf numFmtId="44" fontId="5" fillId="0" borderId="0" xfId="0" applyNumberFormat="1" applyFont="1"/>
    <xf numFmtId="44" fontId="12" fillId="0" borderId="5" xfId="0" applyNumberFormat="1" applyFont="1" applyBorder="1" applyProtection="1">
      <protection hidden="1"/>
    </xf>
    <xf numFmtId="44" fontId="10" fillId="0" borderId="0" xfId="0" applyNumberFormat="1" applyFont="1"/>
    <xf numFmtId="44" fontId="11" fillId="0" borderId="6" xfId="0" applyNumberFormat="1" applyFont="1" applyBorder="1" applyProtection="1">
      <protection hidden="1"/>
    </xf>
    <xf numFmtId="44" fontId="0" fillId="0" borderId="3" xfId="0" applyNumberForma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0" xfId="0" applyFont="1" applyAlignment="1">
      <alignment horizontal="center" wrapText="1"/>
    </xf>
    <xf numFmtId="0" fontId="13" fillId="0" borderId="14" xfId="0" applyFont="1" applyBorder="1" applyAlignment="1">
      <alignment horizontal="center" wrapText="1"/>
    </xf>
    <xf numFmtId="0" fontId="13" fillId="0" borderId="15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3" fillId="0" borderId="17" xfId="0" applyFont="1" applyBorder="1" applyAlignment="1">
      <alignment horizontal="center" wrapText="1"/>
    </xf>
    <xf numFmtId="44" fontId="13" fillId="8" borderId="0" xfId="0" applyNumberFormat="1" applyFont="1" applyFill="1" applyAlignment="1" applyProtection="1">
      <alignment horizontal="left" vertical="center" wrapText="1"/>
      <protection locked="0"/>
    </xf>
    <xf numFmtId="0" fontId="17" fillId="8" borderId="0" xfId="0" applyFont="1" applyFill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6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165" fontId="12" fillId="0" borderId="5" xfId="0" applyNumberFormat="1" applyFont="1" applyBorder="1" applyAlignment="1">
      <alignment horizontal="center"/>
    </xf>
    <xf numFmtId="165" fontId="11" fillId="0" borderId="5" xfId="0" applyNumberFormat="1" applyFont="1" applyBorder="1" applyAlignment="1" applyProtection="1">
      <alignment horizontal="center"/>
      <protection hidden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center"/>
      <protection locked="0"/>
    </xf>
  </cellXfs>
  <cellStyles count="2">
    <cellStyle name="Moneda" xfId="1" builtinId="4"/>
    <cellStyle name="Normal" xfId="0" builtinId="0"/>
  </cellStyles>
  <dxfs count="128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14"/>
      </font>
    </dxf>
    <dxf>
      <font>
        <name val="Montserrat"/>
        <scheme val="none"/>
      </font>
    </dxf>
    <dxf>
      <font>
        <b/>
      </font>
    </dxf>
    <dxf>
      <font>
        <sz val="14"/>
      </font>
    </dxf>
    <dxf>
      <font>
        <name val="Montserrat"/>
        <scheme val="none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14"/>
      </font>
    </dxf>
    <dxf>
      <font>
        <b/>
      </font>
    </dxf>
    <dxf>
      <alignment horizontal="right" readingOrder="0"/>
    </dxf>
    <dxf>
      <font>
        <b/>
      </font>
    </dxf>
    <dxf>
      <font>
        <sz val="14"/>
      </font>
    </dxf>
    <dxf>
      <alignment horizontal="right" readingOrder="0"/>
    </dxf>
    <dxf>
      <font>
        <sz val="14"/>
      </font>
    </dxf>
    <dxf>
      <font>
        <b/>
      </font>
    </dxf>
    <dxf>
      <alignment horizontal="right" readingOrder="0"/>
    </dxf>
    <dxf>
      <font>
        <sz val="14"/>
      </font>
    </dxf>
    <dxf>
      <alignment horizontal="right" readingOrder="0"/>
    </dxf>
    <dxf>
      <font>
        <b/>
      </font>
    </dxf>
    <dxf>
      <alignment horizontal="center" readingOrder="0"/>
    </dxf>
    <dxf>
      <font>
        <sz val="18"/>
      </font>
    </dxf>
    <dxf>
      <font>
        <sz val="12"/>
      </font>
    </dxf>
    <dxf>
      <font>
        <sz val="18"/>
      </font>
    </dxf>
    <dxf>
      <font>
        <b/>
      </font>
    </dxf>
    <dxf>
      <alignment horizontal="center" readingOrder="0"/>
    </dxf>
    <dxf>
      <font>
        <b/>
      </font>
    </dxf>
    <dxf>
      <font>
        <sz val="16"/>
      </font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(&quot;$&quot;* #,##0.00_);_(&quot;$&quot;* \(#,##0.00\);_(&quot;$&quot;* &quot;-&quot;??_);_(@_)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sz val="14"/>
      </font>
    </dxf>
    <dxf>
      <alignment horizontal="center"/>
    </dxf>
    <dxf>
      <font>
        <name val="Segoe UI"/>
        <scheme val="none"/>
      </font>
    </dxf>
    <dxf>
      <font>
        <b/>
      </font>
    </dxf>
    <dxf>
      <font>
        <sz val="14"/>
      </font>
    </dxf>
    <dxf>
      <alignment horizontal="center"/>
    </dxf>
    <dxf>
      <font>
        <name val="Montserrat"/>
        <scheme val="none"/>
      </font>
    </dxf>
    <dxf>
      <font>
        <b/>
      </font>
    </dxf>
    <dxf>
      <font>
        <sz val="18"/>
      </font>
    </dxf>
    <dxf>
      <font>
        <sz val="18"/>
      </font>
    </dxf>
    <dxf>
      <font>
        <sz val="20"/>
      </font>
    </dxf>
    <dxf>
      <font>
        <b/>
      </font>
    </dxf>
    <dxf>
      <alignment horizontal="right" readingOrder="0"/>
    </dxf>
    <dxf>
      <numFmt numFmtId="34" formatCode="_(&quot;$&quot;* #,##0.00_);_(&quot;$&quot;* \(#,##0.00\);_(&quot;$&quot;* &quot;-&quot;??_);_(@_)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sz val="9"/>
      </font>
    </dxf>
    <dxf>
      <font>
        <b/>
      </font>
    </dxf>
    <dxf>
      <alignment horizontal="right"/>
    </dxf>
    <dxf>
      <font>
        <name val="Segoe UI"/>
        <scheme val="none"/>
      </font>
    </dxf>
    <dxf>
      <font>
        <b/>
      </font>
    </dxf>
    <dxf>
      <alignment horizontal="right"/>
    </dxf>
    <dxf>
      <font>
        <name val="Segoe UI"/>
        <scheme val="none"/>
      </font>
    </dxf>
    <dxf>
      <font>
        <b/>
      </font>
    </dxf>
    <dxf>
      <font>
        <b/>
      </font>
    </dxf>
    <dxf>
      <alignment horizontal="right" readingOrder="0"/>
    </dxf>
    <dxf>
      <font>
        <sz val="16"/>
      </font>
    </dxf>
    <dxf>
      <font>
        <b/>
        <i val="0"/>
        <color theme="0"/>
      </font>
      <fill>
        <patternFill>
          <bgColor theme="8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la dinámica 1" table="0" count="2" xr9:uid="{00000000-0011-0000-FFFF-FFFF00000000}">
      <tableStyleElement type="wholeTable" dxfId="127"/>
      <tableStyleElement type="headerRow" dxfId="126"/>
    </tableStyle>
  </tableStyles>
  <colors>
    <mruColors>
      <color rgb="FF00FF99"/>
      <color rgb="FF5CFE92"/>
      <color rgb="FF82F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SV"/>
              <a:t>GRAFICO COMPARATIVO INGRESOS VS GASTOS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S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ANALISIS!$A$11</c:f>
              <c:strCache>
                <c:ptCount val="1"/>
                <c:pt idx="0">
                  <c:v>INGRESO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ANALISIS!$B$10:$M$10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ANALISIS!$B$11:$M$11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C-4CE9-9B29-B5185EB909BE}"/>
            </c:ext>
          </c:extLst>
        </c:ser>
        <c:ser>
          <c:idx val="1"/>
          <c:order val="1"/>
          <c:tx>
            <c:strRef>
              <c:f>ANALISIS!$A$12</c:f>
              <c:strCache>
                <c:ptCount val="1"/>
                <c:pt idx="0">
                  <c:v>GASTOS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ANALISIS!$B$10:$M$10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ANALISIS!$B$12:$M$12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6C-4CE9-9B29-B5185EB9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68060200"/>
        <c:axId val="299419600"/>
      </c:barChart>
      <c:catAx>
        <c:axId val="468060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299419600"/>
        <c:crosses val="autoZero"/>
        <c:auto val="1"/>
        <c:lblAlgn val="ctr"/>
        <c:lblOffset val="100"/>
        <c:noMultiLvlLbl val="0"/>
      </c:catAx>
      <c:valAx>
        <c:axId val="2994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Ingresos y Gastos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4680602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GRAFICO DE DISPONIBILIDAD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ANALISIS!$A$15</c:f>
              <c:strCache>
                <c:ptCount val="1"/>
                <c:pt idx="0">
                  <c:v>SALDO DISPONIBLE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ANALISIS!$B$10:$M$10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ANALISIS!$B$15:$M$15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A-4C9C-A743-BD98807CC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99420776"/>
        <c:axId val="299421168"/>
      </c:barChart>
      <c:catAx>
        <c:axId val="29942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299421168"/>
        <c:crosses val="autoZero"/>
        <c:auto val="1"/>
        <c:lblAlgn val="ctr"/>
        <c:lblOffset val="100"/>
        <c:noMultiLvlLbl val="0"/>
      </c:catAx>
      <c:valAx>
        <c:axId val="2994211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SV"/>
                  <a:t>Ingresos y Gastos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2994207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4</xdr:row>
      <xdr:rowOff>95250</xdr:rowOff>
    </xdr:from>
    <xdr:to>
      <xdr:col>1</xdr:col>
      <xdr:colOff>682423</xdr:colOff>
      <xdr:row>6</xdr:row>
      <xdr:rowOff>179162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B104636A-C804-4A28-AEEA-237CF8E7EE98}"/>
            </a:ext>
          </a:extLst>
        </xdr:cNvPr>
        <xdr:cNvGrpSpPr/>
      </xdr:nvGrpSpPr>
      <xdr:grpSpPr>
        <a:xfrm>
          <a:off x="419100" y="273050"/>
          <a:ext cx="1093056" cy="795112"/>
          <a:chOff x="495300" y="266701"/>
          <a:chExt cx="996748" cy="560161"/>
        </a:xfrm>
      </xdr:grpSpPr>
      <xdr:pic macro="[0]!Formulario"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9853" y="266701"/>
            <a:ext cx="391602" cy="361950"/>
          </a:xfrm>
          <a:prstGeom prst="rect">
            <a:avLst/>
          </a:prstGeom>
        </xdr:spPr>
      </xdr:pic>
      <xdr:sp macro="" textlink="">
        <xdr:nvSpPr>
          <xdr:cNvPr id="2" name="CuadroTexto 1">
            <a:extLst>
              <a:ext uri="{FF2B5EF4-FFF2-40B4-BE49-F238E27FC236}">
                <a16:creationId xmlns:a16="http://schemas.microsoft.com/office/drawing/2014/main" id="{3DB93DA1-C876-44BE-93BF-F3A402D3FF77}"/>
              </a:ext>
            </a:extLst>
          </xdr:cNvPr>
          <xdr:cNvSpPr txBox="1"/>
        </xdr:nvSpPr>
        <xdr:spPr>
          <a:xfrm>
            <a:off x="495300" y="581025"/>
            <a:ext cx="996748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Ingresar nuevo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85725</xdr:rowOff>
    </xdr:from>
    <xdr:to>
      <xdr:col>13</xdr:col>
      <xdr:colOff>9525</xdr:colOff>
      <xdr:row>31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19050</xdr:rowOff>
    </xdr:from>
    <xdr:to>
      <xdr:col>13</xdr:col>
      <xdr:colOff>9525</xdr:colOff>
      <xdr:row>51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106543</xdr:colOff>
      <xdr:row>1</xdr:row>
      <xdr:rowOff>66676</xdr:rowOff>
    </xdr:from>
    <xdr:to>
      <xdr:col>12</xdr:col>
      <xdr:colOff>419100</xdr:colOff>
      <xdr:row>3</xdr:row>
      <xdr:rowOff>71967</xdr:rowOff>
    </xdr:to>
    <xdr:pic macro="[0]!Copyright">
      <xdr:nvPicPr>
        <xdr:cNvPr id="6" name="Imagen 5">
          <a:extLst>
            <a:ext uri="{FF2B5EF4-FFF2-40B4-BE49-F238E27FC236}">
              <a16:creationId xmlns:a16="http://schemas.microsoft.com/office/drawing/2014/main" id="{452DD9F1-1851-4D82-A374-327C80C93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7018" y="466726"/>
          <a:ext cx="1303157" cy="476249"/>
        </a:xfrm>
        <a:prstGeom prst="rect">
          <a:avLst/>
        </a:prstGeom>
      </xdr:spPr>
    </xdr:pic>
    <xdr:clientData fLocksWithSheet="0"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789.784912847223" createdVersion="6" refreshedVersion="6" minRefreshableVersion="3" recordCount="853" xr:uid="{00000000-000A-0000-FFFF-FFFFA7000000}">
  <cacheSource type="worksheet">
    <worksheetSource name="BaseDatos"/>
  </cacheSource>
  <cacheFields count="11">
    <cacheField name="Tipo Op" numFmtId="0">
      <sharedItems count="4">
        <s v="GASTOS"/>
        <s v="INGRESOS"/>
        <s v="Cuentas por Cobrar" u="1"/>
        <s v="INGRESO" u="1"/>
      </sharedItems>
    </cacheField>
    <cacheField name="Fecha" numFmtId="15">
      <sharedItems containsSemiMixedTypes="0" containsNonDate="0" containsDate="1" containsString="0" minDate="2022-01-03T00:00:00" maxDate="2022-08-01T00:00:00" count="181">
        <d v="2022-01-03T00:00:00"/>
        <d v="2022-01-04T00:00:00"/>
        <d v="2022-01-09T00:00:00"/>
        <d v="2022-01-10T00:00:00"/>
        <d v="2022-01-11T00:00:00"/>
        <d v="2022-01-13T00:00:00"/>
        <d v="2022-01-14T00:00:00"/>
        <d v="2022-01-15T00:00:00"/>
        <d v="2022-01-31T00:00:00"/>
        <d v="2022-01-17T00:00:00"/>
        <d v="2022-01-18T00:00:00"/>
        <d v="2022-01-20T00:00:00"/>
        <d v="2022-01-24T00:00:00"/>
        <d v="2022-01-25T00:00:00"/>
        <d v="2022-01-27T00:00:00"/>
        <d v="2022-01-29T00:00:00"/>
        <d v="2022-01-05T00:00:00"/>
        <d v="2022-01-06T00:00:00"/>
        <d v="2022-01-07T00:00:00"/>
        <d v="2022-01-08T00:00:00"/>
        <d v="2022-01-12T00:00:00"/>
        <d v="2022-01-19T00:00:00"/>
        <d v="2022-01-21T00:00:00"/>
        <d v="2022-01-22T00:00:00"/>
        <d v="2022-01-26T00:00:00"/>
        <d v="2022-01-28T00:00:00"/>
        <d v="2022-02-10T00:00:00"/>
        <d v="2022-02-08T00:00:00"/>
        <d v="2022-02-07T00:00:00"/>
        <d v="2022-02-01T00:00:00"/>
        <d v="2022-02-11T00:00:00"/>
        <d v="2022-02-12T00:00:00"/>
        <d v="2022-02-14T00:00:00"/>
        <d v="2022-02-15T00:00:00"/>
        <d v="2022-02-17T00:00:00"/>
        <d v="2022-02-18T00:00:00"/>
        <d v="2022-02-19T00:00:00"/>
        <d v="2022-02-21T00:00:00"/>
        <d v="2022-02-22T00:00:00"/>
        <d v="2022-02-24T00:00:00"/>
        <d v="2022-02-25T00:00:00"/>
        <d v="2022-02-26T00:00:00"/>
        <d v="2022-02-28T00:00:00"/>
        <d v="2022-02-23T00:00:00"/>
        <d v="2022-02-16T00:00:00"/>
        <d v="2022-02-09T00:00:00"/>
        <d v="2022-02-03T00:00:00"/>
        <d v="2022-02-04T00:00:00"/>
        <d v="2022-02-05T00:00:00"/>
        <d v="2022-02-02T00:00:00"/>
        <d v="2022-03-01T00:00:00"/>
        <d v="2022-03-04T00:00:00"/>
        <d v="2022-03-07T00:00:00"/>
        <d v="2022-03-08T00:00:00"/>
        <d v="2022-03-09T00:00:00"/>
        <d v="2022-03-10T00:00:00"/>
        <d v="2022-03-12T00:00:00"/>
        <d v="2022-03-14T00:00:00"/>
        <d v="2022-03-15T00:00:00"/>
        <d v="2022-03-19T00:00:00"/>
        <d v="2022-03-21T00:00:00"/>
        <d v="2022-03-22T00:00:00"/>
        <d v="2022-03-24T00:00:00"/>
        <d v="2022-03-28T00:00:00"/>
        <d v="2022-03-29T00:00:00"/>
        <d v="2022-03-31T00:00:00"/>
        <d v="2022-03-02T00:00:00"/>
        <d v="2022-03-03T00:00:00"/>
        <d v="2022-03-05T00:00:00"/>
        <d v="2022-03-11T00:00:00"/>
        <d v="2022-03-16T00:00:00"/>
        <d v="2022-03-17T00:00:00"/>
        <d v="2022-03-18T00:00:00"/>
        <d v="2022-03-23T00:00:00"/>
        <d v="2022-03-26T00:00:00"/>
        <d v="2022-03-25T00:00:00"/>
        <d v="2022-03-30T00:00:00"/>
        <d v="2022-04-04T00:00:00"/>
        <d v="2022-04-05T00:00:00"/>
        <d v="2022-04-07T00:00:00"/>
        <d v="2022-04-09T00:00:00"/>
        <d v="2022-04-11T00:00:00"/>
        <d v="2022-04-12T00:00:00"/>
        <d v="2022-04-02T00:00:00"/>
        <d v="2022-04-14T00:00:00"/>
        <d v="2022-04-13T00:00:00"/>
        <d v="2022-04-18T00:00:00"/>
        <d v="2022-04-19T00:00:00"/>
        <d v="2022-04-20T00:00:00"/>
        <d v="2022-04-21T00:00:00"/>
        <d v="2022-04-25T00:00:00"/>
        <d v="2022-04-26T00:00:00"/>
        <d v="2022-04-30T00:00:00"/>
        <d v="2022-04-08T00:00:00"/>
        <d v="2022-04-01T00:00:00"/>
        <d v="2022-04-03T00:00:00"/>
        <d v="2022-04-06T00:00:00"/>
        <d v="2022-04-10T00:00:00"/>
        <d v="2022-04-22T00:00:00"/>
        <d v="2022-04-23T00:00:00"/>
        <d v="2022-04-27T00:00:00"/>
        <d v="2022-04-28T00:00:00"/>
        <d v="2022-04-29T00:00:00"/>
        <d v="2022-05-02T00:00:00"/>
        <d v="2022-05-03T00:00:00"/>
        <d v="2022-05-05T00:00:00"/>
        <d v="2022-05-07T00:00:00"/>
        <d v="2022-05-09T00:00:00"/>
        <d v="2022-05-10T00:00:00"/>
        <d v="2022-05-12T00:00:00"/>
        <d v="2022-05-13T00:00:00"/>
        <d v="2022-05-16T00:00:00"/>
        <d v="2022-05-17T00:00:00"/>
        <d v="2022-05-18T00:00:00"/>
        <d v="2022-05-19T00:00:00"/>
        <d v="2022-05-23T00:00:00"/>
        <d v="2022-05-24T00:00:00"/>
        <d v="2022-05-26T00:00:00"/>
        <d v="2022-05-30T00:00:00"/>
        <d v="2022-05-31T00:00:00"/>
        <d v="2022-05-27T00:00:00"/>
        <d v="2022-05-28T00:00:00"/>
        <d v="2022-05-25T00:00:00"/>
        <d v="2022-05-14T00:00:00"/>
        <d v="2022-05-11T00:00:00"/>
        <d v="2022-05-04T00:00:00"/>
        <d v="2022-05-06T00:00:00"/>
        <d v="2022-05-01T00:00:00"/>
        <d v="2022-06-01T00:00:00"/>
        <d v="2022-06-02T00:00:00"/>
        <d v="2022-06-03T00:00:00"/>
        <d v="2022-06-06T00:00:00"/>
        <d v="2022-06-07T00:00:00"/>
        <d v="2022-06-10T00:00:00"/>
        <d v="2022-06-13T00:00:00"/>
        <d v="2022-06-14T00:00:00"/>
        <d v="2022-06-16T00:00:00"/>
        <d v="2022-06-17T00:00:00"/>
        <d v="2022-06-18T00:00:00"/>
        <d v="2022-06-20T00:00:00"/>
        <d v="2022-06-21T00:00:00"/>
        <d v="2022-06-23T00:00:00"/>
        <d v="2022-06-27T00:00:00"/>
        <d v="2022-06-28T00:00:00"/>
        <d v="2022-06-30T00:00:00"/>
        <d v="2022-06-29T00:00:00"/>
        <d v="2022-06-24T00:00:00"/>
        <d v="2022-06-25T00:00:00"/>
        <d v="2022-06-22T00:00:00"/>
        <d v="2022-06-15T00:00:00"/>
        <d v="2022-06-11T00:00:00"/>
        <d v="2022-06-08T00:00:00"/>
        <d v="2022-06-09T00:00:00"/>
        <d v="2022-06-04T00:00:00"/>
        <d v="2022-07-01T00:00:00"/>
        <d v="2022-07-02T00:00:00"/>
        <d v="2022-07-04T00:00:00"/>
        <d v="2022-07-05T00:00:00"/>
        <d v="2022-07-06T00:00:00"/>
        <d v="2022-07-08T00:00:00"/>
        <d v="2022-07-11T00:00:00"/>
        <d v="2022-07-12T00:00:00"/>
        <d v="2022-07-14T00:00:00"/>
        <d v="2022-07-15T00:00:00"/>
        <d v="2022-07-18T00:00:00"/>
        <d v="2022-07-19T00:00:00"/>
        <d v="2022-07-22T00:00:00"/>
        <d v="2022-07-23T00:00:00"/>
        <d v="2022-07-25T00:00:00"/>
        <d v="2022-07-26T00:00:00"/>
        <d v="2022-07-27T00:00:00"/>
        <d v="2022-07-28T00:00:00"/>
        <d v="2022-07-29T00:00:00"/>
        <d v="2022-07-31T00:00:00"/>
        <d v="2022-07-30T00:00:00"/>
        <d v="2022-07-21T00:00:00"/>
        <d v="2022-07-20T00:00:00"/>
        <d v="2022-07-13T00:00:00"/>
        <d v="2022-07-16T00:00:00"/>
        <d v="2022-07-07T00:00:00"/>
        <d v="2022-07-09T00:00:00"/>
      </sharedItems>
      <fieldGroup par="9" base="1">
        <rangePr groupBy="months" startDate="2022-01-03T00:00:00" endDate="2022-08-01T00:00:00"/>
        <groupItems count="14">
          <s v="&lt;03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8/2022"/>
        </groupItems>
      </fieldGroup>
    </cacheField>
    <cacheField name="Tipo de Ingreso/Gasto" numFmtId="15">
      <sharedItems count="84">
        <s v="Compras"/>
        <s v="Otros Gastos"/>
        <s v="sueldo de empleados"/>
        <s v="horas extras"/>
        <s v="Mejoras y Mantenimientos de Local"/>
        <s v="Venta de Productos"/>
        <s v="Gastos de Energía Eléctrica."/>
        <s v="Viaticos"/>
        <s v="Gastos en Compras"/>
        <s v="Ingreso Tarjeta de Credito"/>
        <s v="Gastos de Sueldos"/>
        <s v="Bono 14"/>
        <s v="Diezmos" u="1"/>
        <s v="Gastos  area pintura " u="1"/>
        <s v="Talonarios, Sobres y Recibos" u="1"/>
        <s v="Ingresos de Eventos" u="1"/>
        <s v="Grupos Oasis- El Boulevard 2" u="1"/>
        <s v="Grupos Oasis- Moscua Hno Marcos" u="1"/>
        <s v="Jeep Grand Cherokee" u="1"/>
        <s v="Talonarios, Sobres, Recibos y Papelería" u="1"/>
        <s v="Diezmos a iglesia local" u="1"/>
        <s v="Cuentas no Agregadas todavía" u="1"/>
        <s v="Gastos de Combustible" u="1"/>
        <s v="Escuelitas de niños" u="1"/>
        <s v="Grupos Oasis- Moscua  2" u="1"/>
        <s v="Arrendamientos" u="1"/>
        <s v="Devoluciones de Prestamos" u="1"/>
        <s v="Otros Ingresos" u="1"/>
        <s v="skoda yeti taller" u="1"/>
        <s v="Gurpo Oasis- Vallenuevo" u="1"/>
        <s v="Prestamos" u="1"/>
        <s v="Prestamos Otorgados" u="1"/>
        <s v="Grupos Oasis- El Mora" u="1"/>
        <s v="Grupos Oasis- La Playa" u="1"/>
        <s v="retiro dinero Ventas Desarmaduría" u="1"/>
        <s v="Grupos Oasis- Moscua  Hno Torres" u="1"/>
        <s v="AUDI A3" u="1"/>
        <s v="Grupos Oasis" u="1"/>
        <s v="Inscripciones" u="1"/>
        <s v="Ofrendas para Transporte" u="1"/>
        <s v="Insumos de Limpieza traller " u="1"/>
        <s v="Celebración de Cumpleaños" u="1"/>
        <s v="Banco de Alimentos " u="1"/>
        <s v="Grupos Oasis- El Ceibillo" u="1"/>
        <s v="Grupos Oasis- La Arenera 4" u="1"/>
        <s v="Grupos Oasis- El Boulevard 1" u="1"/>
        <s v="Ofrenda para El Pastor" u="1"/>
        <s v="Grupo Oasis-Peluqueria Nohemi" u="1"/>
        <s v="Gastos de Santa Cena" u="1"/>
        <s v="Atención a Pastores o Lideres" u="1"/>
        <s v="Mejoras y Mantenimientos de Iglesia" u="1"/>
        <s v="retiro dinero" u="1"/>
        <s v="Gastos de Papelería " u="1"/>
        <s v="Gastos area desarmaduria " u="1"/>
        <s v=" Mejoras y Mantenimientos de Local" u="1"/>
        <s v="Gastos de Eventos" u="1"/>
        <s v="Viáticos Directivos" u="1"/>
        <s v="Grupos Oasis- El Porvenir" u="1"/>
        <s v="Ofrendas" u="1"/>
        <s v="Fiesta de Niños" u="1"/>
        <s v="Ofrenda Voluntaria" u="1"/>
        <s v="Insumos de Limpieza" u="1"/>
        <s v="Gastos de transporte " u="1"/>
        <s v="Grupos Oasis- La ISLA" u="1"/>
        <s v="Gastos area mecanica " u="1"/>
        <s v="Gastos de Ministerio de Alabanza" u="1"/>
        <s v="Uniformes para servidores" u="1"/>
        <s v="Venta de Servicios" u="1"/>
        <s v="Grupos Oasis- El Caulote 1" u="1"/>
        <s v="Gastos de Capacitación" u="1"/>
        <s v="Diezmos de Filial el Mora" u="1"/>
        <s v="Gurpo Oasis- Jehová Jireh" u="1"/>
        <s v="Grupos Oasis- El Caulote 2" u="1"/>
        <s v="Grupos Oasis- San José" u="1"/>
        <s v="Grupos Oasis- Moscua Hno Torres" u="1"/>
        <s v="Ayudas y Donaciones" u="1"/>
        <s v="Grupos Oasis- San José 2" u="1"/>
        <s v="No hay registros ingresados" u="1"/>
        <s v="Faltante de Administración Anterior" u="1"/>
        <s v="No se han agregado entradas o salidas" u="1"/>
        <s v="Grupos Oasis- Moscua 2" u="1"/>
        <s v="Gurpo Oasis- El Corosal" u="1"/>
        <s v="Venta de desarmaduria " u="1"/>
        <s v="Grupos Oasis- San José 1" u="1"/>
      </sharedItems>
    </cacheField>
    <cacheField name="Concepto" numFmtId="0">
      <sharedItems count="2797">
        <s v="compras de productos tampico segun serie#82320E20, 03/01/22"/>
        <s v="compra de mercaderia Bimbo  segun factua#812273588, 03/01/22"/>
        <s v="se compraron mercaderia de FUD segun factura#4870004528, 04/01/22"/>
        <s v="se compro mercaderia  de Lala SEGUN FACTURA#001550, 09/01/22"/>
        <s v="se compro mercaderia de BIMBO segun factura #119891937, 10/01/22"/>
        <s v="se compro mercaderia de FUD segun factura #4870004644, 11/01/22"/>
        <s v="se compraron mercaderia de FUD segun factrura #4870004645, 11/01/22"/>
        <s v="se compraron mercaderia BIMBO segun factura #49235990, 11/01/22"/>
        <s v="se compraron mercaderia tampico  segun factura #2f21e7e9, 10/01/22"/>
        <s v="se compro mercaderia de Comabsa segun factura #3129098278, 13/01/22"/>
        <s v="se compro pmercaderia de senorsa segun factura #3104000806, 13/01/22"/>
        <s v="se compro mercaderia a Senorsa segun Factura #576670400, 13/01/22"/>
        <s v="gastos por etraccion de basura segun boleta de comprobante, 14/01/22"/>
        <s v="se compro mercaderia tampico segun comprovante &quot;no hay factura&quot;, 14/01/22"/>
        <s v="se compro mercaderia LALA segun factura #001499, 15/01/22"/>
        <s v="Pago del personal de trabajo , 31/01/22"/>
        <s v="total de gastos por horas extras , 31/01/22"/>
        <s v="total de gastos varios , 31/01/22"/>
        <s v="se compro mercaderia de tampico segun factura #1537101310, 17/01/22"/>
        <s v="se compro mercaderia BIMBO segun factura #195120752, 17/01/22"/>
        <s v="se compro mercaderia de Huevos (no hay factura), 17/01/22"/>
        <s v="se compro mercaderia de BIMBO factura#2319862598, 18/01/22"/>
        <s v="se compro mercaderia a FUD segun factura , 18/01/22"/>
        <s v="se compro mercaderia Inprolacsa segun factura #3628222660, 20/01/22"/>
        <s v="se compro mercaderia de tampico segun factura #3942991390, 24/01/22"/>
        <s v="se compro mercaderia BIMBO segun factura #2543406172, 25/01/22"/>
        <s v="se compro mercaderia de bimbo segun factura #2689548518, 25/01/22"/>
        <s v="se compro mercaderia Comabsa segun factura #3059754, 25/01/22"/>
        <s v="Compra de Huevos &quot;sin factura&quot;, 27/01/22"/>
        <s v="se compro mercaderia FUD segun factura #4870004939, 29/01/22"/>
        <s v="se compro mercaderia FUD segun facutra #4870004940, 29/01/22"/>
        <s v="se compro mercaderia a LALA segun factura #001571, 29/01/22"/>
        <s v="se compro mercaderia de Huevos &quot;sin factura&quot;, 29/01/22"/>
        <s v="se compro mercaderia a BIMBO segun factura #1456228381, 31/01/22"/>
        <s v="total de ingreso del mes de enero , 31/01/22"/>
        <s v="se compro mercaderia de bebidas  segun factura #3758378003, 05/01/22"/>
        <s v="se compro mercadera a Grupo Bodegas segun factura #3445113670, 05/01/22"/>
        <s v="se compro mercaderia de Pepsi &quot; no tiene factura&quot;, 05/01/22"/>
        <s v="se compro mercaderia malher segun factura #2343128376, 05/01/22"/>
        <s v="se compro mercaderia a Distribuidora Pami segun factura#25471, 04/01/22"/>
        <s v="se compro mercaderia de Bocadeli #2534100463, 05/01/22"/>
        <s v="se compro mercaderia a Maxa segun factura#224022442, 06/01/22"/>
        <s v="se compro mercaderia a Bodega farmaceutica segun factura #1585726572, 06/01/22"/>
        <s v="se compro mercaderia segun factura #1504399029, 07/01/22"/>
        <s v="compra de mercaderia Inasa segun factura #3906945696, 05/01/22"/>
        <s v="se compro mercaderia la popular #2284537235, 07/01/22"/>
        <s v="se compro mercaderia a Distribuidora Sagitario segun factura#1825128878, 08/01/22"/>
        <s v="se compro mercaderia Me Llega segun factura #753812667, 07/01/22"/>
        <s v="se compro mercaderia Codisa segun factura #2320124567, 08/01/22"/>
        <s v="se compro mercaderia de bebidas segun factura #872435132, 12/01/22"/>
        <s v="se compro mercaderia de Gama segun factura #975652468, 10/01/22"/>
        <s v="se compro mercaderia de Malher segun factura#1975796983, 12/01/22"/>
        <s v="se compro mercaderia de licores segun factura#4015737655, 13/01/22"/>
        <s v="se compro mercaderia bocadeli segun factura#1616462018, 12/01/22"/>
        <s v="se compro mercaderia a Distribuidora el Campesino segun factura#2126925448, 12/01/22"/>
        <s v="se compro mercaderia de Ideal segun factura#616187494, 12/01/22"/>
        <s v="se compro mercaderia a Distribuidora Sagitario segun factura#205736326, 15/01/22"/>
        <s v="se comrpo mercaderia a Grupo Palmas segun factura #645942131, 15/01/22"/>
        <s v="se compro mercaderia  de shampoo y aceite babychic &quot;factura Comercial&quot;, 17/01/22"/>
        <s v="se compro mercaderia a Grupo Bodegas segun factura #3023522203, 19/01/22"/>
        <s v="se compro mercaderia Malher segun factura #1225477096, 19/01/22"/>
        <s v="se compro mercaderia   a distribuidora los volcanes segun factura#3045802173, 19/01/22"/>
        <s v="se compro mercaderia a distribuidora Yani segun factura #27094, 18/01/22"/>
        <s v="se compro mercaderia a Nutrica segun recibo #029157, 17/01/22"/>
        <s v="se compro mercaderia de licores segun factura #437865578, 20/01/22"/>
        <s v="se compro mercaderia Gama segun factura #2050247011, 19/01/22"/>
        <s v="se compro mercaderia bocadeli segun factura#1434996520, 19/01/22"/>
        <s v="se compro mercaderia Maxa segun factura #1223249779, 20/01/22"/>
        <s v="se compro mercaderia cafe quetzal segun factura#2733853239, 20/01/22"/>
        <s v="se compro  mercaderia Dinant &quot;no hay factura&quot;, 20/01/22"/>
        <s v="compra de 2 canales de teflon segun factura 01, 21/01/22"/>
        <s v="se compro mercaderia Ideal segun factura #169558333, 19/01/22"/>
        <s v="se compro mercaderia Inasa segun factura #575423670, 19/01/22"/>
        <s v="se compro mercaderia Ninoshka  segun factura#322388620, 14/01/22"/>
        <s v="se compro mercaderia a distribuidora sagitario segun factura #307242245, 21/01/22"/>
        <s v="se compro mercaderia a distribuidora sagitario segun factura#1517047765, 22/01/22"/>
        <s v="se compro mercaderia Me Llega segun factura#768689459, 21/01/22"/>
        <s v="se compro mercaderia Codisa segun factura#2071217780, 22/01/22"/>
        <s v="se compro mercaderia a fabrica de productos y alimenticios Rene segun factura#612321055, 26/01/22"/>
        <s v="se compro mercaderia a Distribuidora Marte segun facrtura #904675485, 24/01/22"/>
        <s v="se compro mercaderia a Distribuidora la bendicion de Dios segun factura#002711, 24/01/22"/>
        <s v="se compro mercaderia a Embotelladora las mariposas segun factura#1360283792, 26/01/22"/>
        <s v="se compro mercaderia a distribuidora Yami segun factura #27757, 25/01/22"/>
        <s v="se compro mercaderiaa Industria la Popular segun factura #3310110129, 22/01/22"/>
        <s v="se compro mercaderia a Malher S.A &quot; no hay factura&quot;, 22/01/22"/>
        <s v="se compro mercaderia a Maxa segun factura#3896525346, 26/01/22"/>
        <s v="se compro mercaderia a Malher &quot;no hay Factura&quot;, 27/01/22"/>
        <s v="se compro mercaderia a Gama segun factura#2977972857, 26/01/22"/>
        <s v="se compro mercaderia de licores segun factura#1050100869, 27/01/22"/>
        <s v="se compro mercaderiaa productora los volcanes segun factura#133841935, 26/01/22"/>
        <s v="se compro mercaderia a distribuidora el Campesino #3472836947, 26/01/22"/>
        <s v="se compro mercaderia a Dinant  &quot;no hay factura&quot;, 27/01/22"/>
        <s v="se compro mercaderia a Acsa segun factura #3093, 28/01/22"/>
        <s v="se compro mercaderia segun factura comercial , 28/01/22"/>
        <s v="se compro mercaderia Ideal segun factura #1627406746, 26/01/22"/>
        <s v="se compro  mercaderia a Bodega Farmaceutica segun factura#3871950490, 27/01/22"/>
        <s v="se compro mercaderia a Comercial Electromark segun factura #005212, 28/01/22"/>
        <s v="se compro mercaderia a Bofansa &quot;sin factura&quot;, 29/01/22"/>
        <s v="se compro mercaderia a distribuidora Sagitario S.A segun factura#2888584009, 29/01/22"/>
        <s v="se compro mercaderia a Compañia de embotelladora la mariposa segun factura #2659665379, 29/01/22"/>
        <s v="se compro mercaderia a Grupo la Palma segun factura#1643476024, 27/01/22"/>
        <s v="pago mensual de energia electrica, 17/01/22"/>
        <s v="se compro mercaderia laky men segun factura#1463897429, 05/01/22"/>
        <s v="servicio total de fletes en el mes de enero , 31/01/22"/>
        <s v="se compro mercaderia Senorsa segun factura#382750136, 10/02/22"/>
        <s v="se compro mercaderia a Senorsa segun factura#3327739155, 10/02/22"/>
        <s v="se compro mercaderia Comabsa segun factura#3736423157, 08/02/22"/>
        <s v="se compro mercaderia FUD segun factura#4870005136, 08/02/22"/>
        <s v="se compro mercaderia tampico  segun factura#3027717737, 08/02/22"/>
        <s v="se compro mercaderia bimbo segun factura #3608496900, 08/02/22"/>
        <s v="se compro 3 cajas de huevo &quot;no hay factura&quot;, 07/02/22"/>
        <s v="se compro mercaderia Bimbo segun factura #2756919969, 07/02/22"/>
        <s v="se compro mercaderia a distribuidora Lafer segun factura#001579, 07/02/22"/>
        <s v="se compro mercaderia de BIMBO segun factura #395921764, 01/02/22"/>
        <s v=" se compro mercaderia  &quot;no hay factura&quot;, 01/02/22"/>
        <s v="se compro 1 caja de huevo , 11/02/22"/>
        <s v="se compro mercaderia de leche lala segun factura#001645, 12/02/22"/>
        <s v="se compro mercaderia bimbo segun factura#117125627, 14/02/22"/>
        <s v="se compro mercaderia de especies &quot;no hay factura&quot;, 14/02/22"/>
        <s v="se compro mercaderia improlaxa segun factura#2175550011, 14/02/22"/>
        <s v="se compro mercaderia bimbo segun factura#1510098796, 15/02/22"/>
        <s v="se compro mercaderia chimex segun factura #4870005268, 15/02/22"/>
        <s v="se compro mercaderia tampico segun factura #2687977462, 17/02/22"/>
        <s v="se compro 3 cajas de huevos &quot;no hay factura&quot;, 18/02/22"/>
        <s v="se compro mercaderia lala segun factura#001594, 19/02/22"/>
        <s v="se compro mercaderia bimboo segun factura #117311931, 21/02/22"/>
        <s v="se compro mercaderia bimbo segun factura#3496296830, 22/02/22"/>
        <s v="se compro mercaderia chimex segun factura #4870005393, 22/02/22"/>
        <s v="se compro mercaderia comapsa segun factura #4157098735, 22/02/22"/>
        <s v="se compro mercaderia senorsa &quot;no hay factura &quot; se arruino la maquina, 24/02/22"/>
        <s v="se compro mercaderia a industrias zam segun factura #09754, 24/02/22"/>
        <s v="se compro 3 cajas de huevos &quot;no hay factura&quot;, 25/02/22"/>
        <s v="se compro mercaderia lala segun factura #001523, 26/02/22"/>
        <s v="se compro mercaderia tampico segun factura#1473006211, 28/02/22"/>
        <s v="se compro mercaderia de especies &quot;no hay factura&quot;, 28/02/22"/>
        <s v="se compro mercaderia bimbo segun factura #513624451, 28/02/22"/>
        <s v="gasto total de sueldos de empleados , 28/02/22"/>
        <s v="gasto total de horas extras de trabajadores, 28/02/22"/>
        <s v="gasto total de mantenimiento y mejoras durante el mes , 28/02/22"/>
        <s v="ingreso total durante el mes , 28/02/22"/>
        <s v="se compraron 2 cuadernos , 07/02/22"/>
        <s v="se gastaros en fletes de viaje a san miguel , 07/02/22"/>
        <s v="se compro mercaderia Ninoshka segun factura #1113476341, 25/02/22"/>
        <s v="pago  mensual de energia electrica, 28/02/22"/>
        <s v="se compro mercaderia pepsi  &quot;no hay factura&quot;, 26/02/22"/>
        <s v="se compro mercaderia  a distribuidora sagitario segun factura #770852456, 26/02/22"/>
        <s v="se compro mercaderia Ideal  segun factura #954418556, 23/02/22"/>
        <s v="se compro mercaderia a bodega farmaceutica segun factura #3520613915, 24/02/22"/>
        <s v=" se compro mercaderia  de plastico &quot;factura comercial&quot;, 25/02/22"/>
        <s v="se compro mercaderia  Acsa segun factura #1217546605, 25/02/22"/>
        <s v="se compro mercaderia  a distribuidora el campesino segun factura #249644352, 23/02/22"/>
        <s v="se compro mercaderia Gama segun factura #2510310264, 23/02/22"/>
        <s v="se compro mercaderia a distribuidora Rene segun factura #603117340, 24/02/22"/>
        <s v="se compro mercaderia a distribuidora de licores segun factura #2839036955, 24/02/22"/>
        <s v="se compro mercaderia Malher segun factura #2483437867, 23/02/22"/>
        <s v="se compro mercaderia pepsi  &quot;no hay factura&quot;, 23/02/22"/>
        <s v="se compro mercaderia de golosinas segun factura #0016004911, 23/02/22"/>
        <s v="se compro  70 libras de arros blanco &quot;no hay factura &quot;, 23/02/22"/>
        <s v="se compro mercaderia a distribuidora los volcanes segun factura #615271076, 23/02/22"/>
        <s v="se compro mercaderia Maxa  &quot;no hay factura &quot;, 22/02/22"/>
        <s v="se compro mercaderia a distribuidora me llega &quot;no hay factura &quot;, 22/02/22"/>
        <s v="se compro mercaderia a distribuidora Me Llega segun factura &quot;1627013864, 19/02/22"/>
        <s v="se compro mercaderia Codisa segun factura #3480371473, 19/02/22"/>
        <s v="se compro mercaderia a distribuidora Sagitario segun factura #473581689, 19/02/22"/>
        <s v="se compro mercaderia pepsi  &quot;no hay factura &quot;, 19/02/22"/>
        <s v="se compro mercaderia a Grupo Palma segun factura #1645122592, 17/02/22"/>
        <s v="se compro mercaderia a industria la popular segun factura #4027862851, 18/02/22"/>
        <s v="se compro mercaderia  de golosina segun factura #4515338, 18/02/22"/>
        <s v="se compro mercaderia Inasa segun factura #1501580584, 16/02/22"/>
        <s v="se compro 75 libras de frijol &quot;no hay factura &quot;, 18/02/22"/>
        <s v="se compro mercaderia Coca cola &quot;no hay factura &quot;, 18/02/22"/>
        <s v="se compro mercaderia a Bodega Farmaceutica segun factura#2640725631, 17/02/22"/>
        <s v="se compro mercaderia Ideal segun factura #1546275746, 17/02/22"/>
        <s v="se compro mercaderia Gama segun factura #3029283687, 16/02/22"/>
        <s v="se compro mercaderia Bocadeli segun factura #2199275208, 16/02/22"/>
        <s v="se compro mercaderia a distribuidora los volcanes  segun factura #1860650537, 16/02/22"/>
        <s v="se compro mercaderia Malher segun factura #2590329606, 16/02/22"/>
        <s v="se compro mercaderia Codicasa  segun factura#22040440, 10/02/22"/>
        <s v="se compro mercaderia a Bodega Farmaceutica segun factura #3644935664, 16/02/22"/>
        <s v="se compro mercaderia Pepsi &quot;no hay factura &quot;, 16/02/22"/>
        <s v="se compro mercaderia Ninoshka segun factura #1486243965, 11/02/22"/>
        <s v="se compro mercaderia a grupo bodega farmaceutica segun factura#2657173742, 10/02/22"/>
        <s v="se compro mercaderia Ideal segun factura #3033115, 09/02/22"/>
        <s v="se compro mercaderia Gama segun factura #2446347301, 09/02/22"/>
        <s v="se compro mercaderia a distribuidora el campesino  segun factura #2554676664, 09/02/22"/>
        <s v="se compro mercaderia Cafe quetzal segun factura #3661120050, 10/02/22"/>
        <s v="se compro mercaderia Malher  segun factura #3659745186, 09/02/22"/>
        <s v="se compro mercaderia a distribuidora Yani segun factura #29391, 08/02/22"/>
        <s v="se compro mercaderia de plasticos &quot;factura Comercial&quot;, 08/02/22"/>
        <s v="se compro mercaderia a distribuidora la bendicion  segun factura #292967, 03/02/22"/>
        <s v="se compro mercaderia a distribuidora la popular segun factura #3382068345, 04/02/22"/>
        <s v="se compro mercaderia Codisa segun factura #2489207734, 05/02/22"/>
        <s v="se compro mercaderia a distribuidora  Sagitario Segun factura #713507057, 05/02/22"/>
        <s v="se compro mercaderia  Me Llega segun factura #4288302047, 04/02/22"/>
        <s v="se compro mercaderia a distribuidora Sagitario  segun factura #1773817170, 04/02/22"/>
        <s v="se compro mercaderia Inasa segun factura #458050032, 02/02/22"/>
        <s v="se compro mercaderia Ideal segun factura #1753959426, 02/02/22"/>
        <s v="se compro mercaderia  Bocadeli segun factura #3020572516, 02/02/22"/>
        <s v="se compro merdaderia a Grupo Bodega Farmaceutica  segun factura #93275770, 03/02/22"/>
        <s v="se compro mercaderia a Distribuidora de Licores segun factura #1530939089, 03/02/22"/>
        <s v="se compro mercaderia Gama segun factura #1768375228, 02/02/22"/>
        <s v="se compro mercaderia Malher  segun factura #1918520370, 02/02/22"/>
        <s v="se compro mercaderia a distribuidora Yani segun factura #28601, 01/02/22"/>
        <s v="se compro mercaderia coca cola   &quot;no hay factura&quot;, 02/02/22"/>
        <s v="se compro 75 libras de frijol &quot;factura comercial&quot;, 02/02/22"/>
        <s v="se compro 6 panes magdalena, &quot;factura comercial &quot;, 02/02/22"/>
        <s v="se compro mercaderia Ninoshka segun factura #3932505579, 28/01/22"/>
        <s v="gastos varios , 28/02/22"/>
        <s v="se compro mercaderia Bimbo, segun factura #3557313481, 01/03/22"/>
        <s v="se compro mercaderia Chimex,  se daño maquina de facturacion , 01/03/22"/>
        <s v="se compro 3 cajas de huevo, no hay factura , 04/03/22"/>
        <s v="se comrpo mercaderia de bimbo, segun factura #1214857924, 07/03/22"/>
        <s v="se compro mercaderia bimbo, segun factura #2377860890, 08/03/22"/>
        <s v="se compro mercaderia chimex, segun factura #4870005670, 08/03/22"/>
        <s v="se compro mercaderia a industrias Zam, segun factura 09807, 09/03/22"/>
        <s v="se compro mercaderia Comabsa, segun factura #1069171134, 08/03/22"/>
        <s v="se compro mercaderia Tropic, segun factura #348473017, 10/03/22"/>
        <s v="se compro mercaderia a distribuidora lafer, segun factura #001339, 12/03/22"/>
        <s v="se compro mercaderia tampico, segun factura #3564651070, 14/03/22"/>
        <s v="se compro mercaderia bimbo, segun factura #2325106348, 14/03/22"/>
        <s v="se compro mercaderia bimbo, segun factura #1468353561, 15/03/22"/>
        <s v="se compro mercaderia Chimex, segun factura #4870005821, 15/03/22"/>
        <s v="se compro mercaderia Lafer, segun factura #001615, 19/03/22"/>
        <s v="se compro mercaderia bimbo, segun factura #2036157586, 21/03/22"/>
        <s v="se compro mercaderia bimbo, segun factura #1916749472, 22/03/22"/>
        <s v="se compro mercaderia chimex, segun factura #4870005964, 22/03/22"/>
        <s v="se compro mercaderia chimex, segun recibo No.8, 22/03/22"/>
        <s v="se compro mercaderia senorsa, segun factura #1054297186, 24/03/22"/>
        <s v="se compro mercaderia Tampico, segun factura #2345028451, 24/03/22"/>
        <s v="se compro mercaderia de especies, segun Recibo No.6, 22/03/22"/>
        <s v="se compro mercaderia bimbo segun factura #115144523, 28/03/22"/>
        <s v="se compro mercaderia bimbo segun factura #3042921632, 29/03/22"/>
        <s v="se compro mercaderia chimex, segun factura #4870006111, 29/03/22"/>
        <s v="se compro mercaderia improlacsa, segun factura #2193768959, 29/03/22"/>
        <s v="se compro mercadeira improlacsa, segun factura #88819719, 29/03/22"/>
        <s v="pago total del personal , 31/03/22"/>
        <s v="total de horas extras, 31/03/22"/>
        <s v="servicio total de mantenimiento , 31/03/22"/>
        <s v="ventas brutas durante el mes , 31/03/22"/>
        <s v="ingreso total de tarjeta de credito , 31/03/22"/>
        <s v="se compro mercaderia  a fabrica de productos alimenticios Rene y CIA, segun factura #612321928, 01/03/22"/>
        <s v="se compro mercaderia a industrias Magaña L., segun factura #0010239, 01/03/22"/>
        <s v="se compro mercaderia a distribuidora los volcanes, segun factura #4189473376, 02/03/22"/>
        <s v="se compro mercaderia pepsi, &quot;no hay factura &quot;, 02/03/22"/>
        <s v="se compro mercaderia Malher, segun factura #4080814198, 02/03/22"/>
        <s v="se compro mercaderia a distribuidora Yani, segun factura #31746, 01/03/22"/>
        <s v="se compro mercaderia a corporacion Gama, segun factura #1268337102, 02/03/22"/>
        <s v="se compro mercaderia a bodega farmaceutica, segun factura #3557903497, 03/03/22"/>
        <s v="se compro mercaderia a Bocadeli, segun factura #2549367314, 02/03/22"/>
        <s v="se compro mercaderia a bodega farmaceutica, segun factura #2137803173, 03/03/22"/>
        <s v="se compro mercaderia Ideal, segun factura #2637186174, 02/03/22"/>
        <s v="se compro mercaderia a distribuidora sagitario, segun factura #1356153838, 04/03/22"/>
        <s v="se compro mercaderia Inasa, segun factura #2063351936, 02/03/22"/>
        <s v="se compro mercaderia Me Llega, segun factura #2720942493, 04/03/22"/>
        <s v="se compro mercaderia a distribuidora Codisa, segun factura #1417563908, 05/03/22"/>
        <s v="se compro mercaderia a industria la popular, segun factura #4287121344, 04/03/22"/>
        <s v="se compro mercaderia Me Llega, &quot;no hay factura &quot;, 07/03/22"/>
        <s v="se compro mercaderia a distribuidora la bendicion, segun factura #303823, 07/03/22"/>
        <s v="se compro mercaderia Pepsi,  &quot;no hay factura &quot;, 09/03/22"/>
        <s v="se compro mercaderia Malher, segun factura #3000717048, 09/03/22"/>
        <s v="se compro mercaderia a distribuidora los volcanes, segun factura #1098337586, 09/03/22"/>
        <s v="se compro mercaderia Maxa, segun factura #20073071, 10/03/22"/>
        <s v="se compro mercaderia a distribuidora el campesino, segun factura #2223981229, 09/03/22"/>
        <s v="se compro mercaderia Gama, segun factura #3871231397, 09/03/22"/>
        <s v="se compro mercaderia Ideal, segun factura #484393081, 09/03/22"/>
        <s v="se compro mercaderia a comercializadora COGUA, segun factura #6529, 10/03/22"/>
        <s v="se compro una cafetera marca black decker, segun recibo, 11/03/22"/>
        <s v="se compro mercaderia a distribuidora las mariposas, segun factura#2173193055, 12/03/22"/>
        <s v="se compro mercaderia a distribuidora sagitario, segun factura #493961347, 12/03/22"/>
        <s v="se compro mercaderia de jabon, no hay factura , 12/03/22"/>
        <s v="se compro arroz blanco 50 libras, &quot;no hay factura &quot;, 12/03/22"/>
        <s v="se compro mercaderia a distribuidora alianza mayorista, segun factura &quot;2928233414, 12/03/22"/>
        <s v="se compro mercaderia a Distribuidora los volcanes, segun factura#190991322, 16/03/22"/>
        <s v="se compro mercaderiaa corporacion instantaneos, segun factura #596657291, 16/03/22"/>
        <s v="se compro mercaderia pepsi,  &quot;no hay factura&quot;, 16/03/22"/>
        <s v="se compro mercaderia a distribuidora sagitario, segun factura #33441, 15/03/22"/>
        <s v="se compro mercaderia a bodega farmaceutica, segun factura #508576572, 16/03/22"/>
        <s v="se compro mercaderia Malher, segun factura #732450801, 16/03/22"/>
        <s v="se compro mercaderia a distribuidora de Licores, segun factura #951537229, 17/03/22"/>
        <s v="se compro mercaderiaa coporacion Gama, segun factura #3813097722, 16/03/22"/>
        <s v="se compro mercaderia Nutrica, segun factura #001643, 15/03/22"/>
        <s v="se compro mercaderi Bocadeli, segun factura #3964751457, 16/03/22"/>
        <s v="se compro mercaderia Ideal, segun factura #1860978048, 16/03/22"/>
        <s v="se compro mercaderia a Bodega Farmaceutica, segun factura#206786247, 17/03/22"/>
        <s v="se compro mercaderia Ninoshka, segun factura #3779546439, 11/03/22"/>
        <s v="se compro mercaderia Inasa, segun factura #125193337, 16/03/22"/>
        <s v="se compro mercaderia a distribuidora Sagitario; segun factura #4069083232, 18/03/22"/>
        <s v="se compro mercaderia a distribuidora sagitario, segun factura #2442740223, 19/03/22"/>
        <s v="se compro mercaderia Maxa, &quot;no hay factura &quot;, 19/03/22"/>
        <s v="se compro mercaderia Codisa, segun factura #1779451919, 19/03/22"/>
        <s v="se compro mercaderia de industria la popular, segun factura #2348040723, 18/03/22"/>
        <s v="se compro mercaderia a distribuidora la bendicion , segun factura #307860, 21/03/22"/>
        <s v="se compro mercaderia Me Llega, segun factura #3790028937, 21/03/22"/>
        <s v="se compro mercaderia Codisa, segun factura #22041226, 21/03/22"/>
        <s v="se compro mercaderia a distribuidora Me Llega,  &quot;no hay factura &quot;, 23/03/22"/>
        <s v="se compro mercaderia pepsi, &quot;no hay factura &quot;, 23/03/22"/>
        <s v="se compro mercaderia a Distribuidora Yani, segun factura #34244 , 22/03/22"/>
        <s v="se compro mercaderia a distribuidora los volcanes, segun factura #2604420404, 23/03/22"/>
        <s v="se compro mercaderia Malher, segun factura #204556832, 23/03/22"/>
        <s v="se compro mercaderia  Bocadeli, segun factura #1649558009, 22/03/22"/>
        <s v="se compro mercaderia ACSA, segun factura #5329, 24/03/22"/>
        <s v="se compro mercaderia Proyalsa, segun factura #2200849489, 24/03/22"/>
        <s v="se compro productos desechables, &quot;no hay factura &quot;, 24/03/22"/>
        <s v="se compro mercaderia a corporacion Gama, segun factura #1942570383, 23/03/22"/>
        <s v="se compro mercaderia a distribuidora el campesino, segun factura #2755610897, 23/03/22"/>
        <s v="se compro mercaderia a distribuidora Comabsa, segun factura #2017478348, 22/03/22"/>
        <s v="se compro mercaderia Ideal, segun factura #1525828880, 23/03/22"/>
        <s v="se compro mercaderia a distribuidora Guayacan, segun factura #3192474022, 24/03/22"/>
        <s v="se compro mercaderia a distribuidora Sagitario, segun factura #3204269766, 26/03/22"/>
        <s v="se compro mercaderia Ninoshka, segun factura #2462403363, 25/03/22"/>
        <s v="se compro mercaderia a industrias Magaña, segun factura #0002963, 30/03/22"/>
        <s v="se compro mercaderia Pepsi, &quot;no hay factura &quot;, 30/03/22"/>
        <s v="se compro mercaderia a distribuidora los volcanes, segun factura #1871792137, 30/03/22"/>
        <s v="se compro mercaderia  a distribuidora Me Llega, &quot;no hay factura &quot;, 31/03/22"/>
        <s v="se compro mercaderia a Grupo Bodega Farmaceutica, segun factura #3933161722, 31/03/22"/>
        <s v="se compro mercaderia a distribuidora de licores, segun factura #3809101051, 31/03/22"/>
        <s v="se compro mercaderia a fabrica de productos alimenticios Rene y CIA, segun factura #603118017, 31/03/22"/>
        <s v="se compro mercaderia a distribuidora Proyalsa, segun factura #1363822860, 31/03/22"/>
        <s v="se compro mercaderia  a corporacion Gama , segun factura #3482075274, 30/03/22"/>
        <s v="se compro juego de bicicletas marca Shimano, &quot;no hay factura &quot;, 31/03/22"/>
        <s v="pago mensual de energia electrica , 31/03/22"/>
        <s v="gastos varios, 31/03/22"/>
        <s v="se compro mercaderia a Distribuidora Sagitario, segun factura #2114866813, 04/04/22"/>
        <s v="se compro mercaderia Bimbo, segun factura #113342628, 04/04/22"/>
        <s v="se compro mercaderia a Industrias Zam, segun factura #09240, 05/04/22"/>
        <s v="se compro mercaderia Bimbo, segun factura #2228961632, 05/04/22"/>
        <s v="se compro mercaderia Chimex, segun factura #4870006261, 05/04/22"/>
        <s v="se compro mercaderia Chimex, segun factura #4870006262, 05/04/22"/>
        <s v="se compro mercaderia Comabsa, segun factura #2260747178, 05/04/22"/>
        <s v="se compro mercaderia Chimex, segun factura #4870006286, 07/04/22"/>
        <s v="Se compro mercaderia La Bonita, segun factura #428884752, 09/04/22"/>
        <s v="se compro mercaderia de  especies, segun recibo #14, 09/04/22"/>
        <s v="se compro mercaderia Lala, segun factura #001704, 09/04/22"/>
        <s v="se compro mercaderia a distribuidora Sagitario, segun factura #2771405487, 11/04/22"/>
        <s v="se compro mercaderia bimbo, segun factura #197937480, 11/04/22"/>
        <s v="se compro mercaderia bimbo, segun factura #934167825, 12/04/22"/>
        <s v="se compro mercaderia lala, segun factura #105307, 02/04/22"/>
        <s v="se compro mercaderia  a distribuidora sagitario, segun factura #645744958, 14/04/22"/>
        <s v="se compro mercaderia la Bonita, segun factura #980828584, 13/04/22"/>
        <s v="se compro mercaderia bimbo, segun factura #113348924, 18/04/22"/>
        <s v="se compro mercaderia bimbo, segun factura #3923659864, 19/04/22"/>
        <s v="se compro mercaderia chimex segun factura #4870006483, 19/04/22"/>
        <s v="se compro mercaderia Comabsa, segun factura #1947943346, 20/04/22"/>
        <s v="se compro mercaderia Senorsa S.A, segun factura #4143990435, 21/04/22"/>
        <s v="se compro 5 huevos en tienda para complementar, segun recibo No 16, 21/04/22"/>
        <s v="se compro mercaderia  a distribuidora la bonita, segun factura #4165944437, 21/04/22"/>
        <s v="se compro mercaderia bimbo, segun factura #1970423817, 25/04/22"/>
        <s v="se compro mercaderia a distribuidora lafer, segun factura #001664, 25/04/22"/>
        <s v="se compro mercaderia  a distribuidora sagitario S.A , segun factura #2757446025, 26/04/22"/>
        <s v="se compro mercaderia bimbo, segun factura #1446266794, 26/04/22"/>
        <s v="se compro mercaderai chimex, segun factura #4870006638, 26/04/22"/>
        <s v="se compro mercaderia  inprolacsa, segun factura #3535029599, 25/04/22"/>
        <s v="gastos realizados durante el mes, 30/04/22"/>
        <s v="ventas brutas generadas durante el mes , 30/04/22"/>
        <s v="ingreso total en tarjetas de Debito/Credito , 30/04/22"/>
        <s v="compra de 6 topes , 08/04/22"/>
        <s v="pago de servicio de energia electrica , 19/04/22"/>
        <s v="compra de mercaderia a Bodega Farmaceutica  S.A, segun factura #1318797790, 01/04/22"/>
        <s v="compra de mercaderia Ideal, segun factura #3219997732, 01/04/22"/>
        <s v="compra de mercaderia a Distribuidora Sagitario, segun factura #3515171491, 01/04/22"/>
        <s v="compra de mercaderia Inasa, segun factura #2722251668, 01/04/22"/>
        <s v="compra de mercaderia a distribuidora me llega, segun factura #3693430311, 01/04/22"/>
        <s v="se compro mercaderia a fabrica de productos y alimenticios Rene y CIA, S.A, segun factura #612322804, 02/04/22"/>
        <s v="compra de mercaderia de golosinas y  cosas de cocina, &quot;no hay factura &quot;, 02/04/22"/>
        <s v="compra de mercaderia a distribuidora la bendicion, segun factura #312884, 03/04/22"/>
        <s v="compra de mercaderia Codisa, segun factura #1215579867, 02/04/22"/>
        <s v="compra de mercaderia a distribuidora  Sagitario, S.A, segun factura#1804160894, 05/04/22"/>
        <s v="compra de mercaderia Coca Cola, &quot;no hay factura&quot; , 06/04/22"/>
        <s v="compra de mercaderia a industrias la popular, segun factura #542787737, 01/04/22"/>
        <s v="compra de mercaderia Pepsi, &quot;no hay factura &quot;, 06/04/22"/>
        <s v="compra de mercaderia a distribuidora Yani, S.A, segun factura #35860, 05/04/22"/>
        <s v="compra de mercaderia Nestle, segun factura #4122037216, 06/04/22"/>
        <s v="compra de mercaderia  a distribuidora Rene, y CIA. S.A, segun factura #603118175, 07/04/22"/>
        <s v="compra de mercaderia Ideal, segun factura #3406319294, 06/04/22"/>
        <s v="compra de mercaderia Bocadeli, segun factura #3674556891, 06/04/22"/>
        <s v="compra de mercaderia a Corporacion Gama, segun factura #2811252110, 06/04/22"/>
        <s v="compra de mercaderia  proyalsa, segun factura #3981853812, 07/04/22"/>
        <s v="compra de mercaderia a distribuidora el campesino, segun factura #4012591643, 06/04/22"/>
        <s v="compra de mercaderia a Bodega Farmaceutica S.A, segun factura #817579332, 07/04/22"/>
        <s v="compra de mercaderia a distribuciones Guayacan, S.A, segun factura #422857702, 07/04/22"/>
        <s v="compra de mercaderia Pepsi, no hay factura &quot;, 09/04/22"/>
        <s v="compra de mercaderia a distribuidora sagitario, segun factura #311640192, 08/04/22"/>
        <s v="compra de mercaderia a distribuidora sagitario, segun factura #956910027, 09/04/22"/>
        <s v="compra de mercaderia a distribuidora  los volcanes, segun factura #2825407722, 10/04/22"/>
        <s v="compra de mercaderia Maxa, no hay recibo, 11/04/22"/>
        <s v="compra de mercaderia a grupo palmas costa sur, segun factura #1649464809, 11/04/22"/>
        <s v="compra de mercaderia a distribuidora sagitario, segun factura #2141540316, 12/04/22"/>
        <s v="compra de mercaderia pepsi, no hay factura , 12/04/22"/>
        <s v="compra de mercaderia a cafe quetzal, segun factura #3130215052, 12/04/22"/>
        <s v="compra de mercaderia a corporacion Gama, segun factura #405293275, 11/04/22"/>
        <s v="compra de mercaderia a fabrica de productos Rene y CIA. S.A, segun factura #612323061, 13/04/22"/>
        <s v="compra de mercaderia a distribuidora los volcanes, segun factura #3200797975, 13/04/22"/>
        <s v="compra de mercaderia a grupo bodega farmaceutica, segun factura#2735753755, 12/04/22"/>
        <s v="compra de mercaderia Nestle, segun factura #161500009, 13/04/22"/>
        <s v="compra de mercaderia a Cogua, segun factura #3841018865, 13/04/22"/>
        <s v="compra de mercaderia de Arroz, no hay factura , 14/04/22"/>
        <s v="compra de mercaderia a distribuidora la bendicion de Dios, segun factura #317309, 18/04/22"/>
        <s v="compra de mercaderia me llega, segun factura #3954593773, 18/04/22"/>
        <s v="compra de mercaderia pepsi, no hay factura, 19/04/22"/>
        <s v="compra de mercaderia a distribuidora sagitario S.A, segun factura #1338917286, 19/04/22"/>
        <s v="compra de mercaderia Codisa, segun factura #3581364175, 18/04/22"/>
        <s v="compra de merdaceria Proyalsa, segun factura #2493401105, 18/04/22"/>
        <s v="compra de mercaderia Idealsa, segun factura #3709159006, 13/04/22"/>
        <s v="compra de mercaderia Inasa, segun factura #906184366, 13/04/22"/>
        <s v="compra de mercaderia Nestle, segun factura #416040100, 20/04/22"/>
        <s v="compra de mercaderia a distribuidora los volcanes, segun factura #1928351139, 20/04/22"/>
        <s v="compra de mercaderia a distribuidores de licores, segun factura #1931626928, 21/04/22"/>
        <s v="compra de mercaderia a distribuidora el campesino, segun factura #1324895641, 20/04/22"/>
        <s v="compra de mercaderia Bocadeli, segun factura #2581873030, 20/04/22"/>
        <s v="compra de mercaderia a distribuidora Cogua, segun factura #3191359076, 21/04/22"/>
        <s v="compra de mercaderia a Bodega Farmaceutica S,A segun factura #2539274578, 21/04/22"/>
        <s v="compra de mercaderia a industrias la popular, segun factura #2752595695, 21/04/22"/>
        <s v="compra de mercaderia Idealsa, segun factura #4063250105, 20/04/22"/>
        <s v="compra de mercaderia a distribuciones Guayacan S.A, segun factura #2108966571, 21/04/22"/>
        <s v="compra de 6 cartones de huevos. no hay factura , 22/04/22"/>
        <s v="compra de mercaderia Maxa, segun factura #2694138332, 22/04/22"/>
        <s v="compra de mercaderia a distribuidora las mariposas, segun factura #1686589131, 23/04/22"/>
        <s v="compra de productos desechables, segun recibo no comercial, 23/04/22"/>
        <s v="compra de mercaderia a distribuidora Sagitario, segun factura #1243563995, 23/04/22"/>
        <s v="compra de mercaderia a corporacion de instantaneos san isabel, segun factura #2500346936, 26/04/22"/>
        <s v="compra de mercaderia a distribuidora sagitario, segun factura #1746878607, 26/04/22"/>
        <s v="compra de mercaderia a distribuidora los volcanes,segun factura #705774156, 27/04/22"/>
        <s v="compra de mercaderia a distribuiodra Yani, segun factura #37680, 26/04/22"/>
        <s v="compra de mercaderia Pepsi,  no hay factura #, 27/04/22"/>
        <s v="compra de mercaderia Nestle, segun factura #3796976432, 27/04/22"/>
        <s v="compra de mercaderia a bodega farmaceutica, segun factura #229196456, 27/04/22"/>
        <s v="compra de mercaderia de golosinas, segun factura #0016004911, 27/04/22"/>
        <s v="compra de mercadeia a industrias la popular S.A, segun factura #2130724328, 25/04/22"/>
        <s v="compra de mercaderia  a distribuidora  de licores, segun factura #1708280051, 28/04/22"/>
        <s v="compra de mercaderia  a Dacema, S.A, segun factura #862865159, 21/04/22"/>
        <s v="compra de mercaderia a distribuidora Proyalsa, segun factura #37700378, 28/04/22"/>
        <s v="compra de telefonos segun factura #000833, 28/04/22"/>
        <s v="compra de mercaderia Idealsa, segun factura #2344174182, 27/04/22"/>
        <s v="compra de mercaderia a distribuidora sagitario segun factura#3748286011, 29/04/22"/>
        <s v="compra de mercaderia Inasa, segun factura #2686863081, 27/04/22"/>
        <s v="compra de mercaderia a grupo bodegas farmaceuticas S.A, segun factura #1889093291, 28/04/22"/>
        <s v="compra de mercaderia Me Llega, segun factura #3027847889, 29/04/22"/>
        <s v="compra de mercaderia a distribuidora Rene y CIA. S.A, segun factura #612323430, 30/04/22"/>
        <s v="compra de mercaderia de libreria, no hay factura , 07/04/22"/>
        <s v="pago del personal , 30/04/22"/>
        <s v="pago del personal por horas extras , 30/04/22"/>
        <s v="se compro mercaderia a distribuidora maravilla segun factura #3595977000, 02/05/22"/>
        <s v="se compro mercaderia bimbo, segun factura #111767116, 02/05/22"/>
        <s v="se compro mercaderia lala segun factura #001674, 02/05/22"/>
        <s v="se compro mercaderia bimbo, segun factura #2809414012, 03/05/22"/>
        <s v="se compro mercaderia FUD segun factura #4870006792, 03/05/22"/>
        <s v="se compro mercaderia senorsa, segun factura #2901, 05/05/22"/>
        <s v="se compro mercaderia de especies, segun recibo No.20, 05/05/22"/>
        <s v="se compro mercaderia de productos de semillas, segun factura #1982484058, 05/05/22"/>
        <s v="se compro mercaderia la bonita segun factura #3547873646, 05/05/22"/>
        <s v="se compro mercaderia la bonita segun factura #4036772508, 07/05/22"/>
        <s v="se compro mercaderia maravilla, segun factura #2131640621, 09/05/22"/>
        <s v="se compro mercaderia lala segun factura #001681, 09/05/22"/>
        <s v="se compro mercaderia bimbo, segun factura #111415435, 09/05/22"/>
        <s v="se compro mercaderia FUD, segun factura #487008910, 10/05/22"/>
        <s v="se compro mercaderia FUD, segun factura #4870006941, 10/05/22"/>
        <s v="se compro mercaderia  bimbo, segun factura #1746684586, 10/05/22"/>
        <s v="se compro mercaderia FUD, segun factura #4870006967, 12/05/22"/>
        <s v="se compro mercaderia la bonita, segun factura #3612360940, 13/05/22"/>
        <s v="se compro mercaderia maravilla, segun factur #2451525065, 16/05/22"/>
        <s v="se compro mercaderia bimbo, segun factura #1350846245, 16/05/22"/>
        <s v="se compro mercaderia lala, segun factura #001688, 16/05/22"/>
        <s v="se compro mercaderia bimbo, segun factura #181563859, 17/05/22"/>
        <s v="se compro mercaderia FUD, segun factura #4870007097, 17/05/22"/>
        <s v="se compro mercaderia Milpa altas, segun  factura #2629324430, 18/05/22"/>
        <s v="se compro mercaderia Comapsa, segun factura #3373747632, 19/05/22"/>
        <s v="se compro mercaderia la bonita segun factura #2407154896, 19/05/22"/>
        <s v="se compro mercaderia maravilla, segun factura #75516296, 23/05/22"/>
        <s v="se compro mercaderia bimbo segun factura#111114833, 23/05/22"/>
        <s v="se compro mercaderia lala segun factura #001692, 23/05/22"/>
        <s v="se compro mercaderia bimbo, segun factura #181889464, 24/05/22"/>
        <s v="se compro mercaderia FUD, segun factura #4870007238, 24/05/22"/>
        <s v="se compro mercaderia la bonita, segun factura #651447730, 26/05/22"/>
        <s v="se comrpo mercaderia lala, segun factura #001706, 30/05/22"/>
        <s v="se compro mercaderia bimbo segun factura #3845145967, 30/05/22"/>
        <s v="se compro mercaderia bimbo segun factura #181161174, 31/05/22"/>
        <s v="se compro mercaderia FUD,segun factura#4870007361, 31/05/22"/>
        <s v="se compro mercaderia maravilla segun factura 1362249039, 31/05/22"/>
        <s v="pago del personal durante el mes, 31/05/22"/>
        <s v="gastos totales durante el mes , 31/05/22"/>
        <s v="ventas brutas , 31/05/22"/>
        <s v="ventas realizadas con tarjetas , 31/05/22"/>
        <s v="gastos varios durante el mes, 31/05/22"/>
        <s v="pago de servicio de energia electrica, 31/05/22"/>
        <s v="se compro mercaderia ninoshka, segun factura #162939486, 27/05/22"/>
        <s v="se compro mercaderia Codisa, segun factura #4114695710, 28/05/22"/>
        <s v="se compro mercaderia a industria la popula S.A, segun factura #1265127090, 28/05/22"/>
        <s v="se compro 60  libras de arros blanco, no hay factura , 28/05/22"/>
        <s v="se compro mercaderia pepsi, no hay factura , 28/05/22"/>
        <s v="se compro mercaderia  a distribuidora  sagitario, segun factura #4083172056, 28/05/22"/>
        <s v="se compro mercaderia Me llega, segun factura #3496562207, 27/05/22"/>
        <s v="se compro mercaderia  a distribuidora Inasa, segun factura #4188687120, 25/05/22"/>
        <s v="se compro mercaderia a distribuidora sagitario, segun factura #3231599556, 27/05/22"/>
        <s v="se compro mercaderia Idealsa, segun factura #3688713797, 25/05/22"/>
        <s v="se compro mercaderia a distribuidora Cogua, segun factura #3569437919, 26/05/22"/>
        <s v="se compro mercaderia  a corporacion Gama de occidente, segun factura #1582971237, 25/05/22"/>
        <s v="se compro mercaderia  a fabrica de productos alimenticios Rene, segun factura #612324127, 26/05/22"/>
        <s v="se compro mercaderia cafe quetzal segun factura #730549896, 26/05/22"/>
        <s v="se compro mercaderia de golosinas, no hay factura , 26/05/22"/>
        <s v="se compro mercaderia a bodega farmaceutica, segun factura #124339187, 26/05/22"/>
        <s v="se compro mercaderia  a fabrica de productos alimenticios Rene, segun factura #603119190, 26/05/22"/>
        <s v="se compro mercaderia  Nestle, segun factura #3980347314, 25/05/22"/>
        <s v="se compro mercaderia ACSA, segun factura #4662, 25/05/22"/>
        <s v="se compro mercaderia  a distribuidora Yani, segun factura #005656, 25/05/22"/>
        <s v="se compro mercaderia Pepsi, no hay factura , 25/05/22"/>
        <s v="se compro mercaderia a comercializadora los volcanes, segun factura #1781484716, 25/05/22"/>
        <s v="se compro mercaderia  a distribuidora Dacema, sociedad anonima, segun factura #1772768377, 18/05/22"/>
        <s v="se compro mercaderia a distribuidora COGUA, segun factura #2788770194, 19/05/22"/>
        <s v="se compro mercaderia a distribuciones Guayacan, segun factura #3191685960, 19/05/22"/>
        <s v="se compro mercaderia Idealsa, segun factura #1531399999, 18/05/22"/>
        <s v="se compro mercaderia a bodega farmaceutica, segun factura #3309978689, 19/05/22"/>
        <s v="se compro mercaderia  a distribuidora  el campesino, segun factura #2785034452, 18/05/22"/>
        <s v="se compro mercaderia a Grupo Palmas Costa Sur, segun factura #1652920100, 16/05/22"/>
        <s v="se compro mercaderia a distribuidora Proyalsa, segun factura #3686352360, 18/05/22"/>
        <s v="se compro  golosina, margarina y aceite, segun comrpobante, 18/05/22"/>
        <s v="se compro mercaderia a corporacion Gama de occidente, segun factura #1350976451, 18/05/22"/>
        <s v="se compro mercaderia  a fabrica de productos alimenticios Rene, segun factura #612323931, 19/05/22"/>
        <s v="se compro mercaderia a distribuidora de licores, segun factura #3299822518, 19/05/22"/>
        <s v="se compro mercaderia Bocadeli, segun factura #3364373017, 18/05/22"/>
        <s v="se compro 18 unidades de shampoo, no hay factura , 18/05/22"/>
        <s v="se compro mercaderia  a comercializadora los volcanes, segun factura #4078389721, 18/05/22"/>
        <s v="se compro mercaderia a distribuidora Yani, segun factura #40021, 16/05/22"/>
        <s v="se compro mercaderia Nestle, segun factura #3169010427, 18/05/22"/>
        <s v="se compro 4 telefonos gama alta tigo, segun nota de envio, PVR0308-032614, 18/05/22"/>
        <s v="se compro mercaderia pepsi, segun comprobante, 18/05/22"/>
        <s v="se compro mercaderia a industria la popular, segun factura #3107931358, 14/05/22"/>
        <s v="se compro mercaderia Maxa, segun comprobante, 18/05/22"/>
        <s v="se compro mercaderia a  distribuidora La Uva segun factura #439044767, 12/05/22"/>
        <s v="se compro mercaderia a distribuidora sagitario, segun factura #87115188, 17/05/22"/>
        <s v="se compro mercaderia a distribuidora me llega, segun comprobante, 17/05/22"/>
        <s v="se compro mercaderia a distribuidora  la bendicion segun factura #326597, 12/05/22"/>
        <s v="se compro  160 cereales  a distribuidora me llega, segun comprobante, 16/05/22"/>
        <s v="se compro mercaderia a distribuidroa Codisa, segun factura #3839313367, 14/05/22"/>
        <s v="se compro mercaderia Pepsi, segun comprobante, 14/05/22"/>
        <s v="se compro mercaderia a distribuidora  sagitario, segun factura #3979562350, 13/05/22"/>
        <s v="se compro mercaderia  a distribuidora Inasa, segun factura #1711753821, 11/05/22"/>
        <s v="se compro mercaderia a distribuidora Sagitario, segun factura #3602728458, 13/05/22"/>
        <s v="se comrpraron bicicletas, segun recibo , 13/05/22"/>
        <s v="se compro mercaderia Idealsa, segun factura #2403943408, 11/05/22"/>
        <s v="se compro mercaderia a bodega farmaceutica, segun factura #4069213628, 13/05/22"/>
        <s v=" se compro mercaderia desechables, segun factura no contable., 13/05/22"/>
        <s v="se compro mercaderia a bodega farmaceutica, segun factura #3332917594, 12/05/22"/>
        <s v="se compro mercaderia a distribuidora  COGUA, segun factura #2769438467, 12/05/22"/>
        <s v="se compro mercaderia a distribuidora Proyalsa, segun factura #4157820031, 11/05/22"/>
        <s v="se compro mercaderia a corporacion Gama de occidente, segun factura #253708916, 11/05/22"/>
        <s v="se compro mercaderia Nestle, segun factura #2856206420, 11/05/22"/>
        <s v="se compro mercaderia a comercializadora los volcanes, segun factura #1839024912, 11/05/22"/>
        <s v="se compro productos basicos para cocina, no hay factura , 11/05/22"/>
        <s v="se compro mercaderia pepsi, no hay factura }, 11/05/22"/>
        <s v="se compro productos varios para cocina, segun factura no contable, 11/05/22"/>
        <s v="se compro 40 libras de arros blanco segun comprobante, 09/05/22"/>
        <s v="se compro mercaderia a distribuidora Maxa, segun factura #103236850, 09/05/22"/>
        <s v="se compro mercaderia a distribuidora  sagitario, segun factura #3561964156, 07/05/22"/>
        <s v="se compro mercaderia a distribuidora  la bendicion de Dios, segun factura #005228, 05/05/22"/>
        <s v="se compro mercaderia a distribuciones Guayacan, segun factura #827150260, 05/05/22"/>
        <s v="se compro mercaderia a bodega farmaceutica, segun factura #2896249634, 05/05/22"/>
        <s v="se compro mercaderia  a distribuidora COGUA, segun factura #3737079068, 05/05/22"/>
        <s v="se compro mercaderia Idealsa, segun factura #2875148244, 04/05/22"/>
        <s v="se compro 40 libras de frijol segun comprobante., 06/05/22"/>
        <s v="se compro mercaderia  a corporacion Gama de Occidente, segun factura #1998211539, 04/05/22"/>
        <s v="se compro mercaderia a distribuidora  el campesino, segun factura #2640396957, 04/05/22"/>
        <s v="se compro mercaderia  cafe quetzal, segun factura #1966425172, 05/05/22"/>
        <s v="se compro mercaderia  a distribuidora Proyalsa, segun factura #806046194, 04/05/22"/>
        <s v="se compro mercaderia a grupo palmas costa sur, segun factura #1651642914, 02/05/22"/>
        <s v="se compro mercaderia  a corporacion Gama de occidente, segun factura #796410464, 04/05/22"/>
        <s v="se compro mercaderia a distribuidora sagitario, segun factura #3978904123, 05/05/22"/>
        <s v="se compro mercaderia  Bocadeli, segun factura #1201356904, 04/05/22"/>
        <s v="se compro mercaderia a industria La Popular, segun factura #2382840768, 01/05/22"/>
        <s v="se compro mercaderia Nestle, segun factura #3192276759, 04/05/22"/>
        <s v="se compro mercaderia a distribuidora Yani, segun factura #38491, 03/05/22"/>
        <s v="se compro mercaderia pepsi, segun comprobante, 04/05/22"/>
        <s v="se compro mercaderia a comercializadora los volcanes, segun factura #3247195775, 04/05/22"/>
        <s v="se compro 50 libras de arroz blanco, segun comprobante, 04/05/22"/>
        <s v="se compro mercaderia a industrias magañas L. segun factura#45413, 03/05/22"/>
        <s v="Se compro mercaderia  a distribuidora sagitario, segun factura #3950264867, 03/05/22"/>
        <s v="se compro mercaderia a distribuidora la bendicion, segun factura #321947, 02/05/22"/>
        <s v="se compro mercaderia Ninoska, segun factura #1351960365, 01/05/22"/>
        <s v="se compro mercaderia a distribuidora CODISA, segun factura #2568634478, 01/05/22"/>
        <s v="se compro mercaderia a distribuidora sagitario, segun factura #316687866, 24/05/22"/>
        <s v="se compro mercaderia de especies segun recibo No.28, 01/06/22"/>
        <s v="se compro mercaderia comabsa, segun factura #2730377263, 02/06/22"/>
        <s v="se compro mercaderia la bonita, segun factura #4025369562, 02/06/22"/>
        <s v="se compro mercaderia senorsa, segun factura #2949791946, 02/06/22"/>
        <s v="se compro mercaderia milpas altas, segun factura #12777374, 03/06/22"/>
        <s v="se compro mercaderia Maravilla, segun factura #106250812, 06/06/22"/>
        <s v="se compro mercaderia bimbo, segun factura #111119329, 06/06/22"/>
        <s v="se compro mercaderia Lala, segun factura #3709815373, 06/06/22"/>
        <s v="se compro mercaderia bimbo, segun factura #2223786306, 07/06/22"/>
        <s v="se compro mercaderia fud, segun factura #4870007507, 07/06/22"/>
        <s v="se compro mercaderia la bonita, segun factura #948390744, 10/06/22"/>
        <s v="se compro mercaderia maravilla, segun factura #1410353523, 13/06/22"/>
        <s v="se compro mercaderia bimbo, segun factura #111242423, 13/06/22"/>
        <s v="se compro mercaderia lala, segun factura #1731873849, 13/06/22"/>
        <s v="se compro mercaderia bimbo, segun factura #1654868904, 14/06/22"/>
        <s v="se compro mercaderia Fud, segun factura #4870007639, 14/06/22"/>
        <s v="se compro mercaderia comabsa, segun factura #350900016, 16/06/22"/>
        <s v="se compro mercaderia Senorsa, segun factura #803031556, 16/06/22"/>
        <s v="se compro mercaderia la bonita, segun factura #861093957, 16/06/22"/>
        <s v="se compro mercaderia Inprolacsa, segun factura #2246657439, 17/06/22"/>
        <s v="se compro mercaderia Dinant, segun comprobante, 18/06/22"/>
        <s v="se compro mercaderia Maravilla, segun factura #954679619, 20/06/22"/>
        <s v="se compro mercaderia Lala, segun factura #3823519580, 20/06/22"/>
        <s v="se compro mercaderia bimbo, segun factura #111597731, 20/06/22"/>
        <s v="se compro mercaderia bimbo, segun factura #3227535125, 21/06/22"/>
        <s v="se compro mercaderia Fud, segun factura #4870007757, 21/06/22"/>
        <s v="se compro mercaderia de especies, segun recibo,.35, 23/06/22"/>
        <s v="se compro mercaderia la bonita, segun factura #4182001815, 23/06/22"/>
        <s v="se compro mercaderia inprolacsa, segun factura #747520413, 23/06/22"/>
        <s v="se compro mercaderia Maravilla, segun factura #3772598161, 27/06/22"/>
        <s v="se compro mercaderia bimbo, segun factura #763972820, 27/06/22"/>
        <s v="se compro mercaderia lala, segun factura #1429161162, 27/06/22"/>
        <s v="se compro mercaderia Bimbo, segun factura #1946437231, 28/06/22"/>
        <s v="se compro mercaderia FUD, segun factura #4870007874, 28/06/22"/>
        <s v="se compro mercaderia milpas altas, segun factura #3938405252, 28/ 06/22"/>
        <s v="se compro mercaderia Tropic, segun factura #2443855140, 28/ 06/22"/>
        <s v="se compro mercaderia Senorsa, segun factura #1435123883, 30/06/22"/>
        <s v="pago del personal de trabajo , 30/06/22"/>
        <s v="gastos realizados durante el mes , 30/06/22"/>
        <s v="ventas brutas durante el mes, 30/06/22"/>
        <s v="compras realizadas con tarjeta , 30/06/22"/>
        <s v="se compro mercaderia Idealsa, segun factura #358960008, 29/06/22"/>
        <s v="pago de servicio de energia electrica, 29/06/22"/>
        <s v="compra der mercaderia de fabrica de productos alimenticios Rene, segun factura #612325065, 30/06/22"/>
        <s v="se compro mercaderia Bocadeli, segun factura #1345996429, 29/06/22"/>
        <s v="se compro mercaderia a Distribuidora el campesino, segun factura #3393536545, 29/06/22"/>
        <s v="se compro mercaderia a grupo palmas costa sur, segun factura #1656497766, 27/06/22"/>
        <s v="se compro mercaderia a distribuidora Proyalsa, segun factura #3866905954, 29/06/22"/>
        <s v="se compro mercaderia a corporacion Gama, segun factura #900943294, 29/06/22"/>
        <s v="se compro mercaderia a distribuidora de licores, segun factura #2365079668, 30/06/22"/>
        <s v="se compro mercaderia a distribuidora Yani, segun factura #43736, 28/06/22"/>
        <s v="se compro mercaderia Nestle, segun factura #64309814, 29/06/22"/>
        <s v="se compro mercaderia Laky Men, segun comprobante, 29/06/22"/>
        <s v="se compro mercaderia a distribuidora las mariposas, segun factura #931483626, 29/06/22"/>
        <s v="se compro mercaderia a distribuidroa los volcanes, segun factura #3770368269, 29/06/22"/>
        <s v="se compro mercaderia Ninoshka, segun factura #100024611, 24/06/22"/>
        <s v="se compro mercaderia a industrias magañas, segun factura #3853533848, 27/06/22"/>
        <s v="se compro mercaderia a distribuidora Sagitario, segun factura #2628928059, 28/06/22"/>
        <s v="se compro mercaderia a distribuidora la bendicion, segun factura #006779, 27/06/22"/>
        <s v="se compro mercaderia Codisa, segun factura #192497041, 25/06/22"/>
        <s v="se compro mercaderia a fabrica de productos alimenticios Rene, segun factura #612324940, 27/06/22"/>
        <s v="se compro mercaderia a industrias la popular, segun factura #3191295610, 25/06/22"/>
        <s v="se compro mercaderia  a distribuidora sagitario, segun factura #2521452247, 25/06/22"/>
        <s v="se compro mercaderia a distribuidora me llega, segun factura #3022669868, 24/06/22"/>
        <s v="se compro mercaderia a distribuidora sagitario, segun factura #2582398382, 24/06/22"/>
        <s v="se compro mercaderia Inasa, segun factura #2228045711, 22/06/22"/>
        <s v="se compro mercaderia a corporacion Gama de Occidente, segun factura #714557299, 22/06/22"/>
        <s v="se compro mercaderia Idealsa, segun factura #1706837218, 22/06/22"/>
        <s v="se compro 1 M. bandeja y 200 basureros, segun factura no contable, 23/06/22"/>
        <s v="se compro mercaderi a distribuidora  de licores, segun factura #825706888, 23/06/22"/>
        <s v="se compro mercaderia  a bodega farmaceutica, segun factura #1020022626, 22/06/22"/>
        <s v="se compro 40 unidades de arroz blanco, segun comprobant, 22/06/22"/>
        <s v="se compro mercaderia a distribuidora acsa, segun factura #1236289805, 22/06/22"/>
        <s v="se compro mercaderia a distribuidora Dacema, segun factura #1374372904, 17/06/22"/>
        <s v="se compro mercaderia Nestle, segun factura #3983624694, 22/06/22"/>
        <s v="se compro mercaderia Pepsi, segun comprobante, 22/06/22"/>
        <s v="se compro mercaderia a distribuidora Marte, segun factura #2810332336, 16/06/22"/>
        <s v="se compro mercaderia a comercializadora lo volcanes, segun factura #670321755, 22/06/22"/>
        <s v="se compro mercaderia a distribuidora Yani, segun factura #43095, 21/06/22"/>
        <s v="se compro mercaderia a Distribuidora Sagitario, segun factura #234439413, 21/ 06/22"/>
        <s v="se compro mercaderia a distribuidora la bendicion, segun factura #006620, 20/06/22"/>
        <s v="se compro mercaderia Maxa, segun factura #3451537466, 20/06/22"/>
        <s v="se compro mercaderia a distribuidora Guayacan, segun factura #376915643, 16/06/22"/>
        <s v="se compro mercaderia a distribuidora Cogua, segun factura #1318670124, 16/06/22"/>
        <s v="se compro mercaderia a bodega farmaceutica, segun factura #2926592330, 16/06/22"/>
        <s v="se compro mercaderia Idealsa, segun factura #311706943, 15/06/22"/>
        <s v="se compro mercaderia Cafe quetzal, segun factura #2594066267, 16/06/22"/>
        <s v="se compro mercaderia a distribuidora el campesino, segun factura #3760668743, 15/06/22"/>
        <s v="se compro mercaderia Bocadeli,segun factura #3774497160, 15/06/22"/>
        <s v="se compro mercaderia a grupo palmas, segun factura #1655285209, 13/06/22"/>
        <s v="se compro mercaderia a distribuidora de licores, segun factura #1008288235, 16/06/22"/>
        <s v="se compro mercaderia Nestle, segun factura #783893567, 15/06/22"/>
        <s v="compra de  Sommieres y estufas, segun comprobante, 15/06/22"/>
        <s v="se compro mercaderia a industrias la popular, segun factura #716262366, 14/06/22"/>
        <s v="se compro mercaderia pepsi, segun comprobante, 15/06/22"/>
        <s v="se compro mercaderia a comercializadora los volcanes, segun factura #3448065715, 15/06/22"/>
        <s v="compra de 4 bicicletas shimano, segun comprobante, 14/06/22"/>
        <s v="se compro mercaderia Codisa, segun factura #1062227418, 11/06/22"/>
        <s v="se compro mercaderia Maxa, segun comprobante, 13/06/22"/>
        <s v="se compro mercaderia a distribuidora me llega, segun factura #4087303739, 10/06/22"/>
        <s v="se compro mercaderia a distribuidora sagitario, segun factura #3530048967, 10/06/22"/>
        <s v="se compro mercaderia Inasa, segun factura #4153296380, 08/06/22"/>
        <s v="se compro mercaderia a corporacion Gama de occidente, segun factura #3025161473, 08/06/22"/>
        <s v="se compro mercaderia de productos desechables, segun factura no comercial., 09/06/22"/>
        <s v="se compro mercaderia Idealsa, segun factura #693325801, 08/06/22"/>
        <s v="se compro mercaderia a fabrica de productos alimenticios Rene, segun factura #612324523, 09/06/22"/>
        <s v="se compro 50 unidades de frijol segun comprobante, 09/06/22"/>
        <s v="se compro 50 unidades de arroz blanco segun comprobante, 09/06/22"/>
        <s v="se compro mercaderia a distribuidora Proyalsa, segun factura #3493282916, 08/06/22"/>
        <s v="se compro mercaderia Bocadeli, segun factura #3119140561, 08/06/22"/>
        <s v="se compro mercaderia a distribuidora  sagitario, segun factura#2650164126, 09/06/22"/>
        <s v="se compro mercaderia  a distribuidora me llega, segun factura #713048142, 09/06/22"/>
        <s v="se compro mercaderia a distribuidora de licores, segun factura #619661686, 09/06/22"/>
        <s v="se compro mercaderia Pepsi, segun comprobante, 08/06/22"/>
        <s v="se compro mercaderia Nestle, segun factura #1892632692, 08/06/22"/>
        <s v="se compro mercaderia a grupo  Bodegas farmaceuticas, segun factura #2061322932, 08/06/22"/>
        <s v="se compro mercaderia a distribuidora Yani, segun factura #41928, 07/06/22"/>
        <s v="se compro 1 telefono Pco X4 pro, segun recibo No.000657, 08/06/22"/>
        <s v="se compro mercaderia  a comercializadora los volcanes, segun factura #245843463, 08/06/22"/>
        <s v="se compro mercaderia  a distribuidora  la bendicion de Dios, segun factura #333215, 06/06/22"/>
        <s v="se compro mercaderia  Maxa, segun comprobante, 06/06/22"/>
        <s v="se compro mercaderia  Nutrica, segun factura #689981383, 03/06/22"/>
        <s v="se compro mercaderia Pepsi, segun comprobante, 04/06/22"/>
        <s v="se compro mercaderia a distribuidora Sagitario, segun factura #123030463, 04/ 06/22"/>
        <s v="se compro mercaderia a distribuidora Guayacan, segun factura #3224126362, 02/06/22"/>
        <s v="se compro mercaderia a distribuidora Cogua, segun factura #2563589792, 02/06/22"/>
        <s v="se compro mercaderia de productos para fiestas, con envio incluido, segun factura #2255, 03/06/22"/>
        <s v="se compro mercaderia a corporacion Gama, segun factura #1423787530, 01/06/22"/>
        <s v="se compro mercaderia a distribuidora el campesino segun factura #849103577, 01/06/22"/>
        <s v="se compro mercaderia a fabrica de productos alimenticios Rene, segun factura#612324323, 02/06/22"/>
        <s v="se compro mercaderia a grupo palmas, segun factura #1654062920, 01/06/22"/>
        <s v="se compro mercaderia a distribuidora Proyalsa, segun factura #3190246472, 01/06/22"/>
        <s v="se compro mercaderia a corporacion Instantaneo, segun factura #33001105, 01/06/22"/>
        <s v="se compro mercaderia a distribuidora de licores, segun factura #3792191848, 02/06/22"/>
        <s v="se compro mercaderia Bocadeli, segun factura #161628254, 01/06/22"/>
        <s v="se compro mercaderia Nestle, segun factura #934169129, 01/06/22"/>
        <s v="se compro mercaderia a distribuidora la casa del dulce, segun factura #2203207340, 01/06/22"/>
        <s v="se compro mercaderia a distribuidora Yani, segun factura #41333, 01/06/22"/>
        <s v="se compro mercaderia Pepsi, segun comprobante, 01/06/22"/>
        <s v="se compro mercaderia a comercializadora los volcanes, segun factura #1252085240, 01/06/22"/>
        <s v="compra de tiempo de aire claro, 23/06/22"/>
        <s v="total de gastos varios, 30/06/22"/>
        <s v="compra de mercaderia la bonita, segun factura #1272070847, 01/07/22"/>
        <s v="compra de mercaderia de especies, segun comprobante , 02/07/22"/>
        <s v="compra de mercaderia maravilla, segun factura 2802271890, 04/07/22"/>
        <s v="se compro mercaderia lala, segun factura #161302858, 04/ 07/22"/>
        <s v="se compro mercaderia bimbo, segun factura 1183218312, 04/ 07/22"/>
        <s v="se compro mercaderia bimbo, segun factura #1685147254, 05/07/22"/>
        <s v="se compro mercaderia FUD, segun factura #4870007994, 05/07/22"/>
        <s v="se compro mercadera de especies, segun comprobante No.37, 06/07/22"/>
        <s v="se compro mercaderia la bonita, segun factura  1790723193, 08/07/22"/>
        <s v="se compro mercaderia maravilla, segun factuar #232672916, 11/07/22"/>
        <s v="se compro mercaderia bimbo, segun factura #118627328, 11/07/22"/>
        <s v="se compro mercaderia Lala, segun factura #590431212, 11/07/22"/>
        <s v="se compro mercaderia bimbo, segun factura #1785876393, 12/07/22"/>
        <s v="se compro mercaderia FUD, segun factura #4870008123, 12/07/22"/>
        <s v="se compro mercaderia la bonita, segun factura #165039994, 14/07/22"/>
        <s v="se compro mercaderia senorsa, segun factura #2788838370, 14/07/22"/>
        <s v="se compro mercaderia comabsa, segun factura #1919436083, 14/07/22"/>
        <s v="se compro mercaderia  de especies, segun comprobante No43, 15/07/22"/>
        <s v="se compro mercaderia maravilla, segun factura #152626942176, 18/07/22"/>
        <s v="se compro mercaderia Lala, segun factura #1913210238, 18/07/22"/>
        <s v="se compro mercaderia bimbo, segun factura #118315135, 18/07/22"/>
        <s v="se compro mercaderia bimbo, segun factura #3641789758, 19/07/22"/>
        <s v="se compro mercaderia FUD, segun factura #4870008259, 19/07/22"/>
        <s v="se compro mercaderia la bonita, segun factura #2634631399, 22/07/22"/>
        <s v="se compro mercaderia inprolacsa, segun factura #115098548, 23/07/22"/>
        <s v="se compro mercaderia maravilla, segun factura #1750876643, 25/07/22"/>
        <s v="se compro mercaderia de especies, segun comprobante 45, 25/07/22"/>
        <s v="se compro mercaderia bimbo, segun comprobante 388648788, 25/07/22"/>
        <s v="se compro mercaderia lala, segun factura #2364818281, 25/07/22"/>
        <s v="se compro mercaderia bimbo, segun factura #2255506947, 26/07/22"/>
        <s v="se compro mercaderia fud, segun factura #4870008394, 26/07/22"/>
        <s v="se compro mercaderia de especies, segun comprobante 46, 27/07/22"/>
        <s v="se compro mercaderia milpas altas, segun factura #2576239027, 27/07/22"/>
        <s v="se compro mercaderia comabsa, segun factura #1807173472, 28/07/22"/>
        <s v="se compro mercaderia tropic, segun factura #3023521277, 28/07/22"/>
        <s v="se compro mercaderia senorsa, segun factura #3776463763, 28/07/22"/>
        <s v="se compro mercaderia la bonita, segun factura #245252907, 29/07/22"/>
        <s v="pago del personal de trabajo , 31/07/22"/>
        <s v="pago del personal del bono 14 , 31/07/22"/>
        <s v="ventas brutas durante el mes , 31/07/22"/>
        <s v="compras pagadas con tarjeta , 31/07/22"/>
        <s v="gastos varios durante el mes, 31/07/22"/>
        <s v="pago mensual de energia electrica , 31/07/22"/>
        <s v="compra de mercaderia a fabrica de productos alimenticios Rene, segun factura #612325791, 30/07/22"/>
        <s v="compra de mercaderia de golosinas, segun comprobante, 30/07/22"/>
        <s v="compra de mercaderia a distribuidora guayacan, segun factura #4110369393, 28/07/22"/>
        <s v="se compro mercaderia a distribuidora Sagitario, segun factura #938493410, 29/07/22"/>
        <s v="se compro mercaderia  Idealsa, segun factura #1900953652, 27/07/22"/>
        <s v="se compro mercaderia a bodega farmaceutica, segun factura #4118628453, 28/07/22"/>
        <s v="se compro 15 unidades de arroz blanco, segun comprobante, 28/07/22"/>
        <s v="se compro mercaderia de leche segun comprobante, 28/07/22"/>
        <s v="se compro mercaderia a distribuidora el campesino, segun factura #174408515, 27/07/22"/>
        <s v="se compro mercaderia a grupo palmas, segun factura #1658915624, 25/07/22"/>
        <s v="se compro mercaderia a distribuidora Acsa, segun factura #1932610639, 28/07/22"/>
        <s v="se compro mercaderia a distribuidora proyalsa, segun factura #2703312616, 27/07/22"/>
        <s v="se compro mercaderia bocadeli, segun factura #1890799428, 27/07/22"/>
        <s v="se compro mercaderia a corporacion Gama de Occidente, segun factura #3835643014, 27/07/22"/>
        <s v="se compro mercaderia a distribuidora de licores,  segun factura #3823586859, 28/07/22"/>
        <s v="se compro mercaderia Nestle, segun factura #968641225, 27/07/22"/>
        <s v="se compro mercaderia a comercializadora los volcanes, segun factura #3603317835, 27/07/22"/>
        <s v="se compro mercaderia a distribuidora las mariposas, segun factura #1076185112, 27/07/22"/>
        <s v="se compro mercaderia a distribuidora sagitario, segun factura #3774106547, 27/07/22"/>
        <s v="se compro mercaderia a distribuidora Yani, segun factura #46634, 26/07/22"/>
        <s v="se compro mercaderia Ninoshka, segun factura #1550795964, 22/07/22"/>
        <s v="se compro mercaderia a distribuidora la bendicion de Dios, segun factura #350855, 21/07/22"/>
        <s v="compra de mercaderia la popular, segun factura #2315602512, 23/07/22"/>
        <s v="se compro mercaderia a grupo palmas costa sur, segun factura #1658607125, 21/07/22"/>
        <s v="se compro mercaderia Codisa, segun factura #1824213674, 23/07/22"/>
        <s v="se compro mercaderia  a distribuidora me llega , 22/07/22"/>
        <s v="se compro mercaderia  a alimentos  nutrica, segun factura #3025487127, 19/07/22"/>
        <s v="se compro mercaderia Inasa, segun factura #4150283431, 20/07/22"/>
        <s v="se compro mercaderia a distribuidora sagitario, segun factura #2122270242, 22/07/22"/>
        <s v="se compro mercaderia  Idealsa, segun factura #3654307217, 20/07/22"/>
        <s v="se compro mercaderia a bodega farmaceutica, segun factura #3555411281, 21/07/22"/>
        <s v="Se compro mercaderia bocadeli, segun factura #2819571894, 20/07/22"/>
        <s v="se compro mercaderia Proyalsa, segun factura #2091336337, 21/07/22"/>
        <s v="se compro mercaderia Dacema, segun factura #1397902013, 13/07/22"/>
        <s v="se compro mercaderia a fabrica de productos alimenticios Rene, segun factura#603120298, 21/07/22"/>
        <s v="se compro mercaderia a corporacion gama de occidente, segun factura #1774602826, 20/07/22"/>
        <s v="se compro mercaderia Nestle, segun factura #501629246, 20/07/22"/>
        <s v="se compro mercaderia de golosinas segun comprobante, 20/07/22"/>
        <s v="se compro mercaderia  a bodega farmaceutica, segun factura #3666300469, 19/07/22"/>
        <s v="se compro mercaderia Pepsi, segun comprobante, 19/07/22"/>
        <s v="se compro mercaderia  a comercializadora los volcanes, segun factura #2138393177, 20/07/22"/>
        <s v="se compro mercaderia de shampoo segun comprobante, 20/07/22"/>
        <s v="se compro mercaderia a distribuidora Dilacsa, segun factura #1579370060, 18/07/22"/>
        <s v="se compro mercaderia a distribuidora sagitario, segun factura #1374962934, 19/07/22"/>
        <s v="se compro mercaderia Maxa, segun comprobante, 19/07/22"/>
        <s v="se compro mercaderia a distribuidora la bendicion, segun factura #1114915257, 18/07/22"/>
        <s v="Se compro mercaderia   a Grupo palmas, segun factura #1658042986, 14/07/22"/>
        <s v="se compro mercaderia a corporacion de instantaneos san isabel, segun factura #4029694860, 18/07/22"/>
        <s v="se compro mercaderia a fabrica de productos alimenticios Rene, segun factura#612325415, 16/07/22"/>
        <s v="se compro mercaderia a distribuciones MyL segun factura #2487, 07/07/22"/>
        <s v="se compro mercaderia a distribuidora la Uva, segun factura #974538683, 13/07/22"/>
        <s v="se cómpro mercaderia a distribuidora Guayacan , segun factura #2660059748, 14/07/22"/>
        <s v="se compro mercaderia Idealsa, segun factura #943472924, 13/07/22"/>
        <s v="se compro mercaderia a industrias la popular, segun factura #2393525555, 13/07/22"/>
        <s v="se compro mercaderia a corporacion Gama, segun factura #3618783455, 13/07/22"/>
        <s v="se compro mercaderia a distribuidora el campesino, segun factura #837371082, 13/07/22"/>
        <s v="se compro mercaderia a grupo palmas, segun factura #1657724607, 11/07/22"/>
        <s v="se compro mercaderia bocadeli, segun factura #2239711319, 13/07/22"/>
        <s v="se compro mercaderia  a distribuidora proyalsa, segun factura #1233930156, 13/07/22"/>
        <s v="se compro mercaderia a distribuidora de licores, segun factura #3876472592, 14/07/22"/>
        <s v="se compro mercaderia a comercializadora los volcanes, segun factura #1521698507, 13/07/22"/>
        <s v="se compro mercaderia pepsi, segun comprobante, 13/07/22"/>
        <s v="se compro mercaderia Nestle, segun factura #3594601709, 13/07/22"/>
        <s v="se compro mercaderia a distribuidora la bendicion de Dio, segun factura #344851, 08/07/22"/>
        <s v="se compro mercaderia Codisa, segun factura #3066776152, 09/07/22"/>
        <s v="se compro mercaderia me llega, segun factura #3416998241, 08/07/22"/>
        <s v="se compro mercaderia  a distribuidora sagitario, segun factura #2446083482, 08/07/22"/>
        <s v="se compro mercaderia  a distribuidora dilacsa, segun factura #934494250, 07/07/22"/>
        <s v="se compro mercaderia Inasa, segun factura #3495577575, 06/07/22"/>
        <s v="se compro mercaderia  a corporacion Gama, segun factura #3994041525, 06/07/22"/>
        <s v="se compro mercaderia a bodega farmaceutica, segun factura #716263307, 07/07/22"/>
        <s v="se compro mercaderia de desodorante, segun factura #19325, 07/07/22"/>
        <s v="se compro mercaderia  Idealsa, segun factura #2177911124, 06/07/22"/>
        <s v="se compro mercaderia  de cafe quetzal, segun factura #1073302970, 07/07/22"/>
        <s v="se compro mercaderia bocadeli segun factura #3551283236, 06/07/22"/>
        <s v="se compro mercaderia de productos desechables, segun comprobante, 07/07/22"/>
        <s v="se compro mercaderia a distribuidora proyalsa segun factura #1792560405, 06/07/22"/>
        <s v="se compro mercaderia a distribuidora de licores, segun factura #363678622, 07/07/22"/>
        <s v="se compro mercaderia a comercializadora la casa del dulce, segun factura #1765362800, 02/07/22"/>
        <s v="se compro mercaderia a distribuidora yani, segun factura #44390, 05/07/22"/>
        <s v="se compro mercaderia Nestle, segun factura #2865186131, 06/07/22"/>
        <s v="se compro mercaderia a  bodega farmaceutica, segun factura#1010977955, 06/07/22"/>
        <s v="se compro mercaderia de golosinas segun comprobante, 06/07/22"/>
        <s v="se compro mercaderia a distribuidora las mariposas, segun factura #4136584495, 06/07/22"/>
        <s v="se compro mercaderia a comercializadora los volcanes segun factura #3542763133, 06/07/22"/>
        <s v="se compro mercaderia a distribuidora Maxa, segun comprobante, 05/07/22"/>
        <s v="se compro mercaderia a distribuidora  sagitario, segun factura #360337187, 05/07/22"/>
        <s v="se compro mercaderia  a distribuidora guayacan segun factura #1052655910, 01/07/22"/>
        <s v="se compro mercaderia  a distribuidora Cogua, segun factura #2428651088, 01/07/22"/>
        <s v="Viaticos Dominicales Marlon Perz, 25/10/2015" u="1"/>
        <s v="Transporte dominical y Culto de los Jueves + Bautizos en Sonsonate  Hno Marcos, 11/12/2016" u="1"/>
        <s v="Compra de Crallolas para escuelita de niños el Caulote, 26/06/2016" u="1"/>
        <s v="Transporte Hno Marcos Semana del 26 de Marzo al 30 de marzo-18, 29/02/018" u="1"/>
        <s v="Cancel de Diezmo Correspondiente a Noviem-15, 11/12/2015" u="1"/>
        <s v="Grupo Oasis, 29/10/2017" u="1"/>
        <s v="Transporte Hno Marcos Del 21 octubre al 25 Oct-18 , 31/10/2018" u="1"/>
        <s v="Evangelismo En Valle nuevo, 24/05/2018" u="1"/>
        <s v="Transporte Dominical + Culto de Jueves + Viaje a reparacion de Instrumentos musicales Hno Marcos, 18/12/2016" u="1"/>
        <s v="Ofrendas Dominicales, 23/10/2016" u="1"/>
        <s v="compresor aire ac chevrolet sonic efectivo , 13/06/2019" u="1"/>
        <s v="No se han agregado gastos o ingresos todavía" u="1"/>
        <s v="Pago de transporte, Moises Escobar, 30/08/2015" u="1"/>
        <s v="Capacitación de Jóvenes, Felix Renderos, 23/08/2015" u="1"/>
        <s v="Ofrenda Culto de los domingos, 01/10/2017" u="1"/>
        <s v="Ofrenda culto de los domingos, 21/10/2018" u="1"/>
        <s v="Gastos de Noche de Milagros publicidady otros, 19/07/2017" u="1"/>
        <s v="Cancelaciòn de Energia electrica local iglesia abril-17, 23/04/2017" u="1"/>
        <s v="Transporte Dominical, 27/03/2016" u="1"/>
        <s v="Compra de alimentos para pastor invitario vigilia mensual, 26/02/2016" u="1"/>
        <s v="Transporte Dominical, 03/04/2016" u="1"/>
        <s v="Gastos para Vigilia mensual, 29/11/2018" u="1"/>
        <s v="Diezmo Filial el mora Mayo-18, 06/05/2018" u="1"/>
        <s v="Diezmos Dominicales, 04/11/2018" u="1"/>
        <s v="Ofrenda Dominicales, 16/10/2016" u="1"/>
        <s v="Ofrendas dominicales, 10/01/2016" u="1"/>
        <s v="Ofrendas Dominicales, 18/10/2015" u="1"/>
        <s v="Pago de transporte, Moises Escobar, 31/05/2015" u="1"/>
        <s v="Ofrenda Culto de los Jueves, 06/07/2017" u="1"/>
        <s v="Diezmo Iglesia Sonsonate Nov y Dic-2017, 14/01/2018" u="1"/>
        <s v="Pago de Transporte, Moises Escobar, 21/06/2015" u="1"/>
        <s v="Ofrendas Dominicales, 20/11/2016" u="1"/>
        <s v="Escuelitas Dominicales , 11/06/2017" u="1"/>
        <s v="Gastos de transporte del 11/Jun al 08/07/2018, 08/07/2018" u="1"/>
        <s v="Gastos de Copias y evangelismo , 23/07/2017" u="1"/>
        <s v="Transporte Hno Marcos del 11 de Dic al 24 de Dic, 31/12/2017" u="1"/>
        <s v="Refrigerio de Escuelitas de Niños, 19/09/2015" u="1"/>
        <s v="Diezmos dia domingo, 10/05/2015" u="1"/>
        <s v="Fotocopias para escuelitas, 16/10/2015" u="1"/>
        <s v="Para Refrijerio Viligilia Mensual, 22/03/2018" u="1"/>
        <s v="Tazas para el dia de las madres, 17/05/2018" u="1"/>
        <s v="Combustible hno enrique por aniversario de metalio, 14/02/2016" u="1"/>
        <s v="90 Fotocopias, 10/10/2015" u="1"/>
        <s v="Combustible traslado de miembros de la iglesia, 26/06/2015" u="1"/>
        <s v="Ofrendas Vigilia Mensual, 23/03/2018" u="1"/>
        <s v="bidon diluyente 5litros  X2 B°13143, 12/06/2019" u="1"/>
        <s v="Ofrenda para el Pastor Elias por Vigilia Mensual, 28/04/2017" u="1"/>
        <s v="Diezmos Dominicales , 11/02/2018" u="1"/>
        <s v="Prestamo al Hno Enrique, cambio de monedas de 0.25 centavos y de $ 1.00, 01/04/2018" u="1"/>
        <s v="Ofrendas Culto entre Semana 03/11/2016, 06/11/2016" u="1"/>
        <s v="Transporte de Vigilia mensual +  Semana de Oración., 19/06/2016" u="1"/>
        <s v="Transporte Hnos del Mora por Vigilia mensual, 28/04/2017" u="1"/>
        <s v="Escuelitas Sin Ley y Porvenir, 17/07/2016" u="1"/>
        <s v="Refrigerio de escuelitas dominicales culto general, 11/09/2016" u="1"/>
        <s v="Compra de Espiga para Piano + Sincha para guitarra electrica, factura # 7989, 16/07/2016" u="1"/>
        <s v="Viaje al valle nuevo, 05/07/2018" u="1"/>
        <s v="ofrendas dominicaels, 31/01/2016" u="1"/>
        <s v="Combustible traslado de miembros de la iglesia, 26/07/2015" u="1"/>
        <s v="Resma de papel Bond , 17/05/2018" u="1"/>
        <s v="Viajes al Sunza, 30/08/2018" u="1"/>
        <s v="CUNA KIA RIO 4 Y BANDEJA IZQUIERDA , 10/06/2019" u="1"/>
        <s v="Ofrendas Dominicales, 15/11/2015" u="1"/>
        <s v="Pago de transporte, Moises Escobar, 12/07/2015" u="1"/>
        <s v="Viajes a Vallenuevo, 30/08/2018" u="1"/>
        <s v="Pago de transporte, Moises Escobar, 02/08/2015" u="1"/>
        <s v="Compra de palo para fiesta y refrigerio para niños, 26/07/2015" u="1"/>
        <s v="Refrigerios para Escuelitas, CALLE SIN LEY, EL PORVENIR Y CULTO GENERAL, 04/09/2016" u="1"/>
        <s v="Compra de Resmas de Papel Bond, 20/08/2017" u="1"/>
        <s v="Gastos compra de repuestos, 14/06/2019" u="1"/>
        <s v="Compra de Convertidor Plug para adaptes de consola y power fact. 746, 02/05/2016" u="1"/>
        <s v="transporte de los jueves + semana de oraciòn, 27/04/2017" u="1"/>
        <s v="Transporte Dominical, 01/05/2016" u="1"/>
        <s v="Diezmo de culto Dominical, 02/10/2016" u="1"/>
        <s v="Diezmos Dominicales, 15/11/2018" u="1"/>
        <s v="Diezmos Dominicales, 19/11/2017" u="1"/>
        <s v="Compra de Colores para Escuelita de Niños, 27/08/2017" u="1"/>
        <s v="Compra de Refrigerio para Vigilia Mensual, 27/08/2017" u="1"/>
        <s v="Venta de Jugos sobrantes del evento de mujeres (3 fardos de jugo), 04/06/2016" u="1"/>
        <s v="Ofrendas Dominicales, 22/10/2017" u="1"/>
        <s v="Ofrendas los jueves, 23/11/2017" u="1"/>
        <s v="Pago de Energìa Electrica Local Metalio, 28/05/2017" u="1"/>
        <s v="Ofrendas culto Jueves, 25/10/2018" u="1"/>
        <s v="Fiesta de Escuelitas en Metalillito , 07/08/2016" u="1"/>
        <s v="Combustible Traslado de Miembos de iglesia dias domingos, Marlon , 16/08/2015" u="1"/>
        <s v="Escuelitas Dominicales, todas las escuelitas, 09/07/2017" u="1"/>
        <s v="Pago de Luz Eléctrica Casa del Pastor, 27/08/2017 (Julio y Agosto)" u="1"/>
        <s v="radio sonic  efectivo taty , 13/06/2019" u="1"/>
        <s v="Capacitacion al personal, 22/07/2018" u="1"/>
        <s v="Ayuda Pago de Taxi por Vigilia Mensual Luis, 26/08/2016" u="1"/>
        <s v="Compra de 2 ventiladores, 31/10/2018" u="1"/>
        <s v="Compra de Resma de Papel, 11/10/2018" u="1"/>
        <s v="Ofrendas Culto de los Jueves, 08/10/2017" u="1"/>
        <s v="Pago de transporte, Moises Escobar, 23/08/2015" u="1"/>
        <s v="300 sobres y 100 recibos de diezmos y ofrendas, 15/07/2015" u="1"/>
        <s v="Pago de transporte, Moises Escobar, 13/09/2015" u="1"/>
        <s v="Compra de Espiga para Bajo Electrico, 24/01/2017" u="1"/>
        <s v="Compra de sillas para igleisa , 26/01/2016" u="1"/>
        <s v="Gastos de transporte al caulo, 25/02/2018" u="1"/>
        <s v="Ofrendas Culto dominical, 04/03/2018" u="1"/>
        <s v="Ofrendas de Vigilia Octubre, 27/10/2017" u="1"/>
        <s v="Compra de Baterìas y Cargador Recargables para Microfono Inalambrico Radioshack, 13/08/2017" u="1"/>
        <s v="Compra de Cuerdas para guitarra electrica, 15/07/2017" u="1"/>
        <s v="Ofrendas culto dia jueves, 19/01/2017" u="1"/>
        <s v="Refrigerio por reunion de lideres, 06/01/2018" u="1"/>
        <s v="Transporte Hno Marcos del 18 marzo hasta el 01 de Abril-18, 31/03/2018" u="1"/>
        <s v="Transporte Dominical, 22/05/2016" u="1"/>
        <s v="Compra de Toma macho para conexiones de corriente aniversario, 24/01/2017" u="1"/>
        <s v="Diesmos Vigilia Mensual, 26/08/2016" u="1"/>
        <s v="Pago de transporte, Moises Escobar, 24/05/2015" u="1"/>
        <s v="Refrigerio de Escuelitas de Niños de todas las zonas, 22/01/2017" u="1"/>
        <s v="Ofrendas Dominicales, 27/11/2015" u="1"/>
        <s v="Pago de Transporte, Moises Escobar, 14/06/2015" u="1"/>
        <s v="Ingresos de Estudios biblicos, 09/10/2016" u="1"/>
        <s v="Ofrendas Dominicales, 13/12/2015" u="1"/>
        <s v="Ofrendas culto de los jueves, 04/05/2017" u="1"/>
        <s v="Refrigerio Escuelitas, Moscua, 14/06/2015" u="1"/>
        <s v="Gastos de Transporte Culto Domingo 07-05-2017, 28/05/2017" u="1"/>
        <s v="Compra de Tela para uniformes , 14/01/2017" u="1"/>
        <s v="Copias y Material de Apoyo Proyecto Campeones josue metalio, 10/07/2016" u="1"/>
        <s v="Compra de Panes para Cena de Pastor invitado a vigilia mensual, 29/06/2018" u="1"/>
        <s v="Transporte para Hermanos del Porvenir asistencia a Aniversario 3er, 28/01/2017" u="1"/>
        <s v="Ofrendas de Vigialia Mensual, 24/06/2016" u="1"/>
        <s v="Pago de AFP para Jorge Torres + Viaticos Dic-18, 13/01/2019" u="1"/>
        <s v="Insumos para limpieza de local, 05/07/2018" u="1"/>
        <s v="Compra de Ventoza para Inodoro, 21/01/2018" u="1"/>
        <s v="Insumos de Limpieza para local, 05/08/2018" u="1"/>
        <s v="Compra de Baterìas doble A para microfono inalambrico, 24/01/2017" u="1"/>
        <s v="Compra de Mueble para Iglesia, 29/01/2016" u="1"/>
        <s v="Préstamo a Douglas para comenzar negocio, 19/02/2017" u="1"/>
        <s v="Ofrendas Dominicales, 24/01/2016" u="1"/>
        <s v="Refrigerio de escuelitas en la playa ana torres 3 semanas, 11/09/2016" u="1"/>
        <s v="Diezmos Dominicales, 16/12/2018" u="1"/>
        <s v="Ofrendas Dominicales, 08/11/2015" u="1"/>
        <s v="Ofrendas Dominicales , 19/11/2017" u="1"/>
        <s v="Compra de agua para pastor invitado de cara sucia, 20/05/2018" u="1"/>
        <s v="Transporte Dominical + viaje para traslado de materiales evento de mujeres (complemento), 05/05/2016" u="1"/>
        <s v="Compra de Cuerdas para guitarra acustica, 26/10/2016" u="1"/>
        <s v="Grupo Oasis el Caulote 1, 31/12/2018" u="1"/>
        <s v="Ofrenda Juan Torres, 30/12/2018" u="1"/>
        <s v="Ofrendas Grupos Oasis, 01/01/2017" u="1"/>
        <s v="Ofrenda Jorge Torres Sept-17, 24/09/2017" u="1"/>
        <s v="Pago de transporte, Moises Escobar, 05/07/2015" u="1"/>
        <s v="Transporte al Mora cuto domingo, 29/04/2018" u="1"/>
        <s v="Transporte al Porvenir Domingos, 29/04/2018" u="1"/>
        <s v="Refrigerio escuelitas Mosucua, Carlitos Torres, 25/09/2016" u="1"/>
        <s v="Cancelación de Diezmo a iglesia Sonsonate correspondiente a mayo-16, 12/06/2016" u="1"/>
        <s v="Compra de espigas canon para conexion de crosover, 15/01/2017" u="1"/>
        <s v="Compra de 5 Espigas para Microfono y Guitarra Acùstica para aniversario , 24/01/2017" u="1"/>
        <s v="Escuelitas de niños de la semana, 27/10/2017" u="1"/>
        <s v="Transporte Dominical , 21/08/2016" u="1"/>
        <s v="para jornada medica el mora, 26/11/2017" u="1"/>
        <s v="Compra de tazas para el dia de las madres, 10/05/2018" u="1"/>
        <s v="Fotocopias para Escuelitas Moscua, 20/12/2015" u="1"/>
        <s v="Refrigerio para vigilia mensual mes de julio 2016, 31/02/016" u="1"/>
        <s v="Ofrenda Jueves, 30/08/2018" u="1"/>
        <s v="Cancelacion de diezmo correspondiente a Octubre-15, 06/11/2015" u="1"/>
        <s v="Ofrenda Grupos Oasis, 01/01/2017" u="1"/>
        <s v="Ofrendas Dominicales, 01/01/2017" u="1"/>
        <s v="Ofrendas Dominicales, 09/10/2016" u="1"/>
        <s v="Ofrendas Dominicales, 15/10/2017" u="1"/>
        <s v="Ofrendas Dominicales, 21/01/2017" u="1"/>
        <s v="Compra de cajas de colores para escuelitas, 21/10/2018" u="1"/>
        <s v="Compra de plàstico, 02/02/2017" u="1"/>
        <s v="95 copias y 3 impresiones, 31/07/2015" u="1"/>
        <s v="Compra de Sincha para guitarra + extenciones p quitarra, 30/01/2016" u="1"/>
        <s v="Ofrendas Dominicales, 29/11/2015" u="1"/>
        <s v="Ofrendas Dominicales, 05/12/2015" u="1"/>
        <s v="Ofrendas Dominicales, 11/12/2016" u="1"/>
        <s v="Pago de transporte, Moises Escobar, 26/07/2015" u="1"/>
        <s v="Pago de transporte, Moises Escobar, 16/08/2015" u="1"/>
        <s v="Pago de Energía ELectrica Casa del Pastor Jorge Torres, 20/05/2018" u="1"/>
        <s v="Pago de transporte, Moises Escobar, 06/09/2015" u="1"/>
        <s v="Pago de Ofrenda a pastor invitado a vigilia mensual, 03/12/2016" u="1"/>
        <s v="Insumos de limpieza para local, 08/07/2018" u="1"/>
        <s v="Compra de Asiento para Batería, 20/01/2019" u="1"/>
        <s v="Ofrendas Vigilia viernes, 31/07/2015" u="1"/>
        <s v="Escuelitas de niños de la semana, 03/04/2018" u="1"/>
        <s v="Transporte al Porvenir Don Moises, 03/09/2017" u="1"/>
        <s v="Transrpote al Porvenir don MOises, 24/09/2017" u="1"/>
        <s v="capacitacion de Enlace, 13/09/2018" u="1"/>
        <s v="Ofrendas Grupo Oasis Boulevard2, 30/09/2017" u="1"/>
        <s v="Ofrendas Grupo Oasis hno Marcos, 30/09/2017" u="1"/>
        <s v="Transporte Dominical, 15/05/2016" u="1"/>
        <s v="Paquete de galletas para refrigerio , 07/02/2018" u="1"/>
        <s v="Ofrenda para hermano Elías vigilia mensual, 30/09/2016" u="1"/>
        <s v="Pago de Energia Electrica Casa Jorge Torres Feb-18, 22/02/2018" u="1"/>
        <s v="Ofrendas Evento de Mujeres, 27/10/2018" u="1"/>
        <s v="Ofrendas Dominicales, 06/11/2016" u="1"/>
        <s v="Compra de refrigerio para Ministerio de alabanza por ensayo el domingo, 08/07/2018" u="1"/>
        <s v="Ofrenda Pastor Elias vigilia mensual, 26/02/2016" u="1"/>
        <s v="Pago de transporte, Moises Escobar, 17/05/2015" u="1"/>
        <s v="Ofrendas Culto de los Jueves, 19/10/2017" u="1"/>
        <s v="Transporte Hno Marcos del 27 Agosto al 02 de Sept-18, 02/09/2018" u="1"/>
        <s v="Transporte Hno Marcos Semana del 04 al 10 de Sept-17, 17/09/2017" u="1"/>
        <s v="Compras de Flores + Combustible para aniversario metalio, 07/02/2016" u="1"/>
        <s v="Transporte Dominical Hno Marcos, 25/09/2016" u="1"/>
        <s v="Diezmos Jueves, 06/12/018" u="1"/>
        <s v="Diezmos Culto de los Jueves, 15/12/2016" u="1"/>
        <s v="Ofrenda Dominical, 02/03/2017" u="1"/>
        <s v="Almuerzo a pastores de Distrito, 11/11/2018" u="1"/>
        <s v="Viaticos Juan Torres para arreglar Motocicleta, 25/02/2018" u="1"/>
        <s v="Compra de Pupusas para servidores campaña el mora, 25/02/2018" u="1"/>
        <s v="Compra de ropa para donar a personas necesitadas , 09/02/2017" u="1"/>
        <s v="Diezmos Culto del 18-05-2017, 18/05/2017" u="1"/>
        <s v="DIezmos culto del 28-05-2017, 28/05/2017" u="1"/>
        <s v="Ofrenda Octubre Jorge Torres 2da parte, 31/10/2018" u="1"/>
        <s v="Compra de Resmas de Papel Bond, 16/07/2018" u="1"/>
        <s v="Para pagar equipo de sonido campaña el mora, 25/02/2018" u="1"/>
        <s v="Devolución de Prestamo Enrique Ramos , 15/04/2018" u="1"/>
        <s v="Ofrendas Culto Dominical, 22/04/2018" u="1"/>
        <s v="Compra de Fuente para Mixer Para emitir Secuencia. Omni Music factura 6547, 30/10/2016" u="1"/>
        <s v="Pago de Energia Electrica del mes de NOV.16, 23/11/2016" u="1"/>
        <s v="Ofrenda Jueves, 07/12/2017" u="1"/>
        <s v="Transporte al Mora culto dominog, 06/05/2018" u="1"/>
        <s v="juegos de pinceles (las moritas ) B°076594, 11/06/2019" u="1"/>
        <s v="Ofrenda Jueves, 28/12/2017" u="1"/>
        <s v="Ofrendas Dominicales, 17/01/2016" u="1"/>
        <s v="Compra de Banner para iglesia el mora, 07/12/2017" u="1"/>
        <s v="Ofrenda Sabado, 09/12/2017" u="1"/>
        <s v="Ofrendas Dominicales, 13/02/2016" u="1"/>
        <s v="Ofrendas Dominicales, 27/11/2016" u="1"/>
        <s v="Ofrendas Dominicales, 03/12/2016" u="1"/>
        <s v="Ofrendas Dominicales, 27/12/2015" u="1"/>
        <s v="Ofrenda Culto del 25-05-2017, 25/05/2017" u="1"/>
        <s v="Transporte para mandar a arreglar Monitores del Ministerio de alabanza, 22/01/2017" u="1"/>
        <s v="Ofrendas Culto de los Jueves, 15/12/2016" u="1"/>
        <s v="Pago de transporte, Moises Escobar, 28/06/2015" u="1"/>
        <s v="Transporte a Montaña de oracion, 19/07/2018" u="1"/>
        <s v="Viaticos Reunion de Directivos por la noche, 16/10/2015" u="1"/>
        <s v="Gastos de transporte Hno Marcos 2da Parte, culto de los jueves, aniversario, culto Dominical, 29/01/2017" u="1"/>
        <s v="Prestamo a Jorge Torres, 13/11/2016" u="1"/>
        <s v="Refrigerio Escuelitas Biblicas Metalio, 27/09/2015" u="1"/>
        <s v="Escuelitas Biblicas de la semana, 23/07/2017" u="1"/>
        <s v="Ofrenda pastor Koky aniversalio metalio, 13/02/2016" u="1"/>
        <s v="Ayuda a un hermano, 03/06/2018" u="1"/>
        <s v="Ofrendas del mes de Marzo y Abril Jorge Torres, 07/05/2017" u="1"/>
        <s v="Ofrendas Culto del 18-05-2017, 18/05/2017" u="1"/>
        <s v="Ofrendas Culto del 28-05-2017, 28/05/2017" u="1"/>
        <s v="Diezmos Dominicales, 28/10/2018" u="1"/>
        <s v="Transporte Semana de Oración hermano marcos, 02/10/2016" u="1"/>
        <s v="Ofrenda Ministerio Invitado para evento de pastorres, 17/12/2015" u="1"/>
        <s v="Viaticos Jorge Torres por Reunion mensual en Sonsonate, 08/01/2016" u="1"/>
        <s v="Ofrendas Dominicales, 08/01/2016" u="1"/>
        <s v="Ofrendas Dominicales, 08/10/2017" u="1"/>
        <s v="Ofrendas Dominicales, 14/01/2017" u="1"/>
        <s v="Copias para Escuelitas , 29/01/2017" u="1"/>
        <s v="Transporte a la Playa Hno Enrique, 28/01/2018" u="1"/>
        <s v="diezmos dominicales, 10/01/2016" u="1"/>
        <s v="Ofrenda Especial Domingo , 04/01/2018" u="1"/>
        <s v="Ofrendas Dominicales, 14/02/2016" u="1"/>
        <s v="Combustible traslado de miembros de la iglesia, 17/05/2015" u="1"/>
        <s v="Pago de reparacion de cables de corriente en local metalio, 11/09/2016" u="1"/>
        <s v="Ofrendas Dominicales, 20/03/2016" u="1"/>
        <s v="Viaticos Juan Torres Junio-18, 24/06/2018" u="1"/>
        <s v="Diezmo Culto de los Jueve, 17/05/2018" u="1"/>
        <s v="Escuelita Dominical la Playa  3 semanas, 14/08/2016" u="1"/>
        <s v="Diezmos Dominicales, 20/03/2016" u="1"/>
        <s v="Ayuda a Miembro de la Ilgesia, para Flor., 19/06/2016" u="1"/>
        <s v="Diezmos jueves, 06/09/2018" u="1"/>
        <s v="Pago de transporte, Moises Escobar, 19/07/2015" u="1"/>
        <s v="Ofrenda dominical, 16/07/2018" u="1"/>
        <s v="Pago de transporte, Moises Escobar, 09/08/2015" u="1"/>
        <s v="pasajes para traer Pan para santa cena, 29/11/2015" u="1"/>
        <s v="Diezmos Dominicales, 10/04/2016" u="1"/>
        <s v="Viajes a la Balastrera, 22/11/2018" u="1"/>
        <s v="Transporte Hno Saul Jueves y Domingo, 13/11/2016" u="1"/>
        <s v="Diezmos del domingo, 24/05/2015" u="1"/>
        <s v="Combustible Saul por Bautizos en Sonsonate, FACTURA 330085 09/10/2016" u="1"/>
        <s v="Combustible traslado de miembros de la iglesia, 27/06/2015" u="1"/>
        <s v="Transporte Dominical, 08/05/2016" u="1"/>
        <s v="Para limpieza de local , 07/10/2018" u="1"/>
        <s v="Ofrenda Culto de los Jueves, 17/08/2017" u="1"/>
        <s v="Diezmos Dominicales, 10/07/2016" u="1"/>
        <s v="Compra de Insumos para limpieza de local, 24/06/2018" u="1"/>
        <s v="Compra de Tela para Uniformes de Servidores, 08/01/2016" u="1"/>
        <s v="Ventas de productos del dia, 01/04/2019" u="1"/>
        <s v="Transporte el mora culto domingo, 16/09/2018" u="1"/>
        <s v="Transporte Dominica l, 03/07/2016+ Viajes Pendientes de La Semana" u="1"/>
        <s v="Ofrendas Dominicales, 15/01/2017" u="1"/>
        <s v="Ofrendas dominicales, 29/01/2016" u="1"/>
        <s v="Grupo Oasis Valle nuevo, 05/06/2018" u="1"/>
        <s v="Ofrendas Aniversario 26 de enero 2018, 26/01/2018" u="1"/>
        <s v="Transporte Dominical, 10/07/2016" u="1"/>
        <s v="Ofrendas Vigilia Mensual, 27/05/2016" u="1"/>
        <s v="Ofrendas Culto Jueves, 03/05/2018" u="1"/>
        <s v="Ofrendas Dominicales , 07/05/2017" u="1"/>
        <s v="Ofrendas DOminicales, 01/02/2017" u="1"/>
        <s v="Ofrendas Dominicales, 11/11/2018" u="1"/>
        <s v="diezmos vigilia viernes, 28/08/2015" u="1"/>
        <s v="Diezmos Viernes Aniversario, 25/01/2018" u="1"/>
        <s v="Ofrendas Dominicales, 25/12/2016" u="1"/>
        <s v="Refrigerios escuelitas calle sin ley y el porvenir, 31/02/016" u="1"/>
        <s v="Ofrenda para el Pastor Fredy por Noche de Milagros , 30/07/2017" u="1"/>
        <s v="Escuelitas Dominicales, 24/09/2017" u="1"/>
        <s v="limpieza de local metalio, 12/08/2018" u="1"/>
        <s v="Diezmo Jueves, 12/04/2018" u="1"/>
        <s v="Ofrenda Vigilia Mensual, 25/09/2015" u="1"/>
        <s v="Compra de Cuerdas para guitarra Electrica, 16/12/2016" u="1"/>
        <s v="Pago de Transporte Don Moises, 02/07/2017" u="1"/>
        <s v="Ayudas a un Hermano (Culto de los jueves), 03/05/2018" u="1"/>
        <s v="Transporte Domiical, 12/06/2016" u="1"/>
        <s v="Compra de Arreglo Floral para aniversario, 26/01/2018" u="1"/>
        <s v="Transporte Dominical, 29/05/2016" u="1"/>
        <s v="Ofrendas Grupo Oasis El Caulote2, 30/09/2017" u="1"/>
        <s v="Escuelitas Dominicales en diferentes zonas, 03/09/2017" u="1"/>
        <s v="Pago de Energía Electrica mes de Abril y marzo-16, 04/05/2016" u="1"/>
        <s v="Compra de pan para vigilia mensual, 26/07/2018" u="1"/>
        <s v="280 fotocopias para escuelitas, 24/09/2015" u="1"/>
        <s v="Ofrendas Dominicales, 12/02/2017" u="1"/>
        <s v="ofrendas dominicales, 26/02/2016" u="1"/>
        <s v="Ofrendas Dominicales, 26/11/2017" u="1"/>
        <s v="Ofrenda a Pastor Invitado a Vigilia Noviembre-18, 30/11/2018" u="1"/>
        <s v="Compra de Banner con Lona de 13 Onz. para aniversario, 26/01/2018" u="1"/>
        <s v="diezmos dominicales, 31/01/2016" u="1"/>
        <s v="diezmos jueves, 11/01/2017" u="1"/>
        <s v="Diezmos dominicales, 09/12/2018" u="1"/>
        <s v="diezmos dominicales, 21/02/2016" u="1"/>
        <s v="Transporte Aparatos de Sonido por ensayo en la Tarde, Don Roberto, 15/07/2018" u="1"/>
        <s v="Ofrenda culto dominical, 02/10/2016" u="1"/>
        <s v="Gastos de Refrigerio Vigilia Mensual, 25/09/2015" u="1"/>
        <s v="Gastos de Transporte Vigilia Mensual, 25/09/2015" u="1"/>
        <s v="Diezmo dominical, 14/10/2018" u="1"/>
        <s v="Diezmos Jueves, 04/01/2018" u="1"/>
        <s v="Diezmos Jueves, 18/01/2017" u="1"/>
        <s v="Diezmos Jueves, 06/01/2018" u="1"/>
        <s v="Pago de Energia de Local, 05/07/2018" u="1"/>
        <s v="Diezmos Jueves, 03/01/2019" u="1"/>
        <s v="Transporte para el porvenir, 22/10/2017" u="1"/>
        <s v="Transporte para ir a traer donacion de ropa a Lourdes para la congregación, 17/05/2016" u="1"/>
        <s v="Diezmos Dominicales, 01/05/2016" u="1"/>
        <s v="Diezmos Jueves, 18/01/2019" u="1"/>
        <s v="Ofrenda Culto los jueves, 04/04/2018" u="1"/>
        <s v="Ofrendas Vigilia Mensual, 28/04/2017" u="1"/>
        <s v="Pasajes Jorge Torres para asistir a Reunion, 07/02/2018" u="1"/>
        <s v="Cancelación de diezmo a iglesia sonsonate correspondinete a julio-16, 11/09/2016" u="1"/>
        <s v="Ofrenda Culto de los Jueves, 04/10/2018" u="1"/>
        <s v="Compra de locion dia de las madres, 17/05/2018" u="1"/>
        <s v="Refrigerio Escuelitas Domnicales, 03/04/2016" u="1"/>
        <s v="Refrigerio Escuelitas Moscual, 28/08/2016" u="1"/>
        <s v="Pago a Hno Elias invitado a Vigilia Mensual, 29/06/2018" u="1"/>
        <s v="Limpieza de Local, 30/12/2018" u="1"/>
        <s v="Pago de transporte Jose Roberto Henriquez, 10/05/2015" u="1"/>
        <s v="Ventas de Tarjetas de Evento de Mujeres, 04/06/2016" u="1"/>
        <s v="Ofrenda Pastor Elias invitado culto 30-11-2017, 30/11/2017" u="1"/>
        <s v="Compra de Pan Dulce para vigilia mensual, 30/06/2018" u="1"/>
        <s v="Transporte por Asisitir a Culto en las Tablas filial Josue, 29/05/2016" u="1"/>
        <s v="Ofrendas culto de jueves, 10/05/2018" u="1"/>
        <s v="Ofrendas Culto Dominical, 14/05/2017" u="1"/>
        <s v="Ofrendas Vigilia Mensual, 30/10/2015" u="1"/>
        <s v="Capacitacion Cumbre Global de LIderazgo liderez, 15/11/2015" u="1"/>
        <s v="Escuelitas Dominicales Moscual, 24/07/2016" u="1"/>
        <s v="Diezmo a Iglesia Sonsonate Dic-19, 13/01/2019" u="1"/>
        <s v="Refrigerio y almuerzo para Capacitacion Enlace, 26/04/2018" u="1"/>
        <s v="Diezmos Dominicales, 11/09/2016" u="1"/>
        <s v="Para compra de Tela de Uniforme de Servidores, 06/01/2019" u="1"/>
        <s v="Diezmos Culto del Domingo, 18/06/2017" u="1"/>
        <s v="Ofrendas Dominicales, 13/03/2016" u="1"/>
        <s v="Culto de los domingos, 27/05/2018" u="1"/>
        <s v="Escuelitas Moscua , 14/08/2016" u="1"/>
        <s v="Escuelitas Dominicales Fatima Portillo, 13/08/2017" u="1"/>
        <s v="RPUBA, 30/06/2018" u="1"/>
        <s v="Transporte al caulo Domingos, 06/05/2018" u="1"/>
        <s v="Diezmo Jueves, 02/08/2018" u="1"/>
        <s v="Transporte al Valle nuevo, 31/05/2018" u="1"/>
        <s v="Transporte Dominical + Transporte de los Jueves, 12/02/2017 + Viajes por levantamiento de sensos 1ra Parte quedan pendiente $ 30" u="1"/>
        <s v="Diezmos culto doming, 18/03/2018" u="1"/>
        <s v="Refrigerio escuelita dominical, 11/06/2015" u="1"/>
        <s v="Refrigerios Escuelitas, Moscua, 21/06/2015" u="1"/>
        <s v="Resma de papel Bond, 02/08/2018" u="1"/>
        <s v="Refrigerio de Escuelita de Niños, 27/08/2017" u="1"/>
        <s v="Compra de mortadela para panes refrigerio vigilia , 27/11/2015" u="1"/>
        <s v="Ofrendas de Hermanas para evento de mujeres, 04/06/2016" u="1"/>
        <s v="Fiesta de Niños Moscua, 01/05/2016" u="1"/>
        <s v="Compra de Tinta para Impresora, 01/11/2018" u="1"/>
        <s v="Ofrendas Dominicales, 28/10/2018" u="1"/>
        <s v="Hno Marcos Semana del 03 Dic al 10 Dic, 10/12/2017" u="1"/>
        <s v="Hno Marcos Semana del 26 nov al 02 Dic, 10/12/2017" u="1"/>
        <s v="Diezmos a Iglesia Central Sonsonate, 12/11/2018" u="1"/>
        <s v="Escuelitas Biblicas, 04/02/2017" u="1"/>
        <s v="Ofrendas Dominicales, 04/02/2017" u="1"/>
        <s v="Ofrendas Dominicales, 04/11/2018" u="1"/>
        <s v="Ofrendas Dominicales, 28/02/2016" u="1"/>
        <s v="Reintegro de Gastos de Jornada Medica, 11/12/2016" u="1"/>
        <s v="Ofrendas Dominicales, 18/12/2016" u="1"/>
        <s v="Ofrendas Dominicales, 30/12/2018" u="1"/>
        <s v="diezmos dia domingos, 30/08/2015" u="1"/>
        <s v="Cancelaciòn de Diezmo a iglesia sonsonate Mes de Diciembre-16, 08/01/2016" u="1"/>
        <s v="Gastos de transporte al Mora, 03/09/2017" u="1"/>
        <s v="Pago de escuelitas de niños 2da Parte 4 semanas, 19/02/2017" u="1"/>
        <s v="Ofrendas Dominicales, 10/04/2016" u="1"/>
        <s v="PRUEBA 2, 30/06/2018" u="1"/>
        <s v="Capacitacion de Liedres de iglesia, 13/09/2018" u="1"/>
        <s v="Compra de Refrigerio por Reunion de Servidores Domingo 04/02/2017, 04/02/2017" u="1"/>
        <s v="Ofrendas dia domingo, 10/05/2015" u="1"/>
        <s v="Escuelita Dominicales , 04/06/2017" u="1"/>
        <s v="escuelitas la playa, 10/06/2018" u="1"/>
        <s v="Ofrenda Culto de los Domingos, 02/04/2017" u="1"/>
        <s v="Diezmos Dominicales, 22/05/2016" u="1"/>
        <s v="Reintegro de Prestamo Ana Torres, 24/09/2017" u="1"/>
        <s v="Diezmos Dominicales, 12/06/2016" u="1"/>
        <s v="ventas, 04/04/2020" u="1"/>
        <s v="Registro de Faltante de Administración Marlon, 31/05/2015" u="1"/>
        <s v="Transporte Dominical, 24/07/2016" u="1"/>
        <s v="Transporte Culto de los Jueves, Hno Marcos, 22/01/2017" u="1"/>
        <s v="Inscripción Marlon Perez, Biblia Thomson 25/06/2015" u="1"/>
        <s v="compra de papeleria, 01/04/2019" u="1"/>
        <s v="Ofrendas Culto del Jueves, 17/11/2016" u="1"/>
        <s v="Refrigerio para escuelitas dominicales, 02/04/2017" u="1"/>
        <s v="Ofrendas Dominicales, 05/02/2017" u="1"/>
        <s v="Ofrendas Dominicales, 11/02/2018" u="1"/>
        <s v="Ofrendas Dominicales, 15/11/2018" u="1"/>
        <s v="Ofrendas Dominicales, 25/11/2018" u="1"/>
        <s v="Viaticos a Jorge Torres mes de Julio-16, 24/07/2016" u="1"/>
        <s v="Ofrenda día domingo, 30/08/2015" u="1"/>
        <s v="Diezmo a Iglesia Josue Sonsonate Mayo 2017, 11/06/2017" u="1"/>
        <s v="Gastos de Transporte Dominical + Culto del jueves hno Saul Ramos, 18/12/2016" u="1"/>
        <s v="Viaje por Bautizos a Sonsonate, 08/11/2018" u="1"/>
        <s v="BENNCINA SIN BOLETA, 12/06/2019" u="1"/>
        <s v="Ofrendas dia domingo, 31/05/2015" u="1"/>
        <s v="Grupo Oasis , 30/11/2018" u="1"/>
        <s v="Pago de Luz Electrica Casa Pastor, 21/10/2018" u="1"/>
        <s v="parachoque trasero hyundai el antra, 11/06/2019" u="1"/>
        <s v="Ofrenda para pastor invitado vigilia mensual, 27/11/2015" u="1"/>
        <s v="Ventas, 07/05/2020" u="1"/>
        <s v="Transporte Dominical Hno Marcos, 16/10/2016" u="1"/>
        <s v="Transporte Dominical Saul Ramos, 16/10/2016" u="1"/>
        <s v="Diezmos Culto Jueves, 26/04/2018" u="1"/>
        <s v="Ofrendas Campaña en el mora, 24/02/2018" u="1"/>
        <s v="Ofrendas Dominicales, Magdalena, 11/12/2016" u="1"/>
        <s v="Ofrenda Pastor Invitado Vigilia Mensual, 01/04/2016" u="1"/>
        <s v="Compra de cajas de colores, 02/08/2018" u="1"/>
        <s v="Ofrendas 3er Aniversario Iglesia Josue Metalìo, 28/01/2017" u="1"/>
        <s v="Ofrendas Dominicales, 26/02/2017" u="1"/>
        <s v="Ofrendas Dominicales, 02/12/2018" u="1"/>
        <s v="Ofrendas Dominicales, 06/03/2016" u="1"/>
        <s v="Ofrendas Dominicales, 12/03/2017" u="1"/>
        <s v="Pago de Diezmo a Iglesia Sonsonate Enero 2017 + viaticos a pastor por reunion en sonsonate, 12/02/2017" u="1"/>
        <s v="Diezmos Dominicales, 03/01/2016" u="1"/>
        <s v="Almuerzo Ministerio de alabanza por ensayo Domingo, 15/07/2018" u="1"/>
        <s v="Transporte Hno Marcos del 07 Enero al 20 de Enero-2019, 18/01/2019" u="1"/>
        <s v="Escuelitas dominicales, 06/05/2018" u="1"/>
        <s v="Diezmos Dominicales, 13/03/2016" u="1"/>
        <s v="Ayuda a Hermana de la Iglesia, 12/08/2018" u="1"/>
        <s v="adlfjad, 30/06/2018" u="1"/>
        <s v="Diezmos Dominicales, 03/04/2016" u="1"/>
        <s v="Cancelaciòn de Energìa Electrica casa del pastor  mes de abril-17, 23/04/2017" u="1"/>
        <s v="Culto de los jueves, 13/12/2018" u="1"/>
        <s v="Diezmos viernes vijilai, 22/12/2017" u="1"/>
        <s v="Transporte Dominical Saul Ramos, 02/12/2016" u="1"/>
        <s v="Ofrendas del mes de Diciembre-17, 15/12/2017" u="1"/>
        <s v="Diezmos dia domingo, 17/05/2015" u="1"/>
        <s v="Diezmo culto domingo, 13/05/2018" u="1"/>
        <s v="Diezmos Culto Jueves, 03/05/2018" u="1"/>
        <s v="Ofrenda octubre jorge torres 1ra parte, 29/10/2017" u="1"/>
        <s v="Refrigerio para escuelitas durante el culto dominical, 05/05/2016" u="1"/>
        <s v="Reintegro de Gastos de alimentacion a Esposa del Pastor y otros, evento de Mujeres, Enrique ramos, 10/10/2016" u="1"/>
        <s v="Transporte a Valle nuevo , 09/08/2018" u="1"/>
        <s v="Viaticos Juan Torres Mayo-18, 27/05/2018" u="1"/>
        <s v="Compra de tapagoteras para local metalio, 24/07/2016" u="1"/>
        <s v="Escuelitas, culto Dominical, 13/09/2015" u="1"/>
        <s v="Viaticos Pastores, Vigilia Mensual, 25/09/2015" u="1"/>
        <s v="Tarde misionera repartiendo ropa en el Maguey, 16/02/2017" u="1"/>
        <s v="Transporte Hno Marcos Semana del 26 de Marzo al 30 de marzo-18, 29/04/018" u="1"/>
        <s v="Pago de Transporte Hno Marcos, adelanto de quincena mes de Julio -17, 09/07/2017" u="1"/>
        <s v="Refrigerios Escuelitas Dominicales, 06/03/2016" u="1"/>
        <s v="Ofrendas Dominicales, 23/12/2018" u="1"/>
        <s v="Ofrendas Dominicales, 27/03/2016" u="1"/>
        <s v="Refrigerio de Vigilia, 26/10/2017" u="1"/>
        <s v="Ofrendas culto los Jueves, 15/11/2018" u="1"/>
        <s v="Almuerzo pastores invitados , 19/08/2018" u="1"/>
        <s v="Gastos de transporte al mora por vigilia mensual, 23/03/2018" u="1"/>
        <s v="Ofrendas Dominicales, 03/04/2016" u="1"/>
        <s v="Culto de los Domingos, 03/06/2018" u="1"/>
        <s v="Refrigerio Esucelitas Moscua, 20/12/2015" u="1"/>
        <s v="Ofrendas, 30/08/2017" u="1"/>
        <s v="Combustible traslado de miembros de la iglesia, 10/05/2015" u="1"/>
        <s v="Compra de Extenciòn para Bajo Electrico y Puentes para bocinas, 27/01/2017" u="1"/>
        <s v="Ofrenda Culto de los Jueves, 24/05/2018" u="1"/>
        <s v="Pago de Luz Electrica Casa del Pastor, 22/10/2017" u="1"/>
        <s v="escuelitas la luz del mundo, 17/06/2018" u="1"/>
        <s v="Pago de energìa electrica casa del pastor, 24/02/2017" u="1"/>
        <s v="Refrigerio para escuelitas dominicales, 07/08/2016" u="1"/>
        <s v="Celebraciòn de escuelitas de niños en el porvenir, 06/09/2016" u="1"/>
        <s v="Vijajes a la Isla, 22/11/2018" u="1"/>
        <s v="Escuelitas Dominicales Culto de los domingos, 20/08/2017" u="1"/>
        <s v="Escuelitas de  niños 3 semanas moscua, 13/12/2015" u="1"/>
        <s v="Transporte por Culto Gneral entre Semana+ Culto de Domingo Hno Marcos, 06/11/2016" u="1"/>
        <s v="Ofrendas Grupo Oasis, 28/01/2018" u="1"/>
        <s v="Compra de Clavos, Estensiones y Regletas para aniversario, 26/01/2018" u="1"/>
        <s v="Transporte Dominical, 17/07/2016" u="1"/>
        <s v="Ofrenda Culto de los Jueves, 10/08/2017" u="1"/>
        <s v="Transporte Semana de Oracion, 03/04/2016" u="1"/>
        <s v="Transporte Dominical fact. 96093, 17/12/2015" u="1"/>
        <s v="Ofrendas culto de los jueves, 13/09/2018" u="1"/>
        <s v="Pago por limpieza de templo feb-18, 25/02/2018" u="1"/>
        <s v="Cancelacion de Compra de Pupusas a Enrique Ramos para servidors por aniversario, 23/04/2017" u="1"/>
        <s v="Diezmos Dominicales, 24/01/2016" u="1"/>
        <s v="Compra de Resma de papel Bond, 07/02/2018" u="1"/>
        <s v="Ofrendas Dominicales, 24/04/2016" u="1"/>
        <s v="Diezmos Dominicales, 14/02/2016" u="1"/>
        <s v="Ofrendas dia domingo, 24/05/2015" u="1"/>
        <s v="Transporte de Dominical, 17/01/2016" u="1"/>
        <s v="Ofrenda de Grupos Oasis del 11, 18 y 25 enero 2017, 29/01/2017" u="1"/>
        <s v="Viáticos Evento Mujer Ejemplar, Jorge Torres, 24/05/2015" u="1"/>
        <s v="Transporte Hno Marcos del 30 Abril hasta el 20 mayo-18, 20/05/2018" u="1"/>
        <s v="Diezmos Dominicales, 24/04/2016" u="1"/>
        <s v="Ofrenda de Hermano para Campaña El Mora, 24/02/2018" u="1"/>
        <s v="Gastos de transporte culto de los Jueves, 05/02/2017" u="1"/>
        <s v="Ofrenda pastor Elìas por Vigilia Mensual, 01/07/2017" u="1"/>
        <s v="Pago de refrigerios de escuelitas Calle sin ley, arenera, culto dominical y jueves 19 de feb-16, 26/02/2017" u="1"/>
        <s v="Refrigerio de Escuelitas + Copias para Escuelitas, 26/08/2016" u="1"/>
        <s v="Escuelitas en Metalio, Calle sin Ley, 10/04/2016" u="1"/>
        <s v="Diezmos Dominicales, 24/07/2016" u="1"/>
        <s v="Ofrendas Dominicales, 19/02/2017" u="1"/>
        <s v="Escuelitas metalillito +  calle sin ley + el porvenir + moscua + culto dominical, 15/01/2017" u="1"/>
        <s v="Viáticos Marlón , 10/05/2015" u="1"/>
        <s v="Diezmos Dominicales, 14/08/2016" u="1"/>
        <s v="transporte Don Roberto viajes, 10/06/2018" u="1"/>
        <s v="Diezmos Dominicales, 04/09/2016" u="1"/>
        <s v="Diezmos Dominicales, 10/09/2017" u="1"/>
        <s v="Diezmos Viernes Aniversario, 26/01/2018" u="1"/>
        <s v="Escuelita Dominical el Caulote, 25/10/2015" u="1"/>
        <s v="Diezmos Culto de los Jueves, 02/03/2017" u="1"/>
        <s v="Gastos de Transporte para el Aniversario 1era Parte, 28/01/2017" u="1"/>
        <s v="Ofrenda día domingo, 02/08/2015" u="1"/>
        <s v="Ganancia de Ventas de tienda Vigilia Mensual, 30/09/2016" u="1"/>
        <s v="Pago de Energía Electrica casa de jorge Dic-17, 24/12/2017" u="1"/>
        <s v="Ofrendas Dominicales, 01/05/2016" u="1"/>
        <s v="transporte Hno Marcos del 11 de Junio al 24/06/2018" u="1"/>
        <s v="Escuelitas DOminicales, 21/01/2017" u="1"/>
        <s v="Diezmo del mes de Mayo-15, 12/06/2015" u="1"/>
        <s v="1 bidon aceite (rosso) b° 662189, 11/06/2019" u="1"/>
        <s v="Diezmo Jueves, 07/12/2017" u="1"/>
        <s v="Consoltorias , 01/03/2018" u="1"/>
        <s v="Viáticos Marlon, 30/08/2015" u="1"/>
        <s v="Ofrendas dia domingo, 21/06/2015" u="1"/>
        <s v="Viáticos Marlon, 20/09/2015" u="1"/>
        <s v="escuelitas el caulote, 08/07/2018" u="1"/>
        <s v="Ofrenda Culto Dominical, 27/09/2015" u="1"/>
        <s v="Gastos de transporte Personal de vtas, 05/07/2018" u="1"/>
        <s v="Refrigerios para vigilia mensual febrero, 26/02/2016" u="1"/>
        <s v="el porvenir, 14/01/2017" u="1"/>
        <s v="Compras de Verduras, azucar, filtros, desechables, papel crespon, 04/06/2016" u="1"/>
        <s v="Ofrendas Dominicales, 06/01/2019" u="1"/>
        <s v="Pago de Extencion de Luz con varios focos, 27/11/2015" u="1"/>
        <s v="gastos menores, 01/04/2019" u="1"/>
        <s v="Gastos de transporte, 26/10/2017" u="1"/>
        <s v="Escuelitas de toda la semana, 22/10/2017" u="1"/>
        <s v="Escuelita Calle sin ley + culto Dominical, 01/01/2017" u="1"/>
        <s v="Ofrendas Dominicales, 16/12/2018" u="1"/>
        <s v="Ofrendas Dominicales, 26/03/2017" u="1"/>
        <s v="Ofrendas Culto de los Jueves, 18/10/2018" u="1"/>
        <s v="Transporte Dominical, 11/09/2016" u="1"/>
        <s v="Pago de limpieza domingo, 11/11/2018" u="1"/>
        <s v="Gastos de Vigilia Mensual metalio, 10/04/2016" u="1"/>
        <s v="Viaje a Sonsonate campaña 22-02-2018, 01/03/2018" u="1"/>
        <s v="Escuelitas de la semana , 10/12/2017" u="1"/>
        <s v="Diezmos Dominicales, 01/01/2017" u="1"/>
        <s v="Diezmos Dominicales, 21/01/2017" u="1"/>
        <s v="Transporte culto de los Domingos + viaje al Maguey, 02/04/2017" u="1"/>
        <s v="Viáticos Marlon, 31/05/2015" u="1"/>
        <s v="Transporte Vigilia mensual - El porvenir , 30/09/2016" u="1"/>
        <s v="Viaticos a Directivos Juan Torres Sept-17, 30/09/2017" u="1"/>
        <s v="Viáticos Marlon, 21/06/2015" u="1"/>
        <s v="Ofrendas Dominicales, 22/05/2016" u="1"/>
        <s v="Diezmos Dominicales, 01/02/2017" u="1"/>
        <s v="Consultorias , 15/06/2018" u="1"/>
        <s v="Ofrenda culto de los jueves, 11/11/2017" u="1"/>
        <s v="Para refrigerio de Capacitacion ENLACE, 26/10/2017" u="1"/>
        <s v="diezmos domingos, 28/06/2015" u="1"/>
        <s v="Transporte al Porvenir, Don Moises, 20/08/2017" u="1"/>
        <s v="Viaticos de Gasolina Hno Juan Torres, 28/01/2018" u="1"/>
        <s v="Escuelita dominical, 03/06/2018" u="1"/>
        <s v="Gastos de Transporte Culto 05-05-2017, 28/05/2017" u="1"/>
        <s v="Gastos de Transporte Culto 11-05-2017, 28/05/2017" u="1"/>
        <s v="Gastos de Transporte Culto 14-05-2017, 28/05/2017" u="1"/>
        <s v="Gastos de Transporte Culto 18-05-2017, 28/05/2017" u="1"/>
        <s v="Gastos de Transporte Culto 21-05-2017, 28/05/2017" u="1"/>
        <s v="Gastos de Transporte Culto 25-05-2017, 28/05/2017" u="1"/>
        <s v="Gastos de Transporte Culto 28-05-2017, 28/05/2017" u="1"/>
        <s v="Transporte al Caulote , 30/09/2018" u="1"/>
        <s v="Diezmos Dominicales, 15/05/2016" u="1"/>
        <s v="Compra de Insumos de Limpieza para el local, rinso, 03/06/2018" u="1"/>
        <s v="Refrigerio Escuelitas dia domingo culto general, 31/02/016" u="1"/>
        <s v="Comida para pastores invitados a evento de Mujeres, 04/06/2016" u="1"/>
        <s v="Diezmos Dominicales, 05/06/2016" u="1"/>
        <s v="Diezmos Dominicales, 11/06/2017" u="1"/>
        <s v="Ofrenda Predicador Invitado, 25/10/2018" u="1"/>
        <s v="Ofrendas de Culto Dominical, 29/10/2017" u="1"/>
        <s v="Transporte Hno Marcos del 08 al  22 Julio-18, 22/07/2018" u="1"/>
        <s v="Transporte Dominical + Transporte por Ida a San Salvador Capacitación de Líderes, 17/04/2016" u="1"/>
        <s v="Ofrenda del mes de Mayo 2017, 28/05/2017" u="1"/>
        <s v="Ofrendas Culto de los Jueves, 30/03/2017" u="1"/>
        <s v="Transporte al Mora Aniversario 3 dia, 28/01/2018" u="1"/>
        <s v="Pago de ùltima cuota de compra de baterìa Electrica, 19/02/2017" u="1"/>
        <s v="Viaticos Luis Torres por transporte de vigilia mensual ayuda del 50%, 30/09/2016" u="1"/>
        <s v="Ofrendas Dominicales, 17/04/2016" u="1"/>
        <s v="Viaticos Juan Torres Dic-17, 03/12/2017" u="1"/>
        <s v="Para compra de regalos del dia del padre, 17/06/2018" u="1"/>
        <s v="Grupo Oasis Moscua, 30/09/2018" u="1"/>
        <s v="Transporte Don Moises, 08/10/2017" u="1"/>
        <s v="transporte el caulote, 14/01/2017" u="1"/>
        <s v="Ofrenda día domingo, 23/08/2015" u="1"/>
        <s v="Ofrendas dia domingo, 17/05/2015" u="1"/>
        <s v="Ofrendas Culto Dominical, 30/07/2017" u="1"/>
        <s v="Ofrenda Culto de los jueves, 09/11/2017" u="1"/>
        <s v="Pago de Energìa electrica del local enero 2017, 24/02/2017" u="1"/>
        <s v="Viáticos Marlon, 12/07/2015" u="1"/>
        <s v="Transporte Hno Marcos del 02 Abril al 08 de Abril-18, 29/04/018" u="1"/>
        <s v="Viáticos Marlon, 02/08/2015" u="1"/>
        <s v="diezmos domingos, 26/07/2015" u="1"/>
        <s v="Cena para Reunion de Lideres, 18/01/2019" u="1"/>
        <s v="diezmos domingos, 02/08/2015" u="1"/>
        <s v="Refrigerio sala cuna culto general y refrigerio escuelitas la playa varias semanas, 25/09/2016" u="1"/>
        <s v="Transporte Dominical hno marcos, 26/06/2016" u="1"/>
        <s v="Ofrenda para Jorge Torres 1ra Parte Marzo 18, 31/03/2018" u="1"/>
        <s v="Transporte al Caulote , 09/09/2018" u="1"/>
        <s v="Ofrenda para Campaña en Metalio, 29/04/2018" u="1"/>
        <s v="Banner para Evento 31-10-2015, 25/10/2015" u="1"/>
        <s v="Gastos de transporte Hno Saul Ramos Jueves y Domingo, 25/12/2016" u="1"/>
        <s v="Ofrendas Dominicales, 18/02/2018" u="1"/>
        <s v="Refrigerio escuelitas de niños Dominical, 02/10/2016" u="1"/>
        <s v="Transporte Hno Marcos Semana del 09 al 15 Abril-18, 29/02/018" u="1"/>
        <s v="Transprote Hno Marcos Semana del 23 al 30 Abril-18, 29/02/018" u="1"/>
        <s v="Ofrendas Culto de los Jueves, 28/09/2017" u="1"/>
        <s v="Transporte a Hermanos del Porvenir, 12/02/2017" u="1"/>
        <s v="gastos de papelria, 21/01/2019" u="1"/>
        <s v="Escuelitas dominicales, 04/11/2018" u="1"/>
        <s v="Ganancia de venta de listas de Rifa de Horno Microondas, 30/09/2016" u="1"/>
        <s v="Transporte Culto de los Jueves, 30/03/2017" u="1"/>
        <s v="Tinta para impresora, 30/08/2018" u="1"/>
        <s v="Ofrenda para el Pastor Jorge Torres Mes de Feb-18 (Complemento), 01/03/2018" u="1"/>
        <s v="Abono a Prestamo Douglas , 14/01/2018" u="1"/>
        <s v="Escuelitas dominicales, 25/11/2018" u="1"/>
        <s v="Pago de Limpieza de local metalio , 29/04/2018" u="1"/>
        <s v="Pago de viaje para pega de afiches, 29/04/2018" u="1"/>
        <s v="Compra de Agua para Campaña El mora 22-02-2018, 01/03/2018" u="1"/>
        <s v="Viaje al caulote , 05/07/2018" u="1"/>
        <s v="diezmos dominicales, 26/02/2016" u="1"/>
        <s v="Ofrendas dia domingo, 14/06/2015" u="1"/>
        <s v="Transporte Al Mora Don Roberto, 30/09/2017" u="1"/>
        <s v="Refrigerio para escuelita culto general, 18/09/2016" u="1"/>
        <s v="Transporte a Campaña Hombres de Valor 1er Dìa, Marlon Perez, 08/01/2016" u="1"/>
        <s v="Transporte a campaña Hombres de Valor 2do Dia, Marlon Perez, 08/01/2016" u="1"/>
        <s v="Viáticos Marlon, 23/08/2015" u="1"/>
        <s v="Diezmos Dominicales, 06/03/2016" u="1"/>
        <s v="Diezmos Vigilia Mensual, 27/05/2016" u="1"/>
        <s v="Viáticos Marlon, 13/09/2015" u="1"/>
        <s v="Compra de Extenciòn de 15 metros para conexion de bocinas fact. 27292 electronica 2001, 22/01/2017" u="1"/>
        <s v="Compra de Alambre y Clavos para aniversario, 26/01/2018" u="1"/>
        <s v="Escuelita de niños , 24/06/2018" u="1"/>
        <s v="Diezmo Vigilia Mensual, 30/09/2016" u="1"/>
        <s v="Diezmos Dominicales, 26/06/2016" u="1"/>
        <s v="Diezmo Vigilia Mensual, 25/09/2015" u="1"/>
        <s v="Capacitacion Enlace, 16/08/2018" u="1"/>
        <s v="ventas, 30/05/2021" u="1"/>
        <s v="Compra de nuevo candado, 09/11/2017" u="1"/>
        <s v="Diezmos Dominicales, 02/07/2017" u="1"/>
        <s v="Ofrendas Dominicales, 09/12/2018" u="1"/>
        <s v="Ofrendas Dominicales, 19/03/2017" u="1"/>
        <s v="Ofrenda Hno Elias Vigilia Mensual, 30/09/2017" u="1"/>
        <s v="Transporte Dominical, 04/09/2016" u="1"/>
        <s v="Viaticos por reuniones, 16/07/2018" u="1"/>
        <s v="Transporte El Mora, 05/08/2018" u="1"/>
        <s v="Ofrendas dominicales, 01/04/2018" u="1"/>
        <s v="Transporte al mora, 16/08/2018" u="1"/>
        <s v="Transporte al Mora , 14/01/2017" u="1"/>
        <s v="Diezmos Culto de los Domingos, 27/08/2017" u="1"/>
        <s v="Devolucion de Prestamo campaña el Mora, 08/03/2018" u="1"/>
        <s v="Transporte, Evento Filial los Naranjo, 29/08/2015" u="1"/>
        <s v="Ofrendas Dominicales, 15/05/2016" u="1"/>
        <s v="Viáticos Marlon, 24/05/2015" u="1"/>
        <s v="Ofrenda Dominical, 07/02/2016" u="1"/>
        <s v="Ofrendas Vigilia Mensual, 01/07/2017" u="1"/>
        <s v="Ayuda a una Hna de la Iglesia, 13/01/2019" u="1"/>
        <s v="Refrigerio escuelitas Moscua Carlitos, 16/10/2016" u="1"/>
        <s v="Combustible transporte de hnos de iglesia fact 1702323, 14/11/2015" u="1"/>
        <s v="Viáticos Marlon, 14/06/2015" u="1"/>
        <s v="Transporte Hno Marcos 1 Qna Agosto-17, 13/08/2017" u="1"/>
        <s v="Transporte el Mora, 19/08/2018" u="1"/>
        <s v="Ofrenda Vigilia Viernes, 28/08/2015" u="1"/>
        <s v="Ofrendas de Culto Dominical, 29/01/2017" u="1"/>
        <s v="Transporte para asistir a Graduaciòn de pastores congraciòn, 22/01/2017" u="1"/>
        <s v="Grupo Oasis , 30/09/2018" u="1"/>
        <s v="diezmos domingos, 16/08/2015" u="1"/>
        <s v="Ofrendas de Reuniones de estudio biblico agosto-16, 11/09/2016" u="1"/>
        <s v="Transporte Dominical del dìa 28/08/2016, 04/09/2016" u="1"/>
        <s v="Diezmo Culto dominical, 30/09/2018" u="1"/>
        <s v="Transporte Culto de los Jueves, 13/03/2017" u="1"/>
        <s v="Ofrendas Vigilia, 02/12/2016" u="1"/>
        <s v="Refrigerios Esucelitas moscua, 17/01/2016" u="1"/>
        <s v="transporte culto de los jueves, 13/04/2017" u="1"/>
        <s v="Transporte de Semana de Oracion + Vigilia mensual, 26/02/2016" u="1"/>
        <s v="Para pagar transporte del equipo de sonido para campaña el mora, 25/02/2018" u="1"/>
        <s v="transporte al mora, 10/06/2018" u="1"/>
        <s v="Gastos para vigilia mensual noviembre-15, 27/11/2015" u="1"/>
        <s v="Ofrenda culto de los jueves, 09/02/2017" u="1"/>
        <s v="Compra de 100 Recibos de Caja y 100 Recibos de Ingreso de Ofrendas, 29/04/2016" u="1"/>
        <s v="Ofrendas viernes Aniversario, 25/01/2018" u="1"/>
        <s v="Transporte Hno Marcos Semana del 09 al 15 Abril-18, 29/04/018" u="1"/>
        <s v="Transprote Hno Marcos Semana del 23 al 30 Abril-18, 29/04/018" u="1"/>
        <s v="transporte para compra de pan para santa cena de los ultimos 3 meses, 05/05/2016" u="1"/>
        <s v="Transporte al mora, 03/06/2018" u="1"/>
        <s v="Refrigerio escuelitas de niños la playa y el porvenir durante un mes, 20/11/2016" u="1"/>
        <s v="Transporte al mora, 24/06/2018" u="1"/>
        <s v="Ofrendas Dominicales, 16/04/2017" u="1"/>
        <s v="Compra de Ropa para anciano de iglesia por accidente, 26/11/2017" u="1"/>
        <s v="Transporte Domiical + Transporte a SORVIVOR Sonsonate, 07/08/2016" u="1"/>
        <s v="Ofrenda Hno Elias Vigilia, 22/12/2017" u="1"/>
        <s v="Ofrendas mes de mayo Jorge Torres, 20/05/2018" u="1"/>
        <s v="Transporte al Mora , 30/09/2018" u="1"/>
        <s v="Para Retiro de Pastores, 06/01/2019" u="1"/>
        <s v="Diezmos Vigilia mensual, 28/10/2016" u="1"/>
        <s v="Viaticos Juan Torres Feb-18, 07/02/2018" u="1"/>
        <s v="Transporte hno marcos pendiente de la semana del 26 de feb al 11-marzo-18 , 18/03/2018" u="1"/>
        <s v="Diezmos Dominicales, 17/01/2016" u="1"/>
        <s v="transporte al porvenir, 24/06/2018" u="1"/>
        <s v="Ofrendas Dominicales, 12/06/2016" u="1"/>
        <s v="Diezmos Dominicales, 07/02/2016" u="1"/>
        <s v="Viáticos Marlon, 05/07/2015" u="1"/>
        <s v="Ofrenda Culto de los jueves, 09/03/2017" u="1"/>
        <s v="Ofrendas Culto de los Jueves, 19/04/2018" u="1"/>
        <s v="Ventas Varias, 14/03/2019" u="1"/>
        <s v="Ofrendas dia domingo, 12/07/2015" u="1"/>
        <s v="Ofrendas Vigilia Mensual , 29/06/2018" u="1"/>
        <s v="Pastel de Cumpleaños, Miembros de Iglesia, 26/05/2015" u="1"/>
        <s v="Diezmos Dominicales, 27/03/2016" u="1"/>
        <s v="Ofrendas Culto del 21-05-2017, 21/05/2017" u="1"/>
        <s v="Escuelitas la luz del mundo, 10/06/2018" u="1"/>
        <s v="Diezmos Dominicales, 17/04/2016" u="1"/>
        <s v="Transporte del 01 de Junio al 11 de Junio + Viajes a Sonsonate Bautizos y Viaje al Mora, 11/06/2017" u="1"/>
        <s v="Refrigerio para escuelitas 3 semanas Ana Torres, 16/10/2016" u="1"/>
        <s v="Ofrenda Hno Elias invitado a Campamento, 22/04/2018" u="1"/>
        <s v="Transporte Del 03 de Dic al 16 de Dic-18, 16/12/2018" u="1"/>
        <s v="Ofrenda Jueves, 10/01/2019" u="1"/>
        <s v="Transporte dominical, 16/07/2018" u="1"/>
        <s v="Ofrenda Pastor Elias Cordeo, Predica Vigilia Mensual, 27/05/2016" u="1"/>
        <s v="Escuelitas el Mora y Dominical, 08/10/2017" u="1"/>
        <s v="Transporte Hno Marcos del 25 al 07 de enero-18, 07/01/2018" u="1"/>
        <s v="Gastos de Campaña el mora, 25/02/2018" u="1"/>
        <s v="Ofrendas Vigialia mensual, 01/04/2016" u="1"/>
        <s v="Diezmos a Iglesia Sonsonate Mayo-18, 18/05/2018" u="1"/>
        <s v="Transporte al Porvenir, 31/05/2018" u="1"/>
        <s v="Ofrenda culto de los jueves, 05/04/2018" u="1"/>
        <s v="Pago de Energía Electrica Pastor Jorge Torres, 01/07/2017" u="1"/>
        <s v="Diezmos Dominicales, 17/07/2016" u="1"/>
        <s v="Diezmos Dominicales, 23/07/2017" u="1"/>
        <s v="Transporte del culto de los jeuves, 15/01/2017" u="1"/>
        <s v="Diezmos Dominicales, 03/08/2017" u="1"/>
        <s v="Diezmos Dominicales, 07/08/2016" u="1"/>
        <s v="Para compra de refrigerio para pastores, 19/01/2017" u="1"/>
        <s v="Transporte al Porvenir, 13/05/2018" u="1"/>
        <s v="VTA" u="1"/>
        <s v="transporte culto de los jueves, 06/04/2017" u="1"/>
        <s v="Transporte al Mora culto dominical, 01/04/2018" u="1"/>
        <s v="Ofrenda para el Pastor Jorge Torres complemento Marzo 2018, 12/04/2018" u="1"/>
        <s v="sdlfkaf, 30/06/2018" u="1"/>
        <s v="El Caulote 1, 30/09/2017" u="1"/>
        <s v="Ofrendas dia domingo, 07/06/2015" u="1"/>
        <s v="Viáticos Marlon, 26/07/2015" u="1"/>
        <s v="DIezmos Filial El Mora, 05/08/2018" u="1"/>
        <s v="Diezmo Dominicales, 21/08/2016" u="1"/>
        <s v="Ofrendas culto de los jueves, 15/06/2017" u="1"/>
        <s v="Ofrendas culto de los jueves, 21/06/2018" u="1"/>
        <s v="Ofrendas para grupo Invitado, 01/06/2018" u="1"/>
        <s v="Viáticos Marlon, 16/08/2015" u="1"/>
        <s v="Transporte traslado de mercaderia, 02/02/2018" u="1"/>
        <s v="Viáticos Marlon, 06/09/2015" u="1"/>
        <s v="diezmos domingos, 06/09/2015" u="1"/>
        <s v="Transprte al mora, 24/12/2017" u="1"/>
        <s v="Ofrenda de Erick Torres por clases de Bateria , 15/04/2018" u="1"/>
        <s v="Grupo Oasis de Moscua, 31/12/2018" u="1"/>
        <s v="Transporte Dominical, Don Moises, 24/04/2016" u="1"/>
        <s v="Gastos de escuelitas de niños, refrigerios de 3 semanas 1ra Parte , 12/02/2017" u="1"/>
        <s v="Para completar Ofrenda de Pastor invitado de Africa, 29/04/2018" u="1"/>
        <s v="Transporte al mora, 04/02/2017" u="1"/>
        <s v="Compra de Jugo para santa cena + refrigerio escuelitas Metalio, 03/04/2016" u="1"/>
        <s v="Diezmo Culto Dominical, Natividad Rivera, 22/01/2017" u="1"/>
        <s v="Venta de servicios, 18/06/2019" u="1"/>
        <s v="Transporte POR Aniversario iglesia josue, 18/10/2015" u="1"/>
        <s v="Refrigerio para escuelita de niños, 07/01/2018" u="1"/>
        <s v="Diezmo Hna Nubia Ramos, 06/07/2017" u="1"/>
        <s v="Refrigerio Escuelitas Biblicas El Caulote, 11/10/2015" u="1"/>
        <s v="Refrigerio escuelitas dominicales igleisa, 11/10/2015" u="1"/>
        <s v="Diezmos Culto Dia Jueves, 05/01/2016" u="1"/>
        <s v="Diezmos Culto los Jueves, 11/10/2018" u="1"/>
        <s v="Copias de Reportes, 28/01/2018" u="1"/>
        <s v="Ofrendas Dominicales, 08/05/2016" u="1"/>
        <s v="Diezmos Dominicales, 14/01/2017" u="1"/>
        <s v="Viáticos Marlon, 17/05/2015" u="1"/>
        <s v="Ofrendas dia domingo, 28/06/2015" u="1"/>
        <s v="Escuelita Niños, Culto Dominical, 05/07/2015" u="1"/>
        <s v="Transporte al mora culto dominical, 22/04/2018" u="1"/>
        <s v="Viáticos Marlon, 07/06/2015" u="1"/>
        <s v="Transporte al Mora, 07/02/2018" u="1"/>
        <s v="Diezmos Dominicales, 04/02/2017" u="1"/>
        <s v="diezmos dominicales, 28/02/2016" u="1"/>
        <s v="Limpieza de local, 09/12/2018" u="1"/>
        <s v="Transporte al Mora, 18/02/2018" u="1"/>
        <s v="Ofrendas Dominicales, 10/07/2016" u="1"/>
        <s v="Transporte de instrumento porque no llego el hno marcos el domingo en la mañana 17-06-2018, 17/06/2018" u="1"/>
        <s v="Limpieza de Local, 15/11/2018" u="1"/>
        <s v="Limpieza de local, 25/11/2018" u="1"/>
        <s v="Transporte al Porvenir, 15/04/2018" u="1"/>
        <s v="Diezmos Culto Dominical, 14/05/2017" u="1"/>
        <s v="Transporte de Vigilia Mensual miembros de iglesia, 30/10/2015" u="1"/>
        <s v="Viáticos Marlon, 27/09/2015" u="1"/>
        <s v="Escuelita Dominical Moscual, 25/10/2015" u="1"/>
        <s v="Diezmos Día Viernes de la Vigilia Mensual, 29/07/2016" u="1"/>
        <s v="Transporte Hno Marcos Semana del 28 al 03 sept-17, 17/09/2017" u="1"/>
        <s v="Ofrendas Domingo, 20/01/2019" u="1"/>
        <s v="Transporte al Maguey Enrique Rmos, 08/10/2017" u="1"/>
        <s v="Otros ingresos del mes, 01/04/2019" u="1"/>
        <s v="Transporte para Metalillito Jueves y Domingo Don Moises, 28/05/2017" u="1"/>
        <s v="Paquete de galletas para refrigerio, 02/08/2018" u="1"/>
        <s v="Complemento ofrenda domingo , 06/11/2016" u="1"/>
        <s v="Ofrendas Domingo, 24/12/2017" u="1"/>
        <s v="Transporte al mora, 31/12/2017" u="1"/>
        <s v="Ofrenda Culto Dominical, 11/05/2017" u="1"/>
        <s v="Transporte Vigilia, 22/12/2017" u="1"/>
        <s v="Diezmos Dominicales, 08/05/2016" u="1"/>
        <s v="Compra de Vasos, vigilia, azucar, cafe y azucar, 26/10/2017" u="1"/>
        <s v="Transporte al Mora dia Domingo, 15/04/2018" u="1"/>
        <s v="Transporte Dia de vigilia mensual (complemento), 29/07/2016" u="1"/>
        <s v="Diezmo domingos, 20/05/2018" u="1"/>
        <s v="Diezmos el mora jun-18, 30/06/2018" u="1"/>
        <s v="Diezmos Dominicales, 04/06/2017" u="1"/>
        <s v="Diezmos dominicales, 10/06/2018" u="1"/>
        <s v="Grupo Oasis Valle Nuevo, 29/05/2018" u="1"/>
        <s v="Transporte Dominical, 18/09/2016" u="1"/>
        <s v="Compra de Regrigreio para vigilia Mensual 30102015, 30/10/2015" u="1"/>
        <s v="Escuelitas Dominicales, todas las escuelitas , 02/07/2017" u="1"/>
        <s v="Ofrendas Dominicales, 09/04/2017" u="1"/>
        <s v="Transporte hno Marcos desde el 26 Feb hasta el 11 de Marzo -18 (quedan pendientes 26), 11/03/2018" u="1"/>
        <s v="Ofrenda para el Pastor, Complemento Junio 2017, 09/07/2017" u="1"/>
        <s v="kit de ensendido fait white uno , 12/06/2019" u="1"/>
        <s v="Ofrendas Dominicales, 29/05/2016" u="1"/>
        <s v="Energía Electrica Local Metalio, iglesia josue sept-16, 25/09/2016" u="1"/>
        <s v="hoja sierra sable, 11/06/2019" u="1"/>
        <s v="Transporte hno Marcos del 03 sept al 16 de sept-18, 16/09/2018" u="1"/>
        <s v="Diezmo el mora mayo-18, 03/06/2018" u="1"/>
        <s v="Diezmos Dominicales, 18/09/2016" u="1"/>
        <s v="Diezmos Dominicales, 24/09/2017" u="1"/>
        <s v="Ofrendas Dominicales, 01/06/2017" u="1"/>
        <s v="Ofrendas Dominicales, 05/06/2016" u="1"/>
        <s v="Compra de Agua y Jugos para aniversario metalio, 12/02/2016" u="1"/>
        <s v="Tinta para impresora Negra y Amarilla, 27/12/2018" u="1"/>
        <s v="Transporte Semana de Oración, Vigilia Viernes + Culto de Jovenes + Jornada Medica, 02/12/2016" u="1"/>
        <s v="Ofrenda día domingo, 16/08/2015" u="1"/>
        <s v="Prestamo Ana María Torres, 27/08/2017" u="1"/>
        <s v="Viáticos Marlon, 28/06/2015" u="1"/>
        <s v="Transporte a Grupos del Maguey dìa sabado, 13/03/2017" u="1"/>
        <s v="Ofrendas dia domingo, 05/07/2015" u="1"/>
        <s v="Ofrendas Día Domingo, 31/07/2016" u="1"/>
        <s v="Viaticos por traslados, 14/03/2019" u="1"/>
        <s v="Transporte al mora, 09/12/2018" u="1"/>
        <s v="Ofrenda día domingo, 06/09/2015" u="1"/>
        <s v="Diezmos el mora sept-18, 30/09/2018" u="1"/>
        <s v="Compra de sobres , 11/06/2015" u="1"/>
        <s v="Transporte a Moscual por vigilia mensual, porque se dejaron los instrumentos en metalio, 23/03/2018" u="1"/>
        <s v="Refrigerios escuelitas en Moscua, 31/02/016" u="1"/>
        <s v="Capacitacion al personal, 02/02/2018" u="1"/>
        <s v="Diezmo Josue Timas, 30/04/2017" u="1"/>
        <s v="Ofrendas viernes Aniversario, 26/01/2018" u="1"/>
        <s v="LIJAS  COMERCIAL FENIX B°030859, 11/06/2019" u="1"/>
        <s v="Complemento gastos de vigilia mensual-jorge torres, 30/10/2016" u="1"/>
        <s v="Transporte el Porvenir, 04/02/2017" u="1"/>
        <s v="Transporte al mora, 31/10/2018" u="1"/>
        <s v="Transporte al Porvenir, 11/02/2018" u="1"/>
        <s v="Otros gastos para campaña el Mora se mandó con Juan antes del evento, 25/02/2018" u="1"/>
        <s v="Pago de Cena en casa de Enrique Pastores invitados evento, 17/06/2018" u="1"/>
        <s v="Diezmo Carmen Guzman vigilia mensual, 28/04/2017" u="1"/>
        <s v="Diezmos Jueves, 07/02/2018" u="1"/>
        <s v="Transporte el Mora , 02/09/2018" u="1"/>
        <s v="Transporte al Mora Aniversario, 28/01/2018" u="1"/>
        <s v="Ofrendas Dominicales, 26/06/2016" u="1"/>
        <s v="Diezmos Dominicales, 15/01/2017" u="1"/>
        <s v="diezmos dominicales, 29/01/2016" u="1"/>
        <s v="Diezmo el Mora nov-18, 30/11/2018" u="1"/>
        <s v="Diezmo culto de los domingos, 01/10/2017" u="1"/>
        <s v="Transporte el Mora, 07/10/2018" u="1"/>
        <s v="Ofrendas dia domingo, 26/07/2015" u="1"/>
        <s v="Diezmos Dominicales, 05/02/2017" u="1"/>
        <s v="Viáticos Marlon, 19/07/2015" u="1"/>
        <s v="Ofrendas del dia Jueves, 12/10/2017" u="1"/>
        <s v="Ofrenda Culto de los Jueves, 02/11/2017" u="1"/>
        <s v="Ofrendas Dominicals, 03/01/2016" u="1"/>
        <s v="Viáticos Marlon, 09/08/2015" u="1"/>
        <s v="Diezmos Culto Dominical, 05/11/2017" u="1"/>
        <s v="Diezmo para pastor invitado de cara sucia, 20/05/2018" u="1"/>
        <s v="Compra de Agua y Candelas para aniversario, 26/01/2018" u="1"/>
        <s v="Compra de vinyl Ultraflex para aniversario, 26/01/2018" u="1"/>
        <s v="Domingos, 24/12/2017" u="1"/>
        <s v="Diezmos dominicales, 01/04/2018" u="1"/>
        <s v="Gastos de Vigilia Mensual, 05/03/2017" u="1"/>
        <s v="Ayuda transporte el Mora para Bautizos, 19/08/2018" u="1"/>
        <s v="Refrigerio para escuelitas Dominicales, 29/01/2017" u="1"/>
        <s v="Diezmos Dominicales, 29/05/2016" u="1"/>
        <s v="Dulces para Piña fiesta de niños ticket 368921, 29/08/2015" u="1"/>
        <s v="Diezmos Dominicales, 19/06/2016" u="1"/>
        <s v="Diezmos Dominicales, 25/06/2017" u="1"/>
        <s v="No hay registros ingresados todavia" u="1"/>
        <s v="Transporte al porvenir, 18/02/2018" u="1"/>
        <s v="Transporte Culto Dominical, 20/09/2015" u="1"/>
        <s v="Insumo de limpieza para local, 31/10/2018" u="1"/>
        <s v="Evento de Niños en los Naranjos (Piñata), 29/08/2015" u="1"/>
        <s v="Adelanto Viaticos Juan Torres Junio-18, 27/05/2018" u="1"/>
        <s v="Ofrendas Mes de Julio Jorge Torres 1ra Parte, 29/07/2018" u="1"/>
        <s v="Diezmo culto Domingos, 06/05/2018" u="1"/>
        <s v="producot, 26/06/2019" u="1"/>
        <s v="Pasajes para Pan Santa Cena, 01/11/2015" u="1"/>
        <s v="Comida para pastores invitados a Vigilia, 03/06/2018" u="1"/>
        <s v="Ofrendas culto doming 13/05/2018" u="1"/>
        <s v="Ofrenda Dominical, 13/08/2017" u="1"/>
        <s v="Pago de Pasajes a Hnos del Porvenir, 15/10/2017" u="1"/>
        <s v="Escuelitas biblicas moscua, 29/07/2018" u="1"/>
        <s v="BOLSAS DE BASURA   B°334770, 11/06/2019" u="1"/>
        <s v="Limpieza de local, 29/07/2018" u="1"/>
        <s v="Gastos de transporte + Semana de oraciòn + Culto Jueves + vigilia viernes + culto domingo, 01/01/2017" u="1"/>
        <s v="Vigilia Mensual , 01/06/2018" u="1"/>
        <s v="Diezmos culto de los jueves, 13/07/2017" u="1"/>
        <s v="Otros gastos para campaña el Mora , 25/02/2018" u="1"/>
        <s v="Venta de Productos , 22/07/2018" u="1"/>
        <s v="Ofrendas Dominicales, 03/07/2016" u="1"/>
        <s v="Compra de 3 garrobos para Comida Misionero, 26/04/2018" u="1"/>
        <s v="Pago de Luz Electrica Casa de Pastor Jorge, 24/06/2018" u="1"/>
        <s v="Diezmo Culto Dominical, 09/04/2017" u="1"/>
        <s v="Vigilia mensual noviembre de 2015 refrigerios, 27/11/2015" u="1"/>
        <s v="Ofrenda para Hna del Porvenir, 26/07/2015" u="1"/>
        <s v="Ofrendas Vigilia Mensual, 30/09/2016" u="1"/>
        <s v="Pago de Diezmo a Iglesia Sonsonate, 15/10/2017" u="1"/>
        <s v="Diezmo a Iglesia Sonsonate Junio-17 + Viaticos Jorge Torres $ 35 + 5, 16/07/2017" u="1"/>
        <s v="Diezmo Carlitos Rivera culto de lo jueves, 06/04/2017" u="1"/>
        <s v="Don Roberto Viajes al mora, 10/12/2017" u="1"/>
        <s v="Diezmos culto de los domingos, 30/07/2017" u="1"/>
        <s v="Diezmos Domincales, 30/12/2018" u="1"/>
        <s v="Transporte culto de los jueves + culto de domingos + 3ra para por repartir ropa, 26/02/2017" u="1"/>
        <s v="Diezmos culto jueves, 20/09/2018" u="1"/>
        <s v="Diezmos culto dominical, 11/03/2018" u="1"/>
        <s v="viaticos Juan Torres Enero -18, 31/12/2017" u="1"/>
        <s v="Ofrenda Dominical, 03/09/2017" u="1"/>
        <s v="Diezmo Hna Nubias El Caulote Ofrenda Especial por Sanidad, 25/06/2017" u="1"/>
        <s v="Transporte del 15,18,22,25 de Junio-17 + Viaje a Cuyoapa+ Fiesta de Niños+ Viaje al Mora Hno Marcos, 25/06/2017" u="1"/>
        <s v="Refrigerio de NIños, 26/01/2018" u="1"/>
        <s v="Escuelitas de niños, 18/02/2018" u="1"/>
        <s v="Ofrendas Dominicales, 04/06/2017" u="1"/>
        <s v="Ofrendas dominicales, 10/06/2018" u="1"/>
        <s v="tetroleo skoda yeti  sin boleta , 11/06/2019" u="1"/>
        <s v="Gastos de Transporte Hno Marcos hasta el 11 feb-18, 11/02/2018" u="1"/>
        <s v="Ofrendas Dominicales, 24/07/2016" u="1"/>
        <s v="Transporte Hno Marcos Semana del 16 al 22 de Abril-18, 29/02/018" u="1"/>
        <s v="Transporte culto dominical a Pick up por dormirse el hijo del hno Marcos, 25/02/2018" u="1"/>
        <s v="Diezmos Dominicales, 26/02/2017" u="1"/>
        <s v="Para todas las escuelitas de la semana, 07/10/2018" u="1"/>
        <s v="compresor ac sonic efectivo taty, 13/06/2019" u="1"/>
        <s v="Compra de Rinso para limpieza de local, 31/12/2017" u="1"/>
        <s v="Transporte Hno Marcos Semana del 16 al 22 de Abril-18, 29/04/018" u="1"/>
        <s v="Vta de producto, 20/01/2019" u="1"/>
        <s v="Diezmos Dominicales, 26/03/2017" u="1"/>
        <s v="Ofrenda Hno Elias Invitado a predicar al culto de los domingos, 20/08/2017" u="1"/>
        <s v="Diezmos Dominicales, 16/04/2017" u="1"/>
        <s v="Pago de transporte a Metalillito por Vigilia Mensual, 05/03/2017" u="1"/>
        <s v="Transporte Culto Dominical, 27/09/2015" u="1"/>
        <s v="Ofrenda Flor Devolucion de los $ 300.00, 04/06/2017" u="1"/>
        <s v="Pago de Transporte a la Vigilia de Cara Sucia, 28/05/2017" u="1"/>
        <s v="Ofrendas Dominicales, 29/04/2018" u="1"/>
        <s v="Diezmo pendiente semana pasada, 17/05/2018" u="1"/>
        <s v="transporte al caulote, 10/06/2018" u="1"/>
        <s v="Diezmos Dominicales, 02/07/2018" u="1"/>
        <s v="Diezmos Dominicales, 16/07/2017" u="1"/>
        <s v="Diezmos Dominicales, 22/07/2018" u="1"/>
        <s v="Ofrendas Valle nuevo, 15/05/2018" u="1"/>
        <s v="Para compra de Agua hnos invitados Testimonio de sanacion, 07/10/2018" u="1"/>
        <s v="Prestamos Personal al Hno Oscar , 28/01/2018" u="1"/>
        <s v="Diezmos Dominicales, 06/08/2017" u="1"/>
        <s v="DIezmos dominicales, 12/08/2018" u="1"/>
        <s v="Ofrendas Dominicales, 19/06/2016" u="1"/>
        <s v="Ofrendas Dominicales, 25/06/2017" u="1"/>
        <s v="Transporte Don Roberto, 26/11/2017" u="1"/>
        <s v="Diezmo el Mora 02/09/2018, 02/09/2018" u="1"/>
        <s v="Limpieza de local, 09/09/2018" u="1"/>
        <s v="Diezmo Dominicales, 08/10/2017" u="1"/>
        <s v="Pago de Luz Electrica Marzo y Abril-18, 29/04/2018" u="1"/>
        <s v="Ofrendas dia domingo, 19/07/2015" u="1"/>
        <s v="Diezmos culto entre Semana , 10/11/2016" u="1"/>
        <s v="Compra de Cuerdas para Guitarra, 10/04/2016" u="1"/>
        <s v="Ofrendas Dominicales, 21/08/2016" u="1"/>
        <s v="Cancelación de Diezmo mes de Junio Iglesia Sonsonate, 15/07/2018" u="1"/>
        <s v="transporte culto de los domingos hno marcos, 15/01/2017" u="1"/>
        <s v="Diezmo culto de los dominigos, 13/08/2017" u="1"/>
        <s v="Diezmo a iglesia de Sonsonate sept-16, 16/10/2016" u="1"/>
        <s v="Grupo Oasiss, 29/10/2017" u="1"/>
        <s v="Grupos Oasis, 29/10/2017" u="1"/>
        <s v="Ofrenda a Pastor Invitado a vigilia mensual, 29/07/2016" u="1"/>
        <s v="Transporte Don Roberto 2 semanas + vigilias, 05/11/2017" u="1"/>
        <s v="Transprote Hno Marcos del 06 al 20 nov-17, 26/11/2017" u="1"/>
        <s v="Transprote Hno Marcos del 20 al 26 nov-17, 26/11/2017" u="1"/>
        <s v="Compra de Cuerdas fact 623, 14/11/2015" u="1"/>
        <s v="No hay registros ingresados todavía" u="1"/>
        <s v="Compra de Agua aniversario, 28/01/2018" u="1"/>
        <s v="Escuelita de niños de la semana Katy Torres y Yamileth , 15/04/2018" u="1"/>
        <s v="Escuelita Dominicales Metalio, 25/10/2015" u="1"/>
        <s v="Ofrendas Jorge torres por pastorado Julio-17, 16/07/2017" u="1"/>
        <s v="Ofrenda a Jorge Torres por Pastorado Enero y Febrero 2017, 30/04/2017" u="1"/>
        <s v="Compra de Candado para aniversario de iglesia, 26/01/2018" u="1"/>
        <s v="Diezmo a Iglesia Local Sonsonate Agosto-17, 05/09/2017" u="1"/>
        <s v="Transporte de vigilia mensual hno marcos + Semana de oraciòn, 30/10/2016" u="1"/>
        <s v="Compra de Candado + caja de colores para escuelitas, 13/12/2015" u="1"/>
        <s v="Ofrendas Grupos Oasis Marzo 2018, 03/04/2018" u="1"/>
        <s v="Ofrendas Dominicales, 02/07/2017" u="1"/>
        <s v="Compra de insumos de limpieza, 14/03/2019" u="1"/>
        <s v="Transporte Don Roberto El Mora y la playa, 22/10/2017" u="1"/>
        <s v="Transporte Viajes a Sonsonate Hno Marcos Aniversario iglesia, 02/10/2016" u="1"/>
        <s v="Dizmos Dominicales, 23/09/2018" u="1"/>
        <s v="Ofrendas Grupos Oasis, 28/01/2018" u="1"/>
        <s v="Pago de Diezmo a Iglesia Sonsonate Marzo 2018, 12/04/2018" u="1"/>
        <s v="Ofrendas dia jeuves, 11/01/2017" u="1"/>
        <s v="Pago de Limpieza de Local , 15/04/2018" u="1"/>
        <s v="Refrigerio de Escuelitas Moscua, 03/07/2016" u="1"/>
        <s v="Gastos de escuelitas de niños, moscua, la arenera, domingo y jueves + domingo, 05/03/2017" u="1"/>
        <s v="Diezmo culto de los domingos, 02/04/2017" u="1"/>
        <s v="Transporte de Vigilia de Guaymango, 05/12/2015" u="1"/>
        <s v="Diezmos Culto de los Jueves, 08/12/2016" u="1"/>
        <s v="Transporte Dominical Hno Marcos, 03/12/2016" u="1"/>
        <s v="Transporte Dominical Saul Ramos, 03/12/2016" u="1"/>
        <s v="Diezmos Dominicales, 07/05/2017" u="1"/>
        <s v="Almuerzo para pastor, 27/07/2018" u="1"/>
        <s v="Ofrendas de Culto de los Jueves, 26/01/2017" u="1"/>
        <s v="ofrendas culto domingos, 03/12/2017" u="1"/>
        <s v="Fiesta de niños marzo 2018 compra de vasos, galletas, cucharitas parquete, caja de sorbete, 15/03/2018" u="1"/>
        <s v="Ofrenda Culto de los jueves, 22/06/2017" u="1"/>
        <s v="Ofrendas Vigilia de Mayo-17, 02/06/2017" u="1"/>
        <s v="Transporte Hno Marcos hasta el 08/10/2017, 08/10/2017" u="1"/>
        <s v="Escuelitas Moscua, 11/10/2015" u="1"/>
        <s v="Ofredas Dominicales, 11/06/2017" u="1"/>
        <s v="Transporte para trasladar a Hna Enferma a Sonsonate, 05/03/2017" u="1"/>
        <s v="Diezmos Dominicales, 30/10/2015" u="1"/>
        <s v="Gastos de Energìa Electrica Casa del Pastor, 28/05/2017" u="1"/>
        <s v="Para gastos del banco de Alimentos Junio-17, 25/06/2017" u="1"/>
        <s v="Ofrendas Dominciales, 17/07/2016" u="1"/>
        <s v="Ofrendas Dominicales, 23/07/2017" u="1"/>
        <s v="Ofrenda día domingo, 09/08/2015" u="1"/>
        <s v="Gastos de preparativos para Vigilia Mensual, 04/06/2017" u="1"/>
        <s v="Viaticos a Pastores, apoyo en vigilia mensual, 31/07/2015" u="1"/>
        <s v="Ofrendas del Jueves, 21/09/2017" u="1"/>
        <s v="Transporte a valle nuevo, 16/08/2018" u="1"/>
        <s v="Gastos de transporte al Caulote, 29/04/2018" u="1"/>
        <s v="Transporte Culto General Dominical, 02/10/2016" u="1"/>
        <s v="Pasajes para compra de pan snta cena, 03/01/2016" u="1"/>
        <s v="Cancelaciòn de Diezmos Iglesia Sonsonate correspondientes al mes de Nov.16, 09/12/2016" u="1"/>
        <s v="Ofrendas Culto de los Jueves, 13/07/2017" u="1"/>
        <s v="Diezmo Domingos, 27/05/2018" u="1"/>
        <s v="Ofrendas para Hno Elías por Vigilia Mensual, 26/08/2016" u="1"/>
        <s v="Transporte al porvenir Culto Dominical, 25/02/2018" u="1"/>
        <s v="corchetera  libreria b°369430, 12/06/2019" u="1"/>
        <s v="Ofrenda para Pastor Invitado Aniversario, 26/01/2018" u="1"/>
        <s v="Ofrendas Dominicales, 18/06/2017" u="1"/>
        <s v="ofrendas dominicales, 24/06/2018" u="1"/>
        <s v="Ofrendas Grupo Oasis, 24/06/2018" u="1"/>
        <s v="Refrigerio escuelitas culto general, 13/11/2016" u="1"/>
        <s v="Complemento Celebración del día del Padre Jorge Torres, 19/06/2016" u="1"/>
        <s v="Viaticos a Juan Torres Enero-18, 07/01/2018" u="1"/>
        <s v="Ofrendas Grupos Oasis Junio-2017, 23/07/2017" u="1"/>
        <s v="Recibo de Luz Pastor Jorge Torres, 30/12/2018" u="1"/>
        <s v="Libros para Escuelas Biblicas, 10/01/2019" u="1"/>
        <s v="Diezmos culto dominical, 22/04/2018" u="1"/>
        <s v="Compra de Caja de Sorbetes, 22/11/2018" u="1"/>
        <s v="Publicidad Radio para campaña 22-02-2018, 01/03/2018" u="1"/>
        <s v="transporte evento tarde de alabanza de jovenes, 10/06/2018" u="1"/>
        <s v="Reparación de cables de corriente en Iglesia, 19/06/2016" u="1"/>
        <s v="Ofrenda para el pastor Jun-18, 30/06/2018" u="1"/>
        <s v="Transporte Don Moises viajes al porvenir, 06/08/2017" u="1"/>
        <s v="Viajes al Mora, 02/08/2018" u="1"/>
        <s v="Ofrenda Culto Dominical, 23/04/2017" u="1"/>
        <s v="Ofrendas para transporte , 23/07/2017" u="1"/>
        <s v="Copias para escuelita de niños, jorge torres, 10/10/2016" u="1"/>
        <s v="Ofrendas Pastor Felix invitado Domingo , 24/06/2018" u="1"/>
        <s v="Compra de USB 16 GB para aniversario, 26/01/2018" u="1"/>
        <s v="Refrigerio para escuelitas Moscua, 24/07/2016" u="1"/>
        <s v="Diezmo a Iglesia Josue Sonsonate Octubre-17, 05/11/2017" u="1"/>
        <s v="kit encendido fiat way efectivo , 13/06/2019" u="1"/>
        <s v="Diezmos Dominicales, 24/06/2018" u="1"/>
        <s v="Cena navideña para lideres, 10/12/2017" u="1"/>
        <s v="Refrigerio por reunion de lideres, 12/07/2018" u="1"/>
        <s v="Combustible traslado de miembros de la iglesia, 02/08/2015" u="1"/>
        <s v="Diezmo Jueves, 01/03/2018" u="1"/>
        <s v="Gastos de Transporte al porvenir , 17/09/2017" u="1"/>
        <s v="Diezmo del mes de Julio/15, 14/08/2015" u="1"/>
        <s v="Diezmos Dominicales, 11/10/2015" u="1"/>
        <s v="Transporte por reunion de ministerio de alabanza, 08/02/2016" u="1"/>
        <s v="Diezmos Dominicales, 01/11/2015" u="1"/>
        <s v="depasito espejos strada , 12/06/2019" u="1"/>
        <s v="Diezmo a Iglesia Sonsonate Marz-18, 08/03/2018" u="1"/>
        <s v="Viaticos Juan Torres Adelanto Enero-18, 06/01/2018" u="1"/>
        <s v="Ofrendas Dominicales, 11/09/2016" u="1"/>
        <s v="Compra de Caja Directa Doble- Para Guitarra Acustica y Bajo Electrico, 20/05/2018" u="1"/>
        <s v="Cancel de diezmo correspondiente a Sept-15, 22/10/2015" u="1"/>
        <s v="Ofrendas Aniversario Domingo, 28/01/2018" u="1"/>
        <s v="Refrigerio de Escuelitas Dominicales, 31/01/2016" u="1"/>
        <s v="Transporte Hnos Marcos Semana del 19 Marzo al 25 Marzo-18, 29/02/018" u="1"/>
        <s v="fardo de agua por hna invitada a culto domingo, 25/03/2018" u="1"/>
        <s v="Refrigerio Escuelitas Dominicales, 27/03/2016" u="1"/>
        <s v="Pago de saldo pendiente de viajes al Maguey, Invitaciòn a Culto Las Tablas Sonsonate y otros, 13/03/2017" u="1"/>
        <s v="Transporte Hnos Marcos Semana del 19 Marzo al 25 Marzo-18, 29/04/018" u="1"/>
        <s v="Diezmo culto de los jueves, 28/09/2017" u="1"/>
        <s v="Ofrenda para el Pastor Elías Por Vigilia Mensual, 27/08/2017" u="1"/>
        <s v="Diezmo CUlto de los Jueves, 10/08/2017" u="1"/>
        <s v="Ofrenda Pastor Felix- Invitado a Predicar , 13/08/2017" u="1"/>
        <s v="Ofrendas Dominicales, 02/07/2018" u="1"/>
        <s v="Ofrendas Dominicales, 16/07/2017" u="1"/>
        <s v="Ofrendas Dominicales, 22/07/2018" u="1"/>
        <s v="Ofrendas Valle Nuevo, 12/07/2018" u="1"/>
        <s v="Gastos Evento Campaña Medica en el Porvenir (varias facturas), 24/07/2016" u="1"/>
        <s v="Pasajes hnos del porvenir, 07/06/2018" u="1"/>
        <s v="Transporte Dominical Moises Escobar, 25/10/2015" u="1"/>
        <s v="Compra de Sobres para Diezmos, 16/12/2016" u="1"/>
        <s v="Diezmos culto de los jueves, 08/03/2018" u="1"/>
        <s v="Diezmos Culto de los Jueves, 04/05/2017" u="1"/>
        <s v="Diezmos de Filial el Mora Marzo 18, 29/03/2018" u="1"/>
        <s v="Refrigerio por reunion , 09/11/2017" u="1"/>
        <s v="Diezmos Dominicales, 09/02/2017" u="1"/>
        <s v="Diezmos Dominicales, 19/02/2017" u="1"/>
        <s v="Diezmos Dominicales, 25/02/2018" u="1"/>
        <s v="Ofrendas Vigilia Mensual, 28/10/2016" u="1"/>
        <s v="Compra de Pan para vigilia, 26/10/2017" u="1"/>
        <s v="retiro venta cuna kia rio y bandeja izq x mano Abraham , 12/06/2019" u="1"/>
        <s v="Grupos Oasis, 29/04/2018" u="1"/>
        <s v="Diezmos Dominicales, 19/03/2017" u="1"/>
        <s v="Diezmos Dominicales, 25/03/2018" u="1"/>
        <s v="Ofrenda para el Pastor del mes de Sept-18, 30/09/2018" u="1"/>
        <s v="Ofrenda para Evento de Mujeres, 22/05/2016" u="1"/>
        <s v="Gastos Pendiente confirmar con Jorge, 27/03/2016" u="1"/>
        <s v="Compra de Materiales para construccion de Filial el Mora, 05/09/2017" u="1"/>
        <s v="Diezmos Dominicales complemento Carmen y Luis, 20/08/2017" u="1"/>
        <s v="Transporte hno marcos del 06/08/2018 al 26/08/2018" u="1"/>
        <s v="Compra de agua y toalla para pastor Felix Invitado, 24/06/2018" u="1"/>
        <s v="Gastos de transporte culto dominical hno marcos, 05/02/2017" u="1"/>
        <s v="Pago Inicial de Contrato de Energía Eléctrica Iglesia El Mora., 05/02/2018" u="1"/>
        <s v="Transporte, Moises Escobar, 07/06/2015" u="1"/>
        <s v="Transporte Dominical , 14/08/2016" u="1"/>
        <s v="Ofrendas Vigilia Mensual, 30/12/2016" u="1"/>
        <s v="Transporte Semana de oracion, 24/01/2016" u="1"/>
        <s v="Transporte Vigilia Mensual (Parcial) anticipo, 29/07/2016" u="1"/>
        <s v="Diezmos Dominicales, 15/07/2018" u="1"/>
        <s v="Compra de Colores, 22/03/2018" u="1"/>
        <s v="Ofrendas Dominicales, 27/07/2017" u="1"/>
        <s v="Ofrendas Culto de los jueves, 14/06/2018" u="1"/>
        <s v="Pago de transporte culto de acciòn de gracias en calle sin ley, 05/03/2017" u="1"/>
        <s v="Ofrendas Culto entre semana , 10/11/2016" u="1"/>
        <s v="Refrigerio por Reunion de Liderez, 08/11/2018" u="1"/>
        <s v="Ofrendas Dominicales, 03/08/2017" u="1"/>
        <s v="Ofrendas Dominicales, 07/08/2016" u="1"/>
        <s v="Diezmos Dominicales, 22/11/2015" u="1"/>
        <s v="Transporte por Vigilia Mensual + Semana de Oraciòn, 27/05/2016" u="1"/>
        <s v="Diezmo del mes de Agosto-15, 14/09/2015" u="1"/>
        <s v="Pago de transporte culto de los jueves y viajes para engrega de ropa en el Maguey, 19/02/2017" u="1"/>
        <s v="Compra de cuerdas para guitarra acustica y electrica, 31/08/2017" u="1"/>
        <s v="Ofrenda de los Jueves, 26/10/2017" u="1"/>
        <s v="DIezmo culto de los dominigos, 20/08/2017" u="1"/>
        <s v="Ofrenda culto de los Dominigos, 20/08/2017" u="1"/>
        <s v="Diezmo culto de los jueves, 17/08/2017" u="1"/>
        <s v="Gastos por reunion de lideres, 14/06/2018" u="1"/>
        <s v="105 Fotocopias , 11/06/2015" u="1"/>
        <s v="Capacitación de Jóvenes, Refrigerio, 23/08/2015" u="1"/>
        <s v="Don Roberto viaje al mora Vigilia, 22/12/2017" u="1"/>
        <s v="Compra de Colores para escuelitas, 22/04/2018" u="1"/>
        <s v="Abono a Prestamo Hno Douglas , 04/06/2017" u="1"/>
        <s v="Ofrendas Dominicales, 28/08/2016" u="1"/>
        <s v="Compra de bateria para microfono , 29/04/2018" u="1"/>
        <s v="Ofrendas Dominicales, 04/09/2016" u="1"/>
        <s v="Ofrendas Dominicales, 10/09/2017" u="1"/>
        <s v="Ofrendas Culto dia Jueves 05/01/2016" u="1"/>
        <s v="Culto Jueves, 22/03/2018" u="1"/>
        <s v="Transporte Jose Roberto, 10/05/2015" u="1"/>
        <s v="Ofrenda de culto de los jueves, 02/02/2017" u="1"/>
        <s v="Ofrendas de Vallenuevo, 05/07/2018" u="1"/>
        <s v="Ofrenda para el Pastor Jorge Agost-18, 30/08/2018" u="1"/>
        <s v="Compra de Uñetas para guitarrista, 24/12/2015" u="1"/>
        <s v="Ofrenda para Pastor Vigilia agosto-18, 31/08/2018" u="1"/>
        <s v="Compras para evento 3 Aniversario de Iglesia Josue Metalìo, 22/01/2017" u="1"/>
        <s v="Ofrendas culto Dominical, 09/07/2017" u="1"/>
        <s v="Ofrenda Mes de Agosto Pastor Jorge, 13/08/2017" u="1"/>
        <s v="Compra de Agua para Hermano invitado vendedor de revistas, 21/10/2018" u="1"/>
        <s v="Transporte Don Moises, 10/09/2017" u="1"/>
        <s v="Transporte Hermano Oscar, 25/11/2018" u="1"/>
        <s v="Compra de Cuerdas + Clavija de Guitarra Acustica, 25/12/2016" u="1"/>
        <s v="Compra de Cuerdas para guitarra electrica y acustica, 29/04/2018" u="1"/>
        <s v="Compra de Jugo de UVA para Santa Cena, 06/03/2016" u="1"/>
        <s v="Limpieza de Local, 06/01/2019" u="1"/>
        <s v="Ofrendas de Grupos Oasis Febr-17, 28/02/2017" u="1"/>
        <s v="Ofrendas DOminicales, 15/07/2018" u="1"/>
        <s v="Pago de transporte, Jose Roberto, 17/05/2015" u="1"/>
        <s v="Diezmos dominicales, 26/08/2018" u="1"/>
        <s v="Ofrendas Grupos Oasis Junio-17, 23/07/2017" u="1"/>
        <s v="Ofrendas Culto Jueves, 26/04/2018" u="1"/>
        <s v="Diezmos Dominicales, 16/09/2018" u="1"/>
        <s v="Ofrendas Dominicales, 25/09/2016" u="1"/>
        <s v="Ofrendas Grupo Oasis Antonio Torres, 30/09/2017" u="1"/>
        <s v="Escuelitas de niños Moscua, 11/12/2016" u="1"/>
        <s v="Cancelacion de diezmo de Dic-15, 18/01/2016" u="1"/>
        <s v="Ofrenda general del Evento de Mujeres, 04/06/2016" u="1"/>
        <s v="Viajes a Valle Nuevo, 22/11/2018" u="1"/>
        <s v="Ofrenda para Pastora Invitada de Costa Rica Culto General, 08/01/2016" u="1"/>
        <s v="Ofrendas de Ofrendas Pendintes (Se entrego como diezmo a Iglesia Sonsonate), 31/08/2017" u="1"/>
        <s v="Viaticos mes de Julio Juan Torres, 29/07/2018" u="1"/>
        <s v="Ayuda para el Banco de Alimentos Mayo -2017, 20/05/2017" u="1"/>
        <s v="Diezmos 20 y 17/12/2015, 20/12/2015" u="1"/>
        <s v="Transporte Hno Marcos 1ra parte del 12 al 25 feb-18 (quedan pendientes 49), 25/02/2018" u="1"/>
        <s v="Gastos de Transporte Don Moises El porvernir Jueves y Domingo, 11/06/2017" u="1"/>
        <s v="Ofrendas Jueves, 01/03/2018" u="1"/>
        <s v="Ofrendas Grupo Oasis Valle nuevo, 24/04/2018" u="1"/>
        <s v="Ofrendas Culto de los Jueves, 15/02/2018" u="1"/>
        <s v="Ofrendas culto de los jueves, 29/11/2018" u="1"/>
        <s v="Ofrenda de Culto de los Jueves, 15/02/2017" u="1"/>
        <s v="Compra de Jugos y agua Salud para Evento de Mujeres fact. 2942, 02/06/2016" u="1"/>
        <s v="Ofrenda Pastor Jorge Mes Julio-18 (2da Parte que estaba pendiente de Julio), 12/08/2018" u="1"/>
        <s v="Ofrenda Grupos Oasis Julio-17, 31/07/2017" u="1"/>
        <s v="Ofrendas de Grupos Oasis, El Caulote, Mosuca, Grupo 1 y Grupo2, 01/12/2016" u="1"/>
        <s v="Refrigerio de escuelitas culto general + escuelitas metalillito y la balastrera + copias para escuelitas, 25/09/2016" u="1"/>
        <s v="Ofrenda para Pastor Jorge Torres 1ra Parte, 30/08/2018" u="1"/>
        <s v="refrigerio escuelitas moscua, 06/11/2016" u="1"/>
        <s v="Transporte al Porvenir Don Moises, 09/07/2017" u="1"/>
        <s v="Ofrendas Dominicales, 06/08/2017" u="1"/>
        <s v="Ofrendas Dominicales, 12/08/2018" u="1"/>
        <s v="Diezmos Noches de Milagros, 28/07/2017" u="1"/>
        <s v="Ofrenda Iglesia Josue Cuyoapa , 25/06/2017" u="1"/>
        <s v="Diezmos de Vigilia Mensual, 24/06/2016" u="1"/>
        <s v="Compra de Sello de Iglesia Josue Metalío, 29/04/2016" u="1"/>
        <s v="Diezmos culto de los Jueves, 01/11/2018" u="1"/>
        <s v="Ofrendas Culto Dominical, 22/01/2017" u="1"/>
        <s v="Compra de Pedal 50% fact 5013, 04/12/2015" u="1"/>
        <s v="Ofrenda a Jorge Torres por Pastorado, 28/04/2017" u="1"/>
        <s v="Transporte 3ra Parte final Aniversario Metalio, 05/02/2017" u="1"/>
        <s v="Diezmo culto de los jueves, 05/07/2018" u="1"/>
        <s v="Abono a préstamo de Flor , 19/07/2017" u="1"/>
        <s v="Gastos de Transporte El Mora Domingo, 27/08/2017" u="1"/>
        <s v="Ofrenda de grupos Oasis, 09/10/2016" u="1"/>
        <s v="Ofrenda Jorge Torres Noviembre -2018, 30/11/2018" u="1"/>
        <s v="Ayuda y Donacion a Hermana de iglesia, 30/09/2018" u="1"/>
        <s v="Refrigerio de niños, culto dominical, 19/07/2015" u="1"/>
        <s v="gastos, 04/04/2020" u="1"/>
        <s v="gastso, 04/04/2020" u="1"/>
        <s v="Gastos de Vigilia Mensual, 31/05/2018" u="1"/>
        <s v="Transporte Hno Marcos, Semana del 08 al 21 de Enero-18, 21/01/2017" u="1"/>
        <s v="Cancelaciòn de Diezmo a Iglesia de Sonsonate Febrero y Marzo 2017, 16/04/2017" u="1"/>
        <s v="Ofrendas dominicale, 11/03/2018" u="1"/>
        <s v="ofrendas dominical, 21/02/2016" u="1"/>
        <s v="Ofrendas Pastor Jorge ( Recibo de Luz 2 Meses vencido), 26/07/2018" u="1"/>
        <s v="transporte, 01/01/2019" u="1"/>
        <s v="Ofrendas, 27/05/2018" u="1"/>
        <s v="Ofrendas de Grupos Oasis de Carlitos Rivera, 22/01/2017" u="1"/>
        <s v="2 Piñatas para trimestre de niños, Felix Renderos, 26/07/2015" u="1"/>
        <s v="Compras para evento 3ª Aniversario Iglesia Josue Metalio, 27/01/2017" u="1"/>
        <s v="diezmos dominicales, 17/06/2018" u="1"/>
        <s v="Refrigerio de escuelitas y reunion de servidores, 23/10/2016" u="1"/>
        <s v="Ofrendas, 13/09/2015" u="1"/>
        <s v="Transporte dia domingo culto general, 31/02/016" u="1"/>
        <s v="Viaticos A Josue Timas por Llevar a hermanos al bautizo sonsonate, 01/03/2018" u="1"/>
        <s v="Cena para pastores, 27/07/2018" u="1"/>
        <s v="Gastos de Transporte Hermano Marcos Semana del 14 al 20, 27/08/2017" u="1"/>
        <s v="Ofrendas Grupos Oasis El Caulote, 20/03/2016" u="1"/>
        <s v="Para llevar a Comer al Pastor de Africa, 29/04/2018" u="1"/>
        <s v="Compra de Vasos para agua de predicador, 21/01/2018" u="1"/>
        <s v="Compra de Cuerdas para El Bajo Electrico, 07/05/2017" u="1"/>
        <s v="Ofrendas Jueves, 12/07/2018" u="1"/>
        <s v="Ofrenda culto Domingo, 06/05/2018" u="1"/>
        <s v="Ofrendas Jueves, 02/08/2018" u="1"/>
        <s v="transporte de los domingos, 30/04/2017" u="1"/>
        <s v="venta rario sonic efectivo, 13/06/2019" u="1"/>
        <s v="Diezmo culto jueves, 27/09/2018" u="1"/>
        <s v="Diezmos Dominicales, 20/11/2016" u="1"/>
        <s v="gastos, 07/05/2020" u="1"/>
        <s v="Ofrendas culto Jueves, 12/04/2018" u="1"/>
        <s v="Refrigerio para escuelita de niños culto dominical, 30/10/2016" u="1"/>
        <s v="Ofrenda Hno Elias Vigilia MENSUAL, 30/10/2015" u="1"/>
        <s v="Compra de Vasos y Platos desechables para vigilia + agua, 27/11/2015" u="1"/>
        <s v="Viaje a Valle nuevo , 10/01/2019" u="1"/>
        <s v="Limpieza de local , 02/09/2018" u="1"/>
        <s v="diezmo culto de los jueves, 21/06/2018" u="1"/>
        <s v="Viaticos Juan Torres Noviembre-17, 12/11/2017" u="1"/>
        <s v="Ofrenda Culto de los Jueves, 17/05/2018" u="1"/>
        <s v="Escuelitas de niños aniversario, 28/01/2018" u="1"/>
        <s v="Gastos de Eventos pastor Invitado de Panamà, 20/12/2015" u="1"/>
        <s v="Ofrendas Dominical, 25/02/2018" u="1"/>
        <s v="Diezmos a Iglesia de Sonsonate Mayo-18, 17/06/2018" u="1"/>
        <s v="Transporte Dominical y Culto de los Jueves Hno Saul Ramos, 11/12/2016" u="1"/>
        <s v="Compra de Membrana para Unidad PEAVEY reparacion de Bocina para Aniversario, 26/01/2018" u="1"/>
        <s v="Viaticos A Juan Torres Agosto-18, 26/08/2018" u="1"/>
        <s v="Pasajes para Compra de Pan + Escuelitas Moscua, 06/03/2016" u="1"/>
        <s v="Viaticos a Marlon, 01/10/2015" u="1"/>
        <s v="Ofrendas Abril-17, 30/04/2017" u="1"/>
        <s v="Limpieza de Local 30/09/2018, 30/09/2018" u="1"/>
        <s v="Transporte Hno Marcos semana del 12 al 18 marzo 2018, 18/03/2018" u="1"/>
        <s v="Ofrenda para pastor invitado a predicar de Josue San Salvador, 05/11/2017" u="1"/>
        <s v="Diezmos culto los jueves, 15/11/2018" u="1"/>
        <s v="Ofrenda Hno Marcos, 25/12/2016" u="1"/>
        <s v="Transporte traslado de hermanos de el Porvenir Culto Dominical, 26/02/2017" u="1"/>
        <s v="Venta del día , 14/03/2019" u="1"/>
        <s v="Arrendamiento del mes de Feb-19, 13/03/2019" u="1"/>
        <s v="DIezmos culto dominical, 04/03/2018" u="1"/>
        <s v="Transporte Hno Marcos Del 05 nov al 11 nov, 15/11/2018" u="1"/>
        <s v="Ofrendas 20/12/2015 y 17/12/2015, 20/12/2015" u="1"/>
        <s v="Ofrenda para Grupo DUO invitado para aniversario , 28/01/2017" u="1"/>
        <s v="Ofrenda para el pastor Elias predica vigilia mensual, 30/10/2016" u="1"/>
        <s v="Escuelita iglesia local, 23/08/2015" u="1"/>
        <s v="Transporte para hnos del porvenir, 09/11/2017" u="1"/>
        <s v="Escuelitas Moscua + Escuelitas Dominicales Iglesia, 24/04/2016" u="1"/>
        <s v="Ofreda de los Jueves, 14/09/2017" u="1"/>
        <s v="Ofrendas Dominicales, 18/09/2016" u="1"/>
        <s v="Ofrendas Dominicales, 24/09/2017" u="1"/>
        <s v="Ofrendas Grupo Oasis, 30/09/2018" u="1"/>
        <s v="Diezmo culto de los jueves, 14/06/2018" u="1"/>
        <s v="Compra de vasos para refrigerio congregacion, 16/10/2016" u="1"/>
        <s v="Ofrendas jueves, 23/08/2018" u="1"/>
        <s v="Ofrenda para el Hermano Elías, predica de vigilia mensual, 19/06/2016" u="1"/>
        <s v="Ofrenda para el Hno. Julio, Testimonio de vigilia Mensual, 19/06/2016" u="1"/>
        <s v="Refrigerios escuelitas Moscua, 02/10/2016" u="1"/>
        <s v="Transporte de Vigilia Velorio Hno Enrique Ramos, 11/12/2016" u="1"/>
        <s v="Diezmos Dominicales, 18/02/2018" u="1"/>
        <s v="Transporte al mora por vigilia mensual, 29/06/2018" u="1"/>
        <s v="Transporte al Porvenir Vigilia Mensual, 29/06/2018" u="1"/>
        <s v="Ofrenda Vigilia Mensual, 29/04/2016" u="1"/>
        <s v="Diezmo Culto de los Jueves, 11/05/2017" u="1"/>
        <s v="Transporte Vigilia Mensual, 29/04/2016" u="1"/>
        <s v="Compra de preparativos de santa cena, 06/06/2015" u="1"/>
        <s v="Ofrendas Vigilia mensual, 27/07/2018" u="1"/>
        <s v="Compra de 2 Focos Grandes, 25/10/2018" u="1"/>
        <s v="Ofrendas Culto de accion de Gracias Sandra Torres, 05/05/2018" u="1"/>
        <s v="Diezmos juves, 22/03/2018" u="1"/>
        <s v="combustible, 01/04/2019" u="1"/>
        <s v="Ofrendas Jueves, 04/01/2018" u="1"/>
        <s v="Ofrendas jueves, 18/01/2017" u="1"/>
        <s v="Diezmos Día Domingo culto general, 31/07/2016" u="1"/>
        <s v="Ofrendas del Culto de los Domingos, 27/08/2017" u="1"/>
        <s v="Ofrenda para Pastor Elías, vigilia mensual, 05/03/2017" u="1"/>
        <s v="Gasolina hermano marcos seman de oracion, 14/02/2016" u="1"/>
        <s v="Reparaciòn de Monitores del ministerio de alabanza, 12/02/2017" u="1"/>
        <s v="Ofrendas Dominicales, 29/07/2018" u="1"/>
        <s v="Ofrendas valle nuevo, 19/07/2018" u="1"/>
        <s v="Combustible traslado de miembros de la iglesia, 23/08/2015" u="1"/>
        <s v="Compra de Espigas para microfonos 50% fact 27366, 03/12/2015" u="1"/>
        <s v="Limpieza de Local, 16/12/2018" u="1"/>
        <s v="Ofrendas Jorge Torres Enero-18, 07/01/2018" u="1"/>
        <s v="Transporte el mora domingo, 03/04/2018" u="1"/>
        <s v="Transporte al Hno Marcos del 17 al 30 de Sept-18, 30/09/2018" u="1"/>
        <s v="Diezmo Domingos, 21/10/2018" u="1"/>
        <s v="Diezmos dominicales, 08/07/2018" u="1"/>
        <s v="Ofrendas Dominicales, 05/08/2018" u="1"/>
        <s v="Invitación a Cenar Hno Felix- Invitado a Predicar, 13/08/2017" u="1"/>
        <s v="Ofrendas Jueves, 08/06/2017" u="1"/>
        <s v="Diezmos Dominicales, 25/10/2015" u="1"/>
        <s v="Ofrendas Culto Domingo, 18/03/2018" u="1"/>
        <s v="Ofrenda de E.E.U.U, 09/10/2016" u="1"/>
        <s v="transporte vigilia mensual, 28/04/2017" u="1"/>
        <s v="Diezmos Dominicales, 15/11/2015" u="1"/>
        <s v="Recibo de Luz de Febrero 2016, 10/04/2016" u="1"/>
        <s v="Transporte Dominical Saul Ramos + viajes extras, 25/09/2016" u="1"/>
        <s v="Pago de Luz Electrica local iglesia josue metalio , 24/07/2016" u="1"/>
        <s v="Diezmos Dominicales, 05/12/2015" u="1"/>
        <s v="Diezmos Dominicales, 11/12/2016" u="1"/>
        <s v="Transporte Dominical, 11/10/2015" u="1"/>
        <s v="Ofrendas 02/09/2018, 02/09/2018" u="1"/>
        <s v="faldir, 30/06/2018" u="1"/>
        <s v="144 fotocopias para escuelitas, 12/09/2015" u="1"/>
        <s v="Transporte Domnical El porvenir y el Maguey, 13/03/2017" u="1"/>
        <s v="Viáticos reunión en Pizza Christian, Felix y Pastor, 11/06/2015" u="1"/>
        <s v="Refrijerio para reunion , 22/03/2018" u="1"/>
        <s v="Ofrendas Día Viernes de la Vigilia mensual, 29/07/2016" u="1"/>
        <s v="Ofrendas Dominicales, 26/08/2018" u="1"/>
        <s v="Compra de Resma de Papel bond, 12/04/2018" u="1"/>
        <s v="Compra de Pan y Ventilador pequeño para vigilia mensual, 26/08/2016" u="1"/>
        <s v="1 Cinta doble, 08/07/2015" u="1"/>
        <s v="Refrigerio para escuelita de niños culto dominical, 08/01/2016" u="1"/>
        <s v="Diezmos vigilia octubre, 29/10/2017" u="1"/>
        <s v="Ofrenda culto domingo, 20/05/2018" u="1"/>
        <s v="Transporte el porvenir culto general dominical, 02/10/2016" u="1"/>
        <s v="Ayuda a un Hermano, 06/01/2018" u="1"/>
        <s v="Diezmo culto de los domingos, 11/11/2017" u="1"/>
        <s v="Diezmos jueves, 23/11/2017" u="1"/>
        <s v="Ofrenda para Pastor Elias campaña el Mora, 25/02/2018" u="1"/>
        <s v="Diezmo Vigilia, 30/11/2018" u="1"/>
        <s v="Ofrenda Mensual Juan Torres, 30/11/2018" u="1"/>
        <s v="Cancelación de Diezmo iglesia Sonsonate, Oct.-16, 13/11/2016" u="1"/>
        <s v="Diezmos jueves, 16/11/2017" u="1"/>
        <s v="Diezmos Jueves, 22/11/2018" u="1"/>
        <s v="Transporte culto dominical, 05/03/2017" u="1"/>
        <s v="Ventas de Tienda Vigilia Mensual, 26/08/2016" u="1"/>
        <s v="Diezmos Domingos, 31/12/2017" u="1"/>
        <s v="Transporte Hno Marcos del 26/octubre al 04/Noviembrel , 15/11/2018" u="1"/>
        <s v="Ofrendas culto dominical, 08/07/2018" u="1"/>
        <s v="Refrigerios escuelitas biblicas El caulote, del Jueves y Domingo, 11/12/2016" u="1"/>
        <s v="Cancelacion de Diezmo a Iglesia Local Sonsonate, 08/05/2016" u="1"/>
        <s v="Ofrendas Jueves, 06/01/2018" u="1"/>
        <s v="Mejores en el edificio, 01/04/2019" u="1"/>
        <s v="Ofrenda Jorge Torres Feb-18 primera parte, 18/02/2018" u="1"/>
        <s v="transporte de miembros vigilia mensual, 27/11/2015" u="1"/>
        <s v="Ofrenda grupo oasis, 03/04/2018" u="1"/>
        <s v="Venta de servicios del dia, 01/04/2019" u="1"/>
        <s v="Gastos de transporte al caulote , 27/07/2018" u="1"/>
        <s v="Ofrenda Culto de los Jueves, 08/12/2016" u="1"/>
        <s v="Ofrenda Culto de los Jueves, 28/12/2016" u="1"/>
        <s v="Ofrendas Valle nuevo, 07/08/2018" u="1"/>
        <s v="Compra de Tarjetas para Evento de mujeres + gastos de escuelitas en Moscua y compra de almoadilla, 07/05/2016" u="1"/>
        <s v="Pago de AFP Iglesia Josue Sonsonate, 15/07/2018" u="1"/>
        <s v="Diezmos Dominicales, 29/07/2018" u="1"/>
        <s v="Diezmo a Iglesia Sonsonate Nov-18, 30/11/2018" u="1"/>
        <s v="Diezmos Culto de lo jueves, 13/04/2017" u="1"/>
        <s v="100 copias , 05/06/2015" u="1"/>
        <s v="Ofrendas Dominicales, 07/09/2017" u="1"/>
        <s v="Ofrendas Dominicales, 23/09/2018" u="1"/>
        <s v="arreglo ruedas  N000726, 10/06/2019" u="1"/>
        <s v="Ofrendas Culto Dominical, 30/09/2018" u="1"/>
        <s v="Ofrendas Jueves, 26/07/2018" u="1"/>
        <s v="Culto de los Jueves, 31/05/2018" u="1"/>
        <s v="Diezmos dominicales, 19/08/2018" u="1"/>
        <s v="Transporte de los jueves, 20/04/2017" u="1"/>
        <s v="Ofrendas Jueves, 16/08/2018" u="1"/>
        <s v="Ofrendas Grupos Oasis , 28/01/2018" u="1"/>
        <s v="Adelanto de Viaticos Juan Torres Mayo-18, 29/04/2018" u="1"/>
        <s v="Pago de luz electrica casa de pastor, 26/11/2017" u="1"/>
        <s v="Culto de los Jueves, 15/06/2017" u="1"/>
        <s v="Ofrenda pastor Jorge Agost-18, 06/09/2018" u="1"/>
        <s v="Ofrendas Mensualess, 30/10/2015" u="1"/>
        <s v="Transporte Dominical Hno Saul, 23/10/2016" u="1"/>
        <s v="Ofrenda culto de los jueves, 08/11/2018" u="1"/>
        <s v="Transporte Evento de Jovenes + Culto General+Culto Jueves, 13/11/2016" u="1"/>
        <s v="Transporte Hno Marcos desde el 23 de Julio al 05 de Agosto-18, 05/08/2018" u="1"/>
        <s v="Compra de Uñetas para guitarrista + adaptadores canon + convertidores y conexiones, 20/01/2016" u="1"/>
        <s v="Ofrendas Culto General, 13/11/2016" u="1"/>
        <s v="Ofrenda a predicador Fredy Mezquita Campamento, 14/12/2017" u="1"/>
        <s v="PUREBA, 30/06/2018" u="1"/>
        <s v="Diezmos domingos, 03/12/2017" u="1"/>
        <s v="Ofrenda Grupo Oasis Hno Marcos, 25/12/2016" u="1"/>
        <s v="Ofrendas Jueves, 03/01/2019" u="1"/>
        <s v="Transporte Dominical hno Marcos, 30/10/2016" u="1"/>
        <s v="Compra de Tela para altar de Iglesia Josue Metalio, 21/01/2017" u="1"/>
        <s v="Alimentacion para Hnos Invitados de Africa, 28/01/2018" u="1"/>
        <s v="Ofrendas Moscua, 27/05/2018" u="1"/>
        <s v="Transporte Hno Marcos viajes, 06/08/2017" u="1"/>
        <s v="Diezmo Culto del Jueves, Guadalupe Miranda, 19/01/2017" u="1"/>
        <s v="Viaticos para Capacitacion de Lideres Jorge Torres S.S, 19/03/2016" u="1"/>
        <s v="Transporte al mora domingo, 18/03/2018" u="1"/>
        <s v="Transporte Dominical, 04/10/2015" u="1"/>
        <s v="Ofrendas Culto de Jueves, 01/11/2018" u="1"/>
        <s v="Pago de Luz Electrica Casa de Pastor Jorge Sept-18, 30/09/2018" u="1"/>
        <s v="Pago de Transporte Para repartir ropa el Maguey, Hno Marcos, 05/03/2017" u="1"/>
        <s v="Gastos de Transporte Hno Marcos Semana del 20 Al 27, 27/08/2017" u="1"/>
        <s v="Transporte de Culto Dominical, 26/03/2017" u="1"/>
        <s v="Almuerzo a pastor invitado Misionero Italia, 15/11/2018" u="1"/>
        <s v="Diezmos domingos, 31/05/2015" u="1"/>
        <s v="Pago de transporte semana de oraciòn , 05/03/2017" u="1"/>
        <s v="Predicador invitado Hno Elias domingo 17-06-2018, 17/06/2018" u="1"/>
        <s v="Combustiible Evento Deportivo de Jovenes, 10/10/2015" u="1"/>
        <s v="Ofrenda al Pastor Elias , 14/12/2017 campamento" u="1"/>
        <s v="Evento apoyo a filial de los Naranjos, 29/08/2015" u="1"/>
        <s v="Cancelaciòn de Diezmo a Iglesia Josue Sonsonate Junio-16, 17/07/2016" u="1"/>
        <s v="Pago de Transporte Hno Marcos. 20112016, 27/11/2016" u="1"/>
        <s v="Ofrenda Pastor Elìas por Vigilia Mensual, 04/06/2017" u="1"/>
        <s v="Limpieza de Local, 22/07/2018" u="1"/>
        <s v="Ofrendas Dominicales, 19/08/2018" u="1"/>
        <s v="Diezmos CUlto Dominical, 09/07/2017" u="1"/>
        <s v="Cancelacion de Diezmo mes de Julio Iglesia SOnsonate, 09/08/2018" u="1"/>
        <s v="420 copias , 07/07/2015" u="1"/>
        <s v="Viaje al Maguey el dìa Lunes 27/02/2017, 05/03/2017" u="1"/>
        <s v="Gastos de Transporte al porvenir Don Moises, Jueves, Viernes y Domingo, 27/08/2017" u="1"/>
        <s v="Transporte Jueves 23/03/2017 culto de los jueves, 26/03/2017" u="1"/>
        <s v="Desayuno a Iglesia Central y almuerzo en reunion de pastores, 08/03/2018" u="1"/>
        <s v="Compra de Ventilador para  el dia de las madres, 13/05/2018" u="1"/>
        <s v="Diezmos Dominicales, 23/10/2016" u="1"/>
        <s v="Diezmos Dominicales, 27/11/2015" u="1"/>
        <s v="Gastos de transporte Hno Marcos del 21 de mayo hasta el 10 junio-18, 10/06/2018" u="1"/>
        <s v="colacion taty, 11/06/2019" u="1"/>
        <s v="250 fotocopias, 25/07/2015" u="1"/>
        <s v="Diezmos Domingos, 07/01/2018" u="1"/>
        <s v="Diezmos Dominicales, 03/12/2016" u="1"/>
        <s v="Diezmos Dominicales, 27/12/2015" u="1"/>
        <s v="Venta de Productos del dia, 13/03/2019" u="1"/>
        <s v="Transporte Culto dominical + transporte de vigilia mensual, 30/10/2016 hno Saul" u="1"/>
        <s v="Pago de Energìa Electrica Casa del Pastor Jorge Marzo-17, 29/03/2017" u="1"/>
        <s v="Pago de Energìa Elèctrica Local Metalìo Tiangue marzo-17, 29/03/2017" u="1"/>
        <s v="Transporte entre semana y Dominigo Hno Saul Rmos, 06/11/2016" u="1"/>
        <s v="Diezmo culto de los Jueves, 19/04/2018" u="1"/>
        <s v="Compra de vasos, azucar y cafe para vigilia mensual, 21/06/2018" u="1"/>
        <s v="No se han agregado entradas o salidas todavía" u="1"/>
        <s v="Para Vigilia mensual, 30/08/2018" u="1"/>
        <s v="Gastos de transporte al Mora por Vigilia Mensual, 27/08/2017" u="1"/>
        <s v="Limpieza de Local, 16/09/2018" u="1"/>
        <s v="Ofrendas Culto de los Jueves, 07/02/2018" u="1"/>
        <s v="Fiesta de Escuelita de Niños en la Balastrarea, 03/07/2016" u="1"/>
        <s v="Limieza de Local, 30/12/2018" u="1"/>
        <s v="Ofrenda culto jueves, 06/09/2018" u="1"/>
        <s v="Ofrendas Dominicales, 16/09/2018" u="1"/>
        <s v="Ofrendas Jueves, 19/07/2018" u="1"/>
        <s v="Escuelitas Metalillito, La Playa 2 Semanas, 11/12/2016" u="1"/>
        <s v="Ofrenda Oaiss, 31/12/2017" u="1"/>
        <s v="Ofrenda Oasis, 31/12/2017" u="1"/>
        <s v="Ofrendas Jueves, 09/08/2018" u="1"/>
        <s v="Escuelitas Dominicales Metalillito, moscua , 16/04/2017" u="1"/>
        <s v="Gastos evento Campaña Medica el Porvenir + Refrigerio Escuelitas Biblicas, 24/07/2016" u="1"/>
        <s v="Ofrenda para vigilia mensual, 23/03/2018" u="1"/>
        <s v="Gastos para escuelitas de niños, 29/02/018" u="1"/>
        <s v="Transporte Dominical, 22/11/2015" u="1"/>
        <s v="Compra de ventilador, 01/03/2018" u="1"/>
        <s v="Ofrenda Culto de los jueves, 08/03/2018" u="1"/>
        <s v="Ofrendas vijilia viernes, 22/12/2017" u="1"/>
        <s v="Ofrendas  Pianista invitado para Velorio Jorge Torres, 11/12/2016" u="1"/>
        <s v="Gastos de Transporte de Vigilia Mensual, 26/08/2016" u="1"/>
        <s v="Compra de 3 Espigas para el Teclado y Para el Bajo , 01/07/2017" u="1"/>
        <s v="Diezmo culto de los jueves, 09/03/2017" u="1"/>
        <s v="Diezmo culto de los jueves, 15/03/2018" u="1"/>
        <s v="diezmos domingos, 21/06/2015" u="1"/>
        <s v="Transporte Vigilia Mensual, 29/01/2016" u="1"/>
        <s v="Ofrendas Culto de los jueves, 13/04/2017" u="1"/>
        <s v="Escuelitas Calle sin ley + El porvenir + Dominicales, 25/12/2016" u="1"/>
        <s v="Compra de caja de sorbete dia de las madres, 13/05/2018" u="1"/>
        <s v="Arrendamiento mes de Marzo, 01/04/2019" u="1"/>
        <s v="Escuelitas de niños de toda la semana, 18/03/2018" u="1"/>
        <s v="Escuelitas moscua, La Playa + Metalillito +  Sin ley, 18/12/2016" u="1"/>
        <s v="Diezmo culto de los jueves, 02/02/2017" u="1"/>
        <s v="Ofrenda culto jueves, 27/09/2018" u="1"/>
        <s v="Transporte culto de los domingos, 23/04/2017" u="1"/>
        <s v="Ofrenda para el Pastor por vigilia mensual, 27/10/2017" u="1"/>
        <s v="Transporte Dominical y dìa Jueves, hno marcos, 08/01/2016" u="1"/>
        <s v="Gastos de Transporte de Semana de Oraciòn, 26/08/2016" u="1"/>
        <s v="Arrendamientos Junio-18, 15/06/2018" u="1"/>
        <s v="Transporte Hno Marcos semana del 9 al 15 oct-17, 27/10/2017" u="1"/>
        <s v="Diezmos Dominicales, 18/10/2015" u="1"/>
        <s v="Transporte al Caulote, 07/01/2018" u="1"/>
        <s v="Transporte de sillas alquiladas por hna invitada, 25/03/2018" u="1"/>
        <s v="Transporte Dominical, 23/10/2016" u="1"/>
        <s v="Diezmos Dominicales, 08/11/2015" u="1"/>
        <s v="Compra de resma de papel bond, 07/06/2018" u="1"/>
        <s v="Escuelitas Sin Ley, La Arenera, Domingo y Moscua, 28/05/2017" u="1"/>
        <s v="Ofrendas Vigilia Agosto-18, 31/08/2018" u="1"/>
        <s v="Transporte Culto Dominical, 01/11/2015" u="1"/>
        <s v="Diezmo culto de los jueves, 29/03/2018" u="1"/>
        <s v="Gastos de refrigerio vigilia mensual + platos + focos , 30/09/2016" u="1"/>
        <s v="Adelanto de Combustible a Juan Torres, 28/01/2018" u="1"/>
        <s v="Gastos de escuelitas biblicas, 22/07/2018" u="1"/>
        <s v="Compra de Resma de papel bond, 03/05/2018" u="1"/>
        <s v="Diezmo del mes de Junio, 12/06/2015" u="1"/>
        <s v="Ofrenda para el Pastor Jorge Torres 2da Parte, 30/08/2018" u="1"/>
        <s v="Ofrenda pastor Jorge (ultima parte Agosto-18), 30/08/2018" u="1"/>
        <s v="Ofrendas Aniversario Dia Sabado, 27/01/2018" u="1"/>
        <s v="Ofrendas Culto Dominical, 07/10/2018" u="1"/>
        <s v="Pago de AFP (Pastor Jorge Agosto-18), 16/09/2018" u="1"/>
        <s v="Gastos de Luz, 14/03/2019" u="1"/>
        <s v="Refrigerios de escuelitas metalío, 21/08/2016" u="1"/>
        <s v="Transporte Dominical, 10/01/2016" u="1"/>
        <s v="transporte dominical, 18/10/2015" u="1"/>
        <s v="Ofrendas Jueves, 30/11/2017" u="1"/>
        <s v="Pasajes para traer pan santa cena, 07/02/2016" u="1"/>
        <s v="Ofrenda Domingo, 10/12/2017" u="1"/>
        <s v="Gastos para escuelitas de niños, 29/04/018" u="1"/>
        <s v="Transporte Dominical, 20/12/2015" u="1"/>
        <s v="Adelanto de Viaticos a Juan Torres Mayo-18, 29/04/2018" u="1"/>
        <s v="Refrigerio Escuelita Sin ley y el Porvenir, 10/07/2016" u="1"/>
        <s v="Diezmo Culto de los Jueves, 15/02/2018" u="1"/>
        <s v="Gastos de escuelitas de Niños , 13/03/2017" u="1"/>
        <s v="Ofrendas Jueves, 18/01/2019" u="1"/>
        <s v="Diezmos Culto de los jueves, 16/02/2017" u="1"/>
        <s v="Compra de una resma de papel bond, 06/12/018" u="1"/>
        <s v="Para almuerzo de Ministerio de alabanza por Ensayo Domingo, 12/08/2018" u="1"/>
        <s v="Ofrendas Dominicales, 09/09/2018" u="1"/>
        <s v="Copias para Escuelitas , 07/08/2016" u="1"/>
        <s v="Compra de detergente para limpieza de local, 10/06/2018" u="1"/>
        <s v="ayuda para pasaje al porvenir, 31/12/2017" u="1"/>
        <s v="Transporte Pastores Invitados de Panama, 20/12/2015" u="1"/>
        <s v="Gastos de Transporte Don Roberto Transporte el Mora dos semanas, 17/09/2017" u="1"/>
        <s v="Culto de los Jueves, 24/05/2018" u="1"/>
        <s v="Transporte Dominical, 31/01/2016" u="1"/>
        <s v="Grupo Oasis el Caulote, 30/09/2018" u="1"/>
        <s v="Grupo Oasis San Jose 1, 30/09/2018" u="1"/>
        <s v="Don Moises viajes al Porvenir Jueves, Viernes de Vigilia y Domingo, 04/06/2017" u="1"/>
        <s v="Diezmos Dominicales, 29/11/2015" u="1"/>
        <s v="Pago de Limpieza de Local, 20/01/2019" u="1"/>
        <s v="transporte Dominical, 15/11/2015" u="1"/>
        <s v="Subcidio para cumbre global de lidezgo, 26/11/2017" u="1"/>
        <s v="Diezmos Dominicales, 25/12/2016" u="1"/>
        <s v="transporte hno marcos semana del 30 al 05 de noviembre-17, 12/11/2017" u="1"/>
        <s v="Escuelitas biblicas 2 semans, 26/11/2017" u="1"/>
        <s v="Gastos para fiesta de padres + Refrigerio, 19/06/2016" u="1"/>
        <s v="Para pagar Duo campaña el mora, 25/02/2018" u="1"/>
        <s v="diezmos domingos, 07/06/2015" u="1"/>
        <s v="Cancelacion de Diezmo a Sonsonate Feb-16, 11/03/2016" u="1"/>
        <s v="Gastos de Evento de Mujeres, Jorge Torres, 22/05/2016" u="1"/>
        <s v="Para llevar a cenar a personas de Enlace, 02/11/2017" u="1"/>
        <s v="Ofrenda Culto Dominical, 17/09/2017" u="1"/>
        <s v="Gastos de transporte al Mora, 25/02/2018" u="1"/>
        <s v="Compra de Pergamino Para Bateria fact. 39953, 24/04/2016" u="1"/>
        <s v="Compra de Espiga para guitarra acustica, 18/02/2018" u="1"/>
        <s v="Para llevar a comer a pastores Por evento de Mujeres, 31/10/2018" u="1"/>
        <s v="Ofrendas Culto de Enseñanza, 11/10/2018" u="1"/>
        <s v="Ofrendas Culto Jueves, 20/09/2018" u="1"/>
        <s v="Ofrendas Dominicales , 14/08/2016" u="1"/>
        <s v="Ofrendas La Arenera 4, 30/08/2017" u="1"/>
        <s v="Gastos de Uniforme par servidores, 21/02/2016" u="1"/>
        <s v="gastos de reparaciones, 18/06/2019" u="1"/>
        <s v="Ofrendas Noche de Milagros, 28/07/2017" u="1"/>
        <s v="Diezmos domingos, 05/04/2018" u="1"/>
        <s v="Diezmos Domingos, 15/04/2018" u="1"/>
        <s v="Copias para Escuelitas , 18/12/2016" u="1"/>
        <s v="Ofrendas Domincales, 13/01/2019" u="1"/>
        <s v="Cena de Acción de Gracias, 27/12/2018" u="1"/>
        <s v="Rifrigerios reunion de servidores 14-10-2017, 08/10/2017" u="1"/>
        <s v="diezmos domingos, 05/07/2015" u="1"/>
        <s v="Transporte Dominicales + Transporte Clases de Teologìa, 19/06/2016" u="1"/>
        <s v="Transporte Don Moises del 15,18,22 y 25 + otros viajes, 25/06/2017" u="1"/>
        <s v="Ofrendas culto de los jueves, 24/04/2017" u="1"/>
        <s v="Pago de AFP pastor Jorge Sept-18, 21/10/2018" u="1"/>
        <s v="Reparaciones y Remodelacion de Local, 20/06/2018" u="1"/>
        <s v="Ofrendas Culto de los Jueves, 24/11/2016" u="1"/>
        <s v="Escuelitas Domiicales, 15/07/2018" u="1"/>
        <s v="Transporte de Culto Dominical, 13/03/2017" u="1"/>
        <s v="Diezmos de culto dominical, 29/01/2017" u="1"/>
        <s v="juego lapices  y cuaderno B°407249829, 12/06/2019" u="1"/>
        <s v="Gastos de transporte del 16 de Nov al 02/Diciembre-2018, 30/11/2018" u="1"/>
        <s v="Pago de AFP jorge torres Oct-18, 31/10/2018" u="1"/>
        <s v="Gastos de Transporte Por Semana de Oraciòn en Metalio, 29/04/2016" u="1"/>
        <s v="Grupo Oasis el Caulote, 26/08/2018" u="1"/>
        <s v="Grupo Oasis la Arena 4, 26/08/2018" u="1"/>
        <s v="Refrigerio de Escuelitas Culto Dominical, 23/10/2016" u="1"/>
        <s v="Transporte Dominical, 03/01/2016" u="1"/>
        <s v="Diezmos Dominicales, 22/10/2017" u="1"/>
        <s v="Fotocopias para Escuelitas, 10/04/2016" u="1"/>
        <s v="Diezmos Dominicales, 06/11/2016" u="1"/>
        <s v="Reintegro de Gastos de Grupos de Jovenes campamento, 11/12/2016" u="1"/>
        <s v="Transporte Dominical, 13/12/2015" u="1"/>
        <s v="Complemento para Compra de Impresora nueva, 20/08/2017" u="1"/>
        <s v="Abono a Faltante, Viaticos Marlon, 01/10/2015" u="1"/>
        <s v="Vale provisional para gastos de vigilia mensual, 23/10/2016" u="1"/>
        <s v="gastos de capacitacion, 01/04/2019" u="1"/>
        <s v="Alquiler de sillas para culto de hna invitada, 25/03/2018" u="1"/>
        <s v="Transporte Hno Marcos del 02 Abril al 08 de Abril-18, 29/02/018" u="1"/>
        <s v="Grupo Oasis el CAULOTE 3, 31/10/2018" u="1"/>
        <s v="Ofrendas Culto de los Jueves, 24/08/2017" u="1"/>
        <s v="Grupo Oasis Moscua, 26/08/2018" u="1"/>
        <s v="Grupo Oasis Vallenuevo , 10/04/2018" u="1"/>
        <s v="Gastosd de escuelita dominical, 25/02/2018" u="1"/>
        <s v="Compra de Cojin dia de las madres, 17/05/2018" u="1"/>
        <s v="Compra de Rosas dia de las madres, 17/05/2018" u="1"/>
        <s v="Ofrenda ministerio invitado a Vigilia , 27/07/2018" u="1"/>
        <s v="Transporte al Mora, 30/09/2018" u="1"/>
        <s v="Viaticos Juan Torres Sept-18, 30/09/2018" u="1"/>
        <s v="Compra de piñata para niños en el Campamento, 22/04/2018" u="1"/>
        <s v="Para insumos de limpieza, 30/11/2018" u="1"/>
        <s v="Pago de Energía Abril-15 fact. 39431532, 22/05/2015" u="1"/>
        <s v="Diemzos Dominicales, 03/07/2016" u="1"/>
        <s v="Gastos de Escuelitas Moscua, Sin ley, la arenera etc., 16/07/2017" u="1"/>
        <s v="Transporte Dominical, 24/01/2016" u="1"/>
        <s v="Refrigerio para escuelitas de niños durante el aniversario, 24/01/2017" u="1"/>
        <s v="Para llevar completar Ofrenda de Pastor de Africa, 29/04/2018" u="1"/>
        <s v="Transporte Dominical, 08/11/2015" u="1"/>
        <s v="Escuelitas el caulote, 13/12/2015" u="1"/>
        <s v="Compra de Libro para escuelitas Dominicales de niños, 28/05/2017" u="1"/>
        <s v="Compra de Papel Bond, 13/03/2019" u="1"/>
        <s v="juego de orrines , 10/06/2019" u="1"/>
        <s v="Alimentacion pastor invitado vigilia mensual, 27/11/2015" u="1"/>
        <s v="Ofrendas jueves, 14/12/2017" u="1"/>
        <s v="Refrigerio escuelitas Culto Dominical, 06/11/2016" u="1"/>
        <s v="Transporte al mora, 09/09/2018" u="1"/>
        <s v="ingreso dinero caja , 10/06/2019" u="1"/>
        <s v="Ofrendas de Estudios Biblicos, 22/01/2017" u="1"/>
        <s v="diezmos domingos, 19/07/2015" u="1"/>
        <s v="ESPEJOS FIAT STRADA, 10/06/2019" u="1"/>
        <s v="Cancel diezmo de Enero-16, 12/02/2016" u="1"/>
        <s v="Ofrenda culto dominical, 20/09/2015" u="1"/>
        <s v="Pago de Luz Electrica Casa Pastor Jorge Torres Marzo y Abril-18, 29/04/2018" u="1"/>
        <s v="Transporte al Mora 2 Domingos, 16/12/2018" u="1"/>
        <s v="Ofrenda , 05/03/2017" u="1"/>
        <s v="Ofrenda Mes de Dic-18 Jorge Torres, 30/12/2018" u="1"/>
        <s v="Escuelita de Niños Dominical, moscua, playa, maguey, 19/03/2017" u="1"/>
        <s v="Transporte para traslado de materiales y equipo y personas para evento de mujeres, 04/05/2016" u="1"/>
        <s v="140 Copias para Escuelitas, 19/09/2015" u="1"/>
        <s v="Transporte al mora, 22/07/2018" u="1"/>
        <s v="DIezmos vigilia mensual, 27/07/2018" u="1"/>
        <s v="Gastos de Alimetacion pastor invitado vigilia mensual, 30/10/2015" u="1"/>
        <s v="Ofrendas para Pastor (Pago de AFP Julio-18), 09/08/2018" u="1"/>
        <s v="Transporte al Mora, 15/07/2018" u="1"/>
        <s v="Transporte Dominical, 21/02/2016" u="1"/>
        <s v="Transporte Dominical, 29/11/2015" u="1"/>
        <s v="Ofrendas Domingos, 15/04/2018" u="1"/>
        <s v="Transporte Hno Marcos, hasta el 28 de Enero de 2018" u="1"/>
        <s v="Pago de Certificaciòn Estractada del CNR nuevo Terreno para Iglesia, 11/12/2016" u="1"/>
        <s v="Diezmos Dominicales, 27/11/2016" u="1"/>
        <s v="transporte al mora, 08/07/2018" u="1"/>
        <s v="Transporte de miembros por aniversario metalio, 13/02/2016" u="1"/>
        <s v="Transporte al mora, 29/07/2018" u="1"/>
        <s v="Compra de Resma de Papel Bond, 14/06/2018" u="1"/>
        <s v="Para capacitacion de Escuelas biblicas, 23/08/2018" u="1"/>
        <s v="Limpieza de Local, 13/01/2019" u="1"/>
        <s v="Ofrendas grupos oasis el Caulote, 12/02/2017" u="1"/>
        <s v="Diezmos Domingos, 13/09/2015" u="1"/>
        <s v="Transporte el Mora culto Domingos, 26/08/2018" u="1"/>
        <s v="Grupo Oasis San Jose 1 , 31/10/2018" u="1"/>
        <s v="Transporte Hno Marcos 3 Semanas, 30/09/2017" u="1"/>
        <s v="Transporte al Sunsa y al Caulote, 28/12/2018" u="1"/>
        <s v="Escuelitas de Niños de la Semana, El Caulote, El Maguey, Moscua, 26/03/2017" u="1"/>
        <s v="Diezmos Vigilia Mensual, 30/12/2016" u="1"/>
        <s v="Transporte Hno Marcos Semana del 23 al 29 oct-17, 12/11/2017" u="1"/>
        <s v="Diezmo del Mora Octubre-18, 12/11/2018" u="1"/>
        <s v="Ofrenda pastor invitado Vigilia, 27/07/2018" u="1"/>
        <s v="Ofrendas Culto Dominical complemento, 05/11/2017" u="1"/>
        <s v="Transporte al mora, 31/05/2018" u="1"/>
        <s v="Ofrendas culto de los jueves, 15/03/2018" u="1"/>
        <s v="Ofrenda Jorge Torres Octubre, 31/10/2018" u="1"/>
        <s v="refrigerio escuelita culto dominical, 26/06/2015" u="1"/>
        <s v="Transporte al Mora, 13/05/2018" u="1"/>
        <s v="Transporte el Mora , 21/10/2018" u="1"/>
        <s v="Diezmo dia Domingo, 20/09/2015" u="1"/>
        <s v="Ofrenda por desempeño cargo de Pastor, Jorge Oct-16, 16/10/2016" u="1"/>
        <s v="Gastos de transporte hermano marcos vigilia mensual, 30/09/2016" u="1"/>
        <s v="Transporte Dominical, 06/12/2015" u="1"/>
        <s v="Pago de transporte para repartir ropa en el Maguey, 09/02/2017" u="1"/>
        <s v="Ofrendas de Grupos Oasis EL CAULOTE, 27/11/2016" u="1"/>
        <s v="Transporte al Caulote Domingo, 15/04/2018" u="1"/>
        <s v="preparativos santa cena ticekt 231415, 06/09/2015" u="1"/>
        <s v="Tienda, 30/11/2018" u="1"/>
        <s v="Viaticos Juan Torres Marzo-18, 01/03/2018" u="1"/>
        <s v="Ofrenda culto de los jueves, 29/03/2018" u="1"/>
        <s v="Compras de Pan + desechables + material para recuerdos+ jamon queso, 04/06/2016" u="1"/>
        <s v="Venta de Productos, 15/07/2018" u="1"/>
        <s v="Venta de Vehiculo , 01/07/2019" u="1"/>
        <s v="Grupo Oasis, 25/02/2018" u="1"/>
        <s v="Ofrenda Vigilia 30/11/2018" u="1"/>
        <s v="Diezmo Culto de los jueves, 09/11/2017" u="1"/>
        <s v="transporte culto de los domingos , 09/04/2017" u="1"/>
        <s v="Ofrenda Jueves, 16/11/2017" u="1"/>
        <s v="Transporte al Mora  Don Roberto, 24/09/2017" u="1"/>
        <s v="Transporte Dominical Saul ramos, 18/09/2016" u="1"/>
        <s v="Diezmos culto de los Jueves, 13/12/2018" u="1"/>
        <s v="Ofrendas Domingo, 31/12/2017" u="1"/>
        <s v="Gastos de transporte Dominical Saul Ramos + Complemento por viajes a sonsonate Bautizos 10 + 5, 10/10/2016" u="1"/>
        <s v="Ofrendas Jueves, 06/12/018" u="1"/>
        <s v="Para limpieza de local, 21/10/2018" u="1"/>
        <s v="Para limpieza de local, 31/10/2018" u="1"/>
        <s v="Ofrenda Pastor Elìas Vigilia Mensual, 29/04/2016" u="1"/>
        <s v="Ofrenda Pastor Felix Vigilia Mensual, 29/04/2016" u="1"/>
        <s v="Transporte hacia sonsonate por vigilia mensual(luis), 01/04/2016" u="1"/>
        <s v="Transporte al caulote domingo, 11/03/2018" u="1"/>
        <s v="Ofrendas Culto de los jueves, 05/07/2018" u="1"/>
        <s v="Ofrendas Culto de los Jueves, 19/07/2017" u="1"/>
        <s v="Transporte al mora, 11/03/2018" u="1"/>
        <s v="Diezmos 02/09/2018, 02/09/2018" u="1"/>
        <s v="Ofrendas Culto de los Jueves, 01/12/2016" u="1"/>
        <s v="Ayuda a Hna Ximena por estar Hospitalizada, 20/05/2017" u="1"/>
        <s v="Pago de Luz Electrica Casa del Pastor Jorge Sept-17, 21/09/2017" u="1"/>
        <s v="Fiesta de Niños el Caulote fiesta trimestral, 17/04/2016" u="1"/>
        <s v="Transporte al mora, 04/03/2018" u="1"/>
        <s v="Para limpieza de Local, 14/10/2018" u="1"/>
        <s v="Transporte por Matrimonio colectivos, 06/11/2016" u="1"/>
        <s v="Diezmo Jueves, 10/01/2019" u="1"/>
        <s v="Transporte de Evento, 27/12/2015" u="1"/>
        <s v="Transporte Dominical, 27/12/2015" u="1"/>
        <s v="Pago de recibo de luz local metalio, 26/10/2015" u="1"/>
        <s v="Gastos de escuelita Moscua, Guadalupe Miranda, 13/09/2015" u="1"/>
        <s v="Transporte Hno Marcos del 01/Octubre Al 14/Octubre 2018  , 21/10/2018" u="1"/>
        <s v="Transporte Hno Marcos del 15/Octubre Al 21/Octubre 2018  , 21/10/2018" u="1"/>
        <s v="Grupo Oasis Nov-17, 03/12/2017" u="1"/>
        <s v="Copias para Escuelita de Niños-Jorge Torres , 04/09/2016" u="1"/>
        <s v="Preparativos santa cena ticket 335641, 05/07/2015" u="1"/>
        <s v="Compra de Colores para escuelitas de niños, 31/02/016" u="1"/>
        <s v="Ofrendas de Grupos Oasis el Caulote, 15/12/2016" u="1"/>
        <s v="Servicio de energia enero 2016, 23/01/2016" u="1"/>
        <s v="Ofrenda Anonimo Mes de Agosto-18, 26/08/2018" u="1"/>
        <s v="Transporte 2 semanas, don roberto, 03/12/2017" u="1"/>
        <s v="Ofrenda para el Pastos mes de Abril-18, 29/04/2018" u="1"/>
        <s v="Seminario Biblia Thomson, Guadalupe, 25/06/2015" u="1"/>
        <s v="Pasaje para bautizos, 06/09/2018" u="1"/>
        <s v="Ofrendas Grupo Oasis San Jose, 30/09/2017" u="1"/>
        <s v="Diezmo culto de los jueves, 29/11/2018" u="1"/>
        <s v="Transporte Culto Dominical 19/04/2017, 26/03/2017" u="1"/>
        <s v="Gastos de transporte Domingo y Jueves 2 semanas, 16/07/2017" u="1"/>
        <s v="Ofrendas por desempeñar cargo de Pastos Noviembre-16, 13/11/2016" u="1"/>
        <s v="Juego de Cuerdas para guitarra, 28/11/2015" u="1"/>
        <s v="Diezmo Iglesia de Sonsonate Agosto-18, 16/09/2018" u="1"/>
        <s v="Diezmos Jueves, 30/08/2018" u="1"/>
        <s v="Diezmo Culto de los Jueves, 26/10/2017" u="1"/>
        <s v="Ofrenda por Pastorado Mensual Dic.16, 25/12/2016" u="1"/>
        <s v="Combustible traslado de miembros de la iglesia, 25/06/2015" u="1"/>
        <s v="Gastos de Escuelitas Culto Dominical, 14/08/2016" u="1"/>
        <s v="Cancelacion de Diezmo a Iglesia Sonsonate Enero-18, 05/02/2018" u="1"/>
        <s v="Diezmos Jueves, 23/08/2018" u="1"/>
        <s v="Ofrendas de Vigilia Mensual, 25/08/2017" u="1"/>
        <s v="Diezmo a Iglesia Josue Sonsonate Sept-18, 21/10/2018" u="1"/>
        <s v="Transporte Hno Marcos del 17/Dic/18 al 06/Enero/2019, 30/12/2018" u="1"/>
        <s v="Diezmos Jueves, 16/08/2018" u="1"/>
        <s v="Transporte Dominical, 14/02/2016" u="1"/>
        <s v="Escuelitas Moscua y Iglesia culto dominical, 07/05/2017" u="1"/>
        <s v="Diezmos Jueves, 09/08/2018" u="1"/>
        <s v="Transporte Dominical, 20/03/2016" u="1"/>
        <s v="Ofrendas Vigilia Mensual, 03/03/2017" u="1"/>
        <s v="Gastos por combustible de vehículo, 13/03/2019" u="1"/>
        <s v="Pago de transporte el porvenir culto de los jueves, 05/03/2017 (parcial 1ª parte)" u="1"/>
        <s v="Diezmo Culto de los Jueves, 08/10/2017" u="1"/>
        <s v="Ofrendas Viernes Vigilia Mensual, 26/08/2016" u="1"/>
        <s v="Culto jueves, 07/06/2018" u="1"/>
        <s v="Para llevar a Almorzar a pastor invitado a predicar Josue San Salvador, 05/11/2017" u="1"/>
        <s v="Transporte a hnos de la iglesia porque los dejó el carro del viaje despues del culto, 03/04/2018" u="1"/>
        <s v="Transporte al Mora, 06/01/2019" u="1"/>
        <s v="Reparacion de Monitor del Bajo, 28/12/2017" u="1"/>
        <s v="Ofrenda para el Pastor complemento Marzo 2018, 12/04/2018" u="1"/>
        <s v="prueb, 10/05/2020" u="1"/>
        <s v="Alquiler de Meses cena de accion de gracias, 27/12/2018" u="1"/>
        <s v="Escuelitas Sin Ley + Moscua +  Arenera +  Escuela Iglesia 2 semanas, 30/04/2017" u="1"/>
        <s v="Ofrendas Dominicales, 11/10/2015" u="1"/>
        <s v="Ofrenda culto de los domingos, 14/10/2018" u="1"/>
        <s v="Grupo Oasis, 29/07/2018" u="1"/>
        <s v="Ofrenda Jorge Torres mes de Junio-17, 25/06/2017" u="1"/>
        <s v="Ofrenda pastores invitados a Vigilia, 01/06/2018" u="1"/>
        <s v="Refrigerio Escuelitas biblicas Metalio, 20/09/2015" u="1"/>
        <s v="Patrocinio de curso de Teclado para Simena , 29/03/2018" u="1"/>
        <s v="Gastos de Transporte , 22/07/2018" u="1"/>
        <s v="Gastos de transporte Hno Oscar, 30/11/2018" u="1"/>
        <s v="Ofrendas complemento jueves, 09/08/2018" u="1"/>
        <s v="Transporte al Mora, 11/11/2018" u="1"/>
        <s v="Transporte al caulote, 13/05/2018" u="1"/>
        <s v="Compra de globos para dia de las madres, 13/05/2018" u="1"/>
        <s v="Fotocopias para escuelitas de niños, 01/05/2016" u="1"/>
        <s v="Viaticos por compras de Materiales para Aniversario 2018, 26/01/2018" u="1"/>
        <s v="Transporte Cumbre GLobal de Liderazgo, 15/11/2015" u="1"/>
        <s v="Diezmos Dominicales, 15/10/2017" u="1"/>
        <s v="Transporte el Mora, 04/11/2018" u="1"/>
        <s v="Grupo Oasis San Jose, 26/08/2018" u="1"/>
        <s v="Transporte Al mora, 15/11/2018" u="1"/>
        <s v="Transporte al Mora, 25/11/2018" u="1"/>
        <s v="Pago de AFP Pastor Jorge , 30/11/2018" u="1"/>
        <s v="Ofrendas Grupo Valle Nuevo, 17/04/2018" u="1"/>
        <s v="Combustible campaña hombres de valor, 31/12/2017" u="1"/>
        <s v="Diezmos Dominicales, 11/11/2018" u="1"/>
        <s v="Venta de Productos, 01/01/2018" u="1"/>
        <s v="Gastos de transporte Dominical, 09/10/2016" u="1"/>
        <s v="Diezmo Dominical, 03/09/2017" u="1"/>
        <s v="Ofrenda Culto los domingos, 08/04/2018" u="1"/>
        <s v="Ofrenda Domingos, 07/01/2018" u="1"/>
        <s v="Escuelitas Biblicas , 07/02/2018" u="1"/>
        <s v="Arredamiento de Local, 01/02/2018" u="1"/>
        <s v="Gastos de Escuelitas Biblicas dominicales, 15/10/2017" u="1"/>
        <s v="transporte hno marcos del 16 al 22 de oct-17, 27/10/2017" u="1"/>
        <s v="Ofrendas Domingo, 17/12/2017" u="1"/>
        <s v="Ofrenda Vigilia Mensual, 29/09/2017" u="1"/>
        <s v="Diezmo Vigilia, 02/12/2016" u="1"/>
        <s v="Transporte Hno. Marcos Jueves + Domingo, 25/12/2016" u="1"/>
        <s v="Pago de Tarjetas para la cumbre de Liderazgo, 20/11/2016" u="1"/>
        <s v="pureba, 01/08/2021" u="1"/>
        <s v="Diezmo domingo, 10/12/2017" u="1"/>
        <s v="Ofrendas Jueves 22-02-2018, 01/03/2018" u="1"/>
        <s v="Ingresos de Riva de horno microondas, 28/10/2016" u="1"/>
        <s v="Transporte por ayuda, consulta medica a miembro de la iglesia josue metalio, 15/01/2017" u="1"/>
        <s v="Diezmos iglesia Sonsonate correspondiente a Marzo-16, 10/04/2016" u="1"/>
        <s v="Gastos de Transporte Entierro de Hna Fallecida 28-05-2017, 28/05/2017" u="1"/>
        <s v="Ofrendas culto de los jueves, 12/01/2017" u="1"/>
        <s v="Diezmos jueves, 14/12/2017" u="1"/>
        <s v="Diezmo el Mora, 31/12/2018" u="1"/>
        <s v="Viaticos Juan Torres Abril-18, 03/04/2018" u="1"/>
        <s v="Diezmos Jueves, 27/12/2018" u="1"/>
        <s v="Pago de Energia Electrica de Local Metalio, 24/05/2016" u="1"/>
        <s v="Capacitación San Salvador Jorge Torres, 01/05/2016" u="1"/>
        <s v="Grupo Oasis el Boulevard, 30/09/2018" u="1"/>
        <s v="Grupo Oasis el Caulote 1, 30/09/2018" u="1"/>
        <s v="Ofrendas Culto Dominical, 30/04/2017" u="1"/>
        <s v="Ofrendas Mes de Abril-17, 30/04/2017" u="1"/>
        <s v="Refrigerio Escuelitas, Culto Dominical, 21/06/2015" u="1"/>
        <s v="Ofrenda culto de los Jueves, 22/11/2018" u="1"/>
        <s v="Grupo Oasis San Jose 3, 31/12/2018" u="1"/>
        <s v="Transprote Hno Marcos del  13 al 19 nov, 26/11/2017" u="1"/>
        <s v="Transporte al mora Domingos, 14/10/2018" u="1"/>
        <s v="Transporte Culto de los Domingos, Hno Marcos, 22/01/2017" u="1"/>
        <s v="gastos de pruea, 26/06/2019" u="1"/>
        <s v="borrar" u="1"/>
        <s v="Ofrendas Culto de los Jueves, 22/12/2016" u="1"/>
        <s v="Pago de transporte, Vigilia Moises Escobar, 28/08/2015" u="1"/>
        <s v="Transporte Dominical, 07/02/2016" u="1"/>
        <s v="Copias para Escuelitas, 13/11/2016" u="1"/>
        <s v="Transporte Dominical, 13/03/2016" u="1"/>
        <s v="Compra de resma de papel bond, 05/07/2018" u="1"/>
        <s v="Votos de Maria Jose por Cumpleaños, 09/10/2016" u="1"/>
        <s v="Ofrenda para el Pastor Jorge Torres, 01/03/2018" u="1"/>
        <s v="Diezmos Dominicales, 26/11/2017" u="1"/>
        <s v="Diezmos Culto General, 31/12/2018" u="1"/>
        <s v="Refrigerio Escuelita Dominical culto general, 18/12/2016" u="1"/>
        <s v="Diezmos vigilia mensual, 01/04/2016" u="1"/>
        <s v="Grupos Oasis Boulevard 2, 29/10/2017" u="1"/>
        <s v="Ofrendas Jueves, 27/12/2018" u="1"/>
        <s v="frndas dominicales, 17/06/2018" u="1"/>
        <s v="Diezmos dominicales, 02/12/2018" u="1"/>
        <s v="Ofrenda para hna PASTORA invitada a predicar , 25/03/2018" u="1"/>
        <s v="Diezmo Dominical, 17/09/2017" u="1"/>
        <s v="Copias de Escuelitas la balastrera, 13/12/2015" u="1"/>
        <s v="Ingresos Varios, 22/07/2018" u="1"/>
        <s v="Copias para Escuelitas de Niños, 23/10/2016" u="1"/>
        <s v="Compra de Cafe y Pan para vigiilia , 12/04/2018" u="1"/>
        <s v="Ofrendas dominicales, 30/10/2016" u="1"/>
        <s v="Viajes a Aniversario de Iglesia Josue Sonsonate, 27/09/2018" u="1"/>
        <s v="Diezmos Domincales, 06/01/2019" u="1"/>
        <s v="Pago de transporte Hno Saul 20112016, 27/11/2016" u="1"/>
        <s v="Grupo Oasis, 30/11/2018" u="1"/>
        <s v="Escuelitas Dominicales , 30/07/2017" u="1"/>
        <s v="Transporte Dominical, 28/02/2016" u="1"/>
        <s v="Pago de Energía electrica Casa de Jorge Torres Pastor igleisa Metalio, 25/09/2016" u="1"/>
        <s v="Traslado de Jóvenes, evento filial los Naranjos, 29/08/2015, Transporte Mosises Escobar" u="1"/>
        <s v="Transporte al Mora , 08/10/2017" u="1"/>
        <s v="Ofrendas Culto Dominical, 05/03/2017" u="1"/>
        <s v="Compra de almuerzo en restaurante dia de las madres, 17/05/2018" u="1"/>
        <s v="Ofrenda culto de los jueve, 16/02/2017" u="1"/>
        <s v="Transporte Dominical, 10/04/2016" u="1"/>
        <s v="Vta, 01/01/2019" u="1"/>
        <s v="Ofrenda a Jorge Torres Nov-17, 26/11/2017" u="1"/>
        <s v="PRUEBA, 30/06/2018" u="1"/>
        <s v="Compra de Cable HDMI, 27/05/2018" u="1"/>
        <s v="Diezmos de cada Domingo, 29/04/2018" u="1"/>
        <s v="Grupo Oasis, 31/10/2018" u="1"/>
        <s v="Ofrendas Jueves, 28/12/2018" u="1"/>
        <s v="Grupo Oasis, 31/12/2018" u="1"/>
        <s v="Diezmos Culto General, 13/11/2016" u="1"/>
        <s v="Compra de candado para baño domingo, 18/03/2018" u="1"/>
        <s v="Refregerio Escuelitas, Moscua, 07/06/2015" u="1"/>
        <s v="Grupo Oasis SAN JOSE 3, 31/10/2018" u="1"/>
        <s v="Ofrendas Dominicales, 25/10/2015" u="1"/>
        <s v="Ofrendas Domingo, 25/03/2018" u="1"/>
        <s v="Pago del 50% por Compra de Batería Eléctrica, 11/12/2016" u="1"/>
        <s v="Cancelacion de diezmo a iglesia sonsonate correspondiente a agosto.16, 11/09/2016" u="1"/>
        <s v="Ofrendas Dominicales, 01/11/2015" u="1"/>
        <s v="Ofrendas mayo-17, 31/05/2017" u="1"/>
        <s v="Diezmos Vigilia Mensual, 29/06/2018" u="1"/>
        <s v="Compra de 2 regletas para conectar instrumentos y ventiladores en iglesia, 12/06/2016" u="1"/>
        <s v="Grupo Oasis hno Marcos, 29/10/2017" u="1"/>
        <s v="Otras gastos varios, 22/07/2018" u="1"/>
        <s v="Compra de Agua para Aniversario, 26/01/2018" u="1"/>
        <s v="Viaticos Juan Torres Octubre-18, 31/10/2018" u="1"/>
        <s v="Diezmos Dominicales, 23/12/2018" u="1"/>
        <s v="Gastos capacitacion ONG Enlace, 29/11/2018" u="1"/>
        <s v="Transporte Dominical a la Playa , 21/01/2017" u="1"/>
        <s v="Pago de Energía Agosto-15 fact. 40527588, 11/09/2015" u="1"/>
        <s v="20 Transporte Hno. Marcos + 10 Hno Saul + 5 Viajes de sillas + 10 alquiler de sillas + 3 Insumos limpieza + 5 para copias + 50 para las ventas, 01/12/2016, Jornada Medica" u="1"/>
        <s v="Ofrendas Dominicales, 22/11/2015" u="1"/>
        <s v="Transporte al Mora Don Roberto , 15/10/2017" u="1"/>
        <s v="Transporte Dominical al Caulote, 21/01/2017" u="1"/>
        <s v="Escuelitas Janeth, 13/05/2018" u="1"/>
        <s v="Bautizos a Sonsonate, 09/12/2018" u="1"/>
        <s v="Grupo Oasis el Boulevard, 26/08/2018" u="1"/>
        <s v="Ofrenda Culto de los Jueves, 06/04/2017" u="1"/>
        <s v="Transporte Dominical, 06/03/2016" u="1"/>
        <s v="Ofrenda para el Hno Elias por Vigilia mensual, 30/12/2016" u="1"/>
      </sharedItems>
    </cacheField>
    <cacheField name="Entrada" numFmtId="44">
      <sharedItems containsSemiMixedTypes="0" containsString="0" containsNumber="1" minValue="0" maxValue="248745.5"/>
    </cacheField>
    <cacheField name="Salida" numFmtId="44">
      <sharedItems containsSemiMixedTypes="0" containsString="0" containsNumber="1" minValue="0" maxValue="20600"/>
    </cacheField>
    <cacheField name="ME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 u="1"/>
        <n v="9" u="1"/>
        <n v="10" u="1"/>
        <n v="11" u="1"/>
        <n v="12" u="1"/>
      </sharedItems>
    </cacheField>
    <cacheField name="AÑO" numFmtId="0">
      <sharedItems containsSemiMixedTypes="0" containsString="0" containsNumber="1" containsInteger="1" minValue="2015" maxValue="2022" count="8">
        <n v="2022"/>
        <n v="2015" u="1"/>
        <n v="2020" u="1"/>
        <n v="2018" u="1"/>
        <n v="2016" u="1"/>
        <n v="2021" u="1"/>
        <n v="2019" u="1"/>
        <n v="2017" u="1"/>
      </sharedItems>
    </cacheField>
    <cacheField name="Diferencia" numFmtId="0" formula="Entrada-Salida" databaseField="0"/>
    <cacheField name="Años" numFmtId="0" databaseField="0">
      <fieldGroup base="1">
        <rangePr groupBy="years" startDate="2022-01-03T00:00:00" endDate="2022-08-01T00:00:00"/>
        <groupItems count="3">
          <s v="&lt;03/01/2022"/>
          <s v="2022"/>
          <s v="&gt;01/08/2022"/>
        </groupItems>
      </fieldGroup>
    </cacheField>
    <cacheField name="Saldo" numFmtId="0" formula="Entrada-Salida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3">
  <r>
    <x v="0"/>
    <x v="0"/>
    <x v="0"/>
    <x v="0"/>
    <n v="0"/>
    <n v="3366"/>
    <x v="0"/>
    <x v="0"/>
  </r>
  <r>
    <x v="0"/>
    <x v="0"/>
    <x v="0"/>
    <x v="1"/>
    <n v="0"/>
    <n v="564.95000000000005"/>
    <x v="0"/>
    <x v="0"/>
  </r>
  <r>
    <x v="0"/>
    <x v="1"/>
    <x v="0"/>
    <x v="2"/>
    <n v="0"/>
    <n v="1254.75"/>
    <x v="0"/>
    <x v="0"/>
  </r>
  <r>
    <x v="0"/>
    <x v="2"/>
    <x v="0"/>
    <x v="3"/>
    <n v="0"/>
    <n v="306"/>
    <x v="0"/>
    <x v="0"/>
  </r>
  <r>
    <x v="0"/>
    <x v="3"/>
    <x v="0"/>
    <x v="4"/>
    <n v="0"/>
    <n v="505.87"/>
    <x v="0"/>
    <x v="0"/>
  </r>
  <r>
    <x v="0"/>
    <x v="4"/>
    <x v="0"/>
    <x v="5"/>
    <n v="0"/>
    <n v="2558.2800000000002"/>
    <x v="0"/>
    <x v="0"/>
  </r>
  <r>
    <x v="0"/>
    <x v="4"/>
    <x v="0"/>
    <x v="6"/>
    <n v="0"/>
    <n v="92.7"/>
    <x v="0"/>
    <x v="0"/>
  </r>
  <r>
    <x v="0"/>
    <x v="4"/>
    <x v="0"/>
    <x v="7"/>
    <n v="0"/>
    <n v="638.22"/>
    <x v="0"/>
    <x v="0"/>
  </r>
  <r>
    <x v="0"/>
    <x v="3"/>
    <x v="0"/>
    <x v="8"/>
    <n v="0"/>
    <n v="790.56"/>
    <x v="0"/>
    <x v="0"/>
  </r>
  <r>
    <x v="0"/>
    <x v="5"/>
    <x v="0"/>
    <x v="9"/>
    <n v="0"/>
    <n v="1846.08"/>
    <x v="0"/>
    <x v="0"/>
  </r>
  <r>
    <x v="0"/>
    <x v="5"/>
    <x v="0"/>
    <x v="10"/>
    <n v="0"/>
    <n v="157.5"/>
    <x v="0"/>
    <x v="0"/>
  </r>
  <r>
    <x v="0"/>
    <x v="5"/>
    <x v="0"/>
    <x v="11"/>
    <n v="0"/>
    <n v="155"/>
    <x v="0"/>
    <x v="0"/>
  </r>
  <r>
    <x v="0"/>
    <x v="6"/>
    <x v="1"/>
    <x v="12"/>
    <n v="0"/>
    <n v="150"/>
    <x v="0"/>
    <x v="0"/>
  </r>
  <r>
    <x v="0"/>
    <x v="6"/>
    <x v="0"/>
    <x v="13"/>
    <n v="0"/>
    <n v="125"/>
    <x v="0"/>
    <x v="0"/>
  </r>
  <r>
    <x v="0"/>
    <x v="7"/>
    <x v="0"/>
    <x v="14"/>
    <n v="0"/>
    <n v="102"/>
    <x v="0"/>
    <x v="0"/>
  </r>
  <r>
    <x v="0"/>
    <x v="8"/>
    <x v="2"/>
    <x v="15"/>
    <n v="0"/>
    <n v="20600"/>
    <x v="0"/>
    <x v="0"/>
  </r>
  <r>
    <x v="0"/>
    <x v="8"/>
    <x v="3"/>
    <x v="16"/>
    <n v="0"/>
    <n v="675"/>
    <x v="0"/>
    <x v="0"/>
  </r>
  <r>
    <x v="0"/>
    <x v="8"/>
    <x v="4"/>
    <x v="17"/>
    <n v="0"/>
    <n v="581.25"/>
    <x v="0"/>
    <x v="0"/>
  </r>
  <r>
    <x v="0"/>
    <x v="9"/>
    <x v="0"/>
    <x v="18"/>
    <n v="0"/>
    <n v="812.52"/>
    <x v="0"/>
    <x v="0"/>
  </r>
  <r>
    <x v="0"/>
    <x v="9"/>
    <x v="0"/>
    <x v="19"/>
    <n v="0"/>
    <n v="485.02"/>
    <x v="0"/>
    <x v="0"/>
  </r>
  <r>
    <x v="0"/>
    <x v="9"/>
    <x v="0"/>
    <x v="20"/>
    <n v="0"/>
    <n v="300"/>
    <x v="0"/>
    <x v="0"/>
  </r>
  <r>
    <x v="0"/>
    <x v="10"/>
    <x v="0"/>
    <x v="21"/>
    <n v="0"/>
    <n v="929.79"/>
    <x v="0"/>
    <x v="0"/>
  </r>
  <r>
    <x v="0"/>
    <x v="10"/>
    <x v="0"/>
    <x v="22"/>
    <n v="0"/>
    <n v="1147.7"/>
    <x v="0"/>
    <x v="0"/>
  </r>
  <r>
    <x v="0"/>
    <x v="11"/>
    <x v="0"/>
    <x v="23"/>
    <n v="0"/>
    <n v="518.41999999999996"/>
    <x v="0"/>
    <x v="0"/>
  </r>
  <r>
    <x v="0"/>
    <x v="12"/>
    <x v="0"/>
    <x v="24"/>
    <n v="0"/>
    <n v="1921.92"/>
    <x v="0"/>
    <x v="0"/>
  </r>
  <r>
    <x v="0"/>
    <x v="13"/>
    <x v="0"/>
    <x v="25"/>
    <n v="0"/>
    <n v="1269.5999999999999"/>
    <x v="0"/>
    <x v="0"/>
  </r>
  <r>
    <x v="0"/>
    <x v="13"/>
    <x v="0"/>
    <x v="26"/>
    <n v="0"/>
    <n v="320"/>
    <x v="0"/>
    <x v="0"/>
  </r>
  <r>
    <x v="0"/>
    <x v="13"/>
    <x v="0"/>
    <x v="27"/>
    <n v="0"/>
    <n v="985.05"/>
    <x v="0"/>
    <x v="0"/>
  </r>
  <r>
    <x v="0"/>
    <x v="14"/>
    <x v="0"/>
    <x v="28"/>
    <n v="0"/>
    <n v="300"/>
    <x v="0"/>
    <x v="0"/>
  </r>
  <r>
    <x v="0"/>
    <x v="15"/>
    <x v="0"/>
    <x v="29"/>
    <n v="0"/>
    <n v="2513.65"/>
    <x v="0"/>
    <x v="0"/>
  </r>
  <r>
    <x v="0"/>
    <x v="15"/>
    <x v="0"/>
    <x v="30"/>
    <n v="0"/>
    <n v="42.5"/>
    <x v="0"/>
    <x v="0"/>
  </r>
  <r>
    <x v="0"/>
    <x v="15"/>
    <x v="0"/>
    <x v="31"/>
    <n v="0"/>
    <n v="642"/>
    <x v="0"/>
    <x v="0"/>
  </r>
  <r>
    <x v="0"/>
    <x v="15"/>
    <x v="0"/>
    <x v="32"/>
    <n v="0"/>
    <n v="295"/>
    <x v="0"/>
    <x v="0"/>
  </r>
  <r>
    <x v="0"/>
    <x v="8"/>
    <x v="0"/>
    <x v="33"/>
    <n v="0"/>
    <n v="433.97"/>
    <x v="0"/>
    <x v="0"/>
  </r>
  <r>
    <x v="1"/>
    <x v="8"/>
    <x v="5"/>
    <x v="34"/>
    <n v="158691.5"/>
    <n v="0"/>
    <x v="0"/>
    <x v="0"/>
  </r>
  <r>
    <x v="0"/>
    <x v="16"/>
    <x v="0"/>
    <x v="35"/>
    <n v="0"/>
    <n v="2250.8000000000002"/>
    <x v="0"/>
    <x v="0"/>
  </r>
  <r>
    <x v="0"/>
    <x v="16"/>
    <x v="0"/>
    <x v="36"/>
    <n v="0"/>
    <n v="3989.47"/>
    <x v="0"/>
    <x v="0"/>
  </r>
  <r>
    <x v="0"/>
    <x v="16"/>
    <x v="0"/>
    <x v="37"/>
    <n v="0"/>
    <n v="679.22"/>
    <x v="0"/>
    <x v="0"/>
  </r>
  <r>
    <x v="0"/>
    <x v="16"/>
    <x v="0"/>
    <x v="38"/>
    <n v="0"/>
    <n v="1275"/>
    <x v="0"/>
    <x v="0"/>
  </r>
  <r>
    <x v="0"/>
    <x v="1"/>
    <x v="0"/>
    <x v="39"/>
    <n v="0"/>
    <n v="124"/>
    <x v="0"/>
    <x v="0"/>
  </r>
  <r>
    <x v="0"/>
    <x v="16"/>
    <x v="0"/>
    <x v="40"/>
    <n v="0"/>
    <n v="924.92"/>
    <x v="0"/>
    <x v="0"/>
  </r>
  <r>
    <x v="0"/>
    <x v="17"/>
    <x v="0"/>
    <x v="41"/>
    <n v="0"/>
    <n v="3166.74"/>
    <x v="0"/>
    <x v="0"/>
  </r>
  <r>
    <x v="0"/>
    <x v="17"/>
    <x v="0"/>
    <x v="42"/>
    <n v="0"/>
    <n v="1619.79"/>
    <x v="0"/>
    <x v="0"/>
  </r>
  <r>
    <x v="0"/>
    <x v="18"/>
    <x v="0"/>
    <x v="43"/>
    <n v="0"/>
    <n v="1209.4000000000001"/>
    <x v="0"/>
    <x v="0"/>
  </r>
  <r>
    <x v="0"/>
    <x v="16"/>
    <x v="0"/>
    <x v="44"/>
    <n v="0"/>
    <n v="2321"/>
    <x v="0"/>
    <x v="0"/>
  </r>
  <r>
    <x v="0"/>
    <x v="18"/>
    <x v="0"/>
    <x v="45"/>
    <n v="0"/>
    <n v="698.92"/>
    <x v="0"/>
    <x v="0"/>
  </r>
  <r>
    <x v="0"/>
    <x v="19"/>
    <x v="0"/>
    <x v="46"/>
    <n v="0"/>
    <n v="223"/>
    <x v="0"/>
    <x v="0"/>
  </r>
  <r>
    <x v="0"/>
    <x v="18"/>
    <x v="0"/>
    <x v="47"/>
    <n v="0"/>
    <n v="6389.92"/>
    <x v="0"/>
    <x v="0"/>
  </r>
  <r>
    <x v="0"/>
    <x v="19"/>
    <x v="0"/>
    <x v="48"/>
    <n v="0"/>
    <n v="3398.87"/>
    <x v="0"/>
    <x v="0"/>
  </r>
  <r>
    <x v="0"/>
    <x v="20"/>
    <x v="0"/>
    <x v="49"/>
    <n v="0"/>
    <n v="257"/>
    <x v="0"/>
    <x v="0"/>
  </r>
  <r>
    <x v="0"/>
    <x v="3"/>
    <x v="0"/>
    <x v="50"/>
    <n v="0"/>
    <n v="351.75"/>
    <x v="0"/>
    <x v="0"/>
  </r>
  <r>
    <x v="0"/>
    <x v="20"/>
    <x v="0"/>
    <x v="51"/>
    <n v="0"/>
    <n v="2555.8200000000002"/>
    <x v="0"/>
    <x v="0"/>
  </r>
  <r>
    <x v="0"/>
    <x v="5"/>
    <x v="0"/>
    <x v="52"/>
    <n v="0"/>
    <n v="2960.41"/>
    <x v="0"/>
    <x v="0"/>
  </r>
  <r>
    <x v="0"/>
    <x v="20"/>
    <x v="0"/>
    <x v="53"/>
    <n v="0"/>
    <n v="1008.48"/>
    <x v="0"/>
    <x v="0"/>
  </r>
  <r>
    <x v="0"/>
    <x v="20"/>
    <x v="0"/>
    <x v="54"/>
    <n v="0"/>
    <n v="3392.12"/>
    <x v="0"/>
    <x v="0"/>
  </r>
  <r>
    <x v="0"/>
    <x v="20"/>
    <x v="0"/>
    <x v="55"/>
    <n v="0"/>
    <n v="476.93"/>
    <x v="0"/>
    <x v="0"/>
  </r>
  <r>
    <x v="0"/>
    <x v="7"/>
    <x v="0"/>
    <x v="56"/>
    <n v="0"/>
    <n v="1417.06"/>
    <x v="0"/>
    <x v="0"/>
  </r>
  <r>
    <x v="0"/>
    <x v="7"/>
    <x v="0"/>
    <x v="57"/>
    <n v="0"/>
    <n v="1327.1"/>
    <x v="0"/>
    <x v="0"/>
  </r>
  <r>
    <x v="0"/>
    <x v="9"/>
    <x v="0"/>
    <x v="58"/>
    <n v="0"/>
    <n v="584"/>
    <x v="0"/>
    <x v="0"/>
  </r>
  <r>
    <x v="0"/>
    <x v="21"/>
    <x v="0"/>
    <x v="59"/>
    <n v="0"/>
    <n v="3154.59"/>
    <x v="0"/>
    <x v="0"/>
  </r>
  <r>
    <x v="0"/>
    <x v="21"/>
    <x v="0"/>
    <x v="60"/>
    <n v="0"/>
    <n v="737.38"/>
    <x v="0"/>
    <x v="0"/>
  </r>
  <r>
    <x v="0"/>
    <x v="21"/>
    <x v="0"/>
    <x v="61"/>
    <n v="0"/>
    <n v="153.4"/>
    <x v="0"/>
    <x v="0"/>
  </r>
  <r>
    <x v="0"/>
    <x v="10"/>
    <x v="0"/>
    <x v="62"/>
    <n v="0"/>
    <n v="138"/>
    <x v="0"/>
    <x v="0"/>
  </r>
  <r>
    <x v="0"/>
    <x v="9"/>
    <x v="0"/>
    <x v="63"/>
    <n v="0"/>
    <n v="1223.67"/>
    <x v="0"/>
    <x v="0"/>
  </r>
  <r>
    <x v="0"/>
    <x v="11"/>
    <x v="0"/>
    <x v="64"/>
    <n v="0"/>
    <n v="3281.48"/>
    <x v="0"/>
    <x v="0"/>
  </r>
  <r>
    <x v="0"/>
    <x v="21"/>
    <x v="0"/>
    <x v="65"/>
    <n v="0"/>
    <n v="2265.25"/>
    <x v="0"/>
    <x v="0"/>
  </r>
  <r>
    <x v="0"/>
    <x v="21"/>
    <x v="0"/>
    <x v="66"/>
    <n v="0"/>
    <n v="1278.49"/>
    <x v="0"/>
    <x v="0"/>
  </r>
  <r>
    <x v="0"/>
    <x v="11"/>
    <x v="0"/>
    <x v="67"/>
    <n v="0"/>
    <n v="3156.73"/>
    <x v="0"/>
    <x v="0"/>
  </r>
  <r>
    <x v="0"/>
    <x v="11"/>
    <x v="0"/>
    <x v="68"/>
    <n v="0"/>
    <n v="765"/>
    <x v="0"/>
    <x v="0"/>
  </r>
  <r>
    <x v="0"/>
    <x v="11"/>
    <x v="0"/>
    <x v="69"/>
    <n v="0"/>
    <n v="1712.32"/>
    <x v="0"/>
    <x v="0"/>
  </r>
  <r>
    <x v="0"/>
    <x v="22"/>
    <x v="1"/>
    <x v="70"/>
    <n v="0"/>
    <n v="300"/>
    <x v="0"/>
    <x v="0"/>
  </r>
  <r>
    <x v="0"/>
    <x v="21"/>
    <x v="1"/>
    <x v="71"/>
    <n v="0"/>
    <n v="847.81"/>
    <x v="0"/>
    <x v="0"/>
  </r>
  <r>
    <x v="0"/>
    <x v="21"/>
    <x v="0"/>
    <x v="72"/>
    <n v="0"/>
    <n v="2051.8200000000002"/>
    <x v="0"/>
    <x v="0"/>
  </r>
  <r>
    <x v="0"/>
    <x v="6"/>
    <x v="0"/>
    <x v="73"/>
    <n v="0"/>
    <n v="4412.8500000000004"/>
    <x v="0"/>
    <x v="0"/>
  </r>
  <r>
    <x v="0"/>
    <x v="22"/>
    <x v="0"/>
    <x v="74"/>
    <n v="0"/>
    <n v="2485.1"/>
    <x v="0"/>
    <x v="0"/>
  </r>
  <r>
    <x v="0"/>
    <x v="23"/>
    <x v="0"/>
    <x v="75"/>
    <n v="0"/>
    <n v="1053"/>
    <x v="0"/>
    <x v="0"/>
  </r>
  <r>
    <x v="0"/>
    <x v="22"/>
    <x v="0"/>
    <x v="76"/>
    <n v="0"/>
    <n v="3632.49"/>
    <x v="0"/>
    <x v="0"/>
  </r>
  <r>
    <x v="0"/>
    <x v="23"/>
    <x v="0"/>
    <x v="77"/>
    <n v="0"/>
    <n v="4361.74"/>
    <x v="0"/>
    <x v="0"/>
  </r>
  <r>
    <x v="0"/>
    <x v="24"/>
    <x v="0"/>
    <x v="78"/>
    <n v="0"/>
    <n v="1924.14"/>
    <x v="0"/>
    <x v="0"/>
  </r>
  <r>
    <x v="0"/>
    <x v="12"/>
    <x v="0"/>
    <x v="79"/>
    <n v="0"/>
    <n v="2765.46"/>
    <x v="0"/>
    <x v="0"/>
  </r>
  <r>
    <x v="0"/>
    <x v="12"/>
    <x v="0"/>
    <x v="80"/>
    <n v="0"/>
    <n v="163.5"/>
    <x v="0"/>
    <x v="0"/>
  </r>
  <r>
    <x v="0"/>
    <x v="24"/>
    <x v="0"/>
    <x v="81"/>
    <n v="0"/>
    <n v="2111.4899999999998"/>
    <x v="0"/>
    <x v="0"/>
  </r>
  <r>
    <x v="0"/>
    <x v="13"/>
    <x v="0"/>
    <x v="82"/>
    <n v="0"/>
    <n v="1009.25"/>
    <x v="0"/>
    <x v="0"/>
  </r>
  <r>
    <x v="0"/>
    <x v="23"/>
    <x v="0"/>
    <x v="83"/>
    <n v="0"/>
    <n v="3041.93"/>
    <x v="0"/>
    <x v="0"/>
  </r>
  <r>
    <x v="0"/>
    <x v="23"/>
    <x v="0"/>
    <x v="84"/>
    <n v="0"/>
    <n v="189.15"/>
    <x v="0"/>
    <x v="0"/>
  </r>
  <r>
    <x v="0"/>
    <x v="24"/>
    <x v="0"/>
    <x v="85"/>
    <n v="0"/>
    <n v="3255.08"/>
    <x v="0"/>
    <x v="0"/>
  </r>
  <r>
    <x v="0"/>
    <x v="14"/>
    <x v="0"/>
    <x v="86"/>
    <n v="0"/>
    <n v="188.43"/>
    <x v="0"/>
    <x v="0"/>
  </r>
  <r>
    <x v="0"/>
    <x v="24"/>
    <x v="0"/>
    <x v="87"/>
    <n v="0"/>
    <n v="300.60000000000002"/>
    <x v="0"/>
    <x v="0"/>
  </r>
  <r>
    <x v="0"/>
    <x v="14"/>
    <x v="0"/>
    <x v="88"/>
    <n v="0"/>
    <n v="481.43"/>
    <x v="0"/>
    <x v="0"/>
  </r>
  <r>
    <x v="0"/>
    <x v="24"/>
    <x v="0"/>
    <x v="89"/>
    <n v="0"/>
    <n v="368.04"/>
    <x v="0"/>
    <x v="0"/>
  </r>
  <r>
    <x v="0"/>
    <x v="24"/>
    <x v="0"/>
    <x v="90"/>
    <n v="0"/>
    <n v="1143.4000000000001"/>
    <x v="0"/>
    <x v="0"/>
  </r>
  <r>
    <x v="0"/>
    <x v="14"/>
    <x v="0"/>
    <x v="91"/>
    <n v="0"/>
    <n v="167.81"/>
    <x v="0"/>
    <x v="0"/>
  </r>
  <r>
    <x v="0"/>
    <x v="25"/>
    <x v="0"/>
    <x v="92"/>
    <n v="0"/>
    <n v="428.4"/>
    <x v="0"/>
    <x v="0"/>
  </r>
  <r>
    <x v="0"/>
    <x v="25"/>
    <x v="0"/>
    <x v="93"/>
    <n v="0"/>
    <n v="700"/>
    <x v="0"/>
    <x v="0"/>
  </r>
  <r>
    <x v="0"/>
    <x v="24"/>
    <x v="0"/>
    <x v="94"/>
    <n v="0"/>
    <n v="916.5"/>
    <x v="0"/>
    <x v="0"/>
  </r>
  <r>
    <x v="0"/>
    <x v="14"/>
    <x v="0"/>
    <x v="95"/>
    <n v="0"/>
    <n v="1750.58"/>
    <x v="0"/>
    <x v="0"/>
  </r>
  <r>
    <x v="0"/>
    <x v="25"/>
    <x v="0"/>
    <x v="96"/>
    <n v="0"/>
    <n v="560"/>
    <x v="0"/>
    <x v="0"/>
  </r>
  <r>
    <x v="0"/>
    <x v="15"/>
    <x v="0"/>
    <x v="97"/>
    <n v="0"/>
    <n v="350"/>
    <x v="0"/>
    <x v="0"/>
  </r>
  <r>
    <x v="0"/>
    <x v="15"/>
    <x v="0"/>
    <x v="98"/>
    <n v="0"/>
    <n v="2053"/>
    <x v="0"/>
    <x v="0"/>
  </r>
  <r>
    <x v="0"/>
    <x v="15"/>
    <x v="0"/>
    <x v="99"/>
    <n v="0"/>
    <n v="1404.01"/>
    <x v="0"/>
    <x v="0"/>
  </r>
  <r>
    <x v="0"/>
    <x v="14"/>
    <x v="0"/>
    <x v="100"/>
    <n v="0"/>
    <n v="2343.3000000000002"/>
    <x v="0"/>
    <x v="0"/>
  </r>
  <r>
    <x v="0"/>
    <x v="9"/>
    <x v="6"/>
    <x v="101"/>
    <n v="0"/>
    <n v="6043"/>
    <x v="0"/>
    <x v="0"/>
  </r>
  <r>
    <x v="0"/>
    <x v="16"/>
    <x v="0"/>
    <x v="102"/>
    <n v="0"/>
    <n v="10607"/>
    <x v="0"/>
    <x v="0"/>
  </r>
  <r>
    <x v="0"/>
    <x v="8"/>
    <x v="1"/>
    <x v="103"/>
    <n v="0"/>
    <n v="1765"/>
    <x v="0"/>
    <x v="0"/>
  </r>
  <r>
    <x v="0"/>
    <x v="26"/>
    <x v="0"/>
    <x v="104"/>
    <n v="0"/>
    <n v="359"/>
    <x v="1"/>
    <x v="0"/>
  </r>
  <r>
    <x v="0"/>
    <x v="26"/>
    <x v="0"/>
    <x v="105"/>
    <n v="0"/>
    <n v="337.5"/>
    <x v="1"/>
    <x v="0"/>
  </r>
  <r>
    <x v="0"/>
    <x v="27"/>
    <x v="0"/>
    <x v="106"/>
    <n v="0"/>
    <n v="1104.24"/>
    <x v="1"/>
    <x v="0"/>
  </r>
  <r>
    <x v="0"/>
    <x v="27"/>
    <x v="0"/>
    <x v="107"/>
    <n v="0"/>
    <n v="2302.9899999999998"/>
    <x v="1"/>
    <x v="0"/>
  </r>
  <r>
    <x v="0"/>
    <x v="27"/>
    <x v="0"/>
    <x v="108"/>
    <n v="0"/>
    <n v="3186.28"/>
    <x v="1"/>
    <x v="0"/>
  </r>
  <r>
    <x v="0"/>
    <x v="27"/>
    <x v="0"/>
    <x v="109"/>
    <n v="0"/>
    <n v="589.48"/>
    <x v="1"/>
    <x v="0"/>
  </r>
  <r>
    <x v="0"/>
    <x v="28"/>
    <x v="0"/>
    <x v="110"/>
    <n v="0"/>
    <n v="940"/>
    <x v="1"/>
    <x v="0"/>
  </r>
  <r>
    <x v="0"/>
    <x v="28"/>
    <x v="0"/>
    <x v="111"/>
    <n v="0"/>
    <n v="500.76"/>
    <x v="1"/>
    <x v="0"/>
  </r>
  <r>
    <x v="0"/>
    <x v="28"/>
    <x v="0"/>
    <x v="112"/>
    <n v="0"/>
    <n v="840"/>
    <x v="1"/>
    <x v="0"/>
  </r>
  <r>
    <x v="0"/>
    <x v="29"/>
    <x v="0"/>
    <x v="113"/>
    <n v="0"/>
    <n v="274.10000000000002"/>
    <x v="1"/>
    <x v="0"/>
  </r>
  <r>
    <x v="0"/>
    <x v="29"/>
    <x v="0"/>
    <x v="114"/>
    <n v="0"/>
    <n v="108"/>
    <x v="1"/>
    <x v="0"/>
  </r>
  <r>
    <x v="0"/>
    <x v="30"/>
    <x v="0"/>
    <x v="115"/>
    <n v="0"/>
    <n v="305"/>
    <x v="1"/>
    <x v="0"/>
  </r>
  <r>
    <x v="0"/>
    <x v="31"/>
    <x v="0"/>
    <x v="116"/>
    <n v="0"/>
    <n v="438"/>
    <x v="1"/>
    <x v="0"/>
  </r>
  <r>
    <x v="0"/>
    <x v="32"/>
    <x v="0"/>
    <x v="117"/>
    <n v="0"/>
    <n v="363.33"/>
    <x v="1"/>
    <x v="0"/>
  </r>
  <r>
    <x v="0"/>
    <x v="32"/>
    <x v="0"/>
    <x v="118"/>
    <n v="0"/>
    <n v="168"/>
    <x v="1"/>
    <x v="0"/>
  </r>
  <r>
    <x v="0"/>
    <x v="32"/>
    <x v="0"/>
    <x v="119"/>
    <n v="0"/>
    <n v="548.44000000000005"/>
    <x v="1"/>
    <x v="0"/>
  </r>
  <r>
    <x v="0"/>
    <x v="33"/>
    <x v="0"/>
    <x v="120"/>
    <n v="0"/>
    <n v="617.16999999999996"/>
    <x v="1"/>
    <x v="0"/>
  </r>
  <r>
    <x v="0"/>
    <x v="33"/>
    <x v="0"/>
    <x v="121"/>
    <n v="0"/>
    <n v="1104.23"/>
    <x v="1"/>
    <x v="0"/>
  </r>
  <r>
    <x v="0"/>
    <x v="34"/>
    <x v="0"/>
    <x v="122"/>
    <n v="0"/>
    <n v="1898.25"/>
    <x v="1"/>
    <x v="0"/>
  </r>
  <r>
    <x v="0"/>
    <x v="35"/>
    <x v="0"/>
    <x v="123"/>
    <n v="0"/>
    <n v="885"/>
    <x v="1"/>
    <x v="0"/>
  </r>
  <r>
    <x v="0"/>
    <x v="36"/>
    <x v="0"/>
    <x v="124"/>
    <n v="0"/>
    <n v="324"/>
    <x v="1"/>
    <x v="0"/>
  </r>
  <r>
    <x v="0"/>
    <x v="37"/>
    <x v="0"/>
    <x v="125"/>
    <n v="0"/>
    <n v="647.82000000000005"/>
    <x v="1"/>
    <x v="0"/>
  </r>
  <r>
    <x v="0"/>
    <x v="38"/>
    <x v="0"/>
    <x v="126"/>
    <n v="0"/>
    <n v="702.81"/>
    <x v="1"/>
    <x v="0"/>
  </r>
  <r>
    <x v="0"/>
    <x v="38"/>
    <x v="0"/>
    <x v="127"/>
    <n v="0"/>
    <n v="1251.08"/>
    <x v="1"/>
    <x v="0"/>
  </r>
  <r>
    <x v="0"/>
    <x v="38"/>
    <x v="0"/>
    <x v="128"/>
    <n v="0"/>
    <n v="2046"/>
    <x v="1"/>
    <x v="0"/>
  </r>
  <r>
    <x v="0"/>
    <x v="39"/>
    <x v="0"/>
    <x v="129"/>
    <n v="0"/>
    <n v="330"/>
    <x v="1"/>
    <x v="0"/>
  </r>
  <r>
    <x v="0"/>
    <x v="39"/>
    <x v="0"/>
    <x v="130"/>
    <n v="0"/>
    <n v="348"/>
    <x v="1"/>
    <x v="0"/>
  </r>
  <r>
    <x v="0"/>
    <x v="40"/>
    <x v="0"/>
    <x v="131"/>
    <n v="0"/>
    <n v="975"/>
    <x v="1"/>
    <x v="0"/>
  </r>
  <r>
    <x v="0"/>
    <x v="41"/>
    <x v="0"/>
    <x v="132"/>
    <n v="0"/>
    <n v="234"/>
    <x v="1"/>
    <x v="0"/>
  </r>
  <r>
    <x v="0"/>
    <x v="42"/>
    <x v="0"/>
    <x v="133"/>
    <n v="0"/>
    <n v="702.34"/>
    <x v="1"/>
    <x v="0"/>
  </r>
  <r>
    <x v="0"/>
    <x v="42"/>
    <x v="0"/>
    <x v="134"/>
    <n v="0"/>
    <n v="120"/>
    <x v="1"/>
    <x v="0"/>
  </r>
  <r>
    <x v="0"/>
    <x v="42"/>
    <x v="0"/>
    <x v="135"/>
    <n v="0"/>
    <n v="355.81"/>
    <x v="1"/>
    <x v="0"/>
  </r>
  <r>
    <x v="0"/>
    <x v="42"/>
    <x v="2"/>
    <x v="136"/>
    <n v="0"/>
    <n v="19100"/>
    <x v="1"/>
    <x v="0"/>
  </r>
  <r>
    <x v="0"/>
    <x v="42"/>
    <x v="3"/>
    <x v="137"/>
    <n v="0"/>
    <n v="120"/>
    <x v="1"/>
    <x v="0"/>
  </r>
  <r>
    <x v="0"/>
    <x v="42"/>
    <x v="4"/>
    <x v="138"/>
    <n v="0"/>
    <n v="1695.75"/>
    <x v="1"/>
    <x v="0"/>
  </r>
  <r>
    <x v="1"/>
    <x v="42"/>
    <x v="5"/>
    <x v="139"/>
    <n v="142975.75"/>
    <n v="0"/>
    <x v="1"/>
    <x v="0"/>
  </r>
  <r>
    <x v="0"/>
    <x v="28"/>
    <x v="1"/>
    <x v="140"/>
    <n v="0"/>
    <n v="4.5"/>
    <x v="1"/>
    <x v="0"/>
  </r>
  <r>
    <x v="0"/>
    <x v="28"/>
    <x v="7"/>
    <x v="141"/>
    <n v="0"/>
    <n v="700"/>
    <x v="1"/>
    <x v="0"/>
  </r>
  <r>
    <x v="0"/>
    <x v="40"/>
    <x v="0"/>
    <x v="142"/>
    <n v="0"/>
    <n v="6238.96"/>
    <x v="1"/>
    <x v="0"/>
  </r>
  <r>
    <x v="0"/>
    <x v="42"/>
    <x v="6"/>
    <x v="143"/>
    <n v="0"/>
    <n v="5713"/>
    <x v="1"/>
    <x v="0"/>
  </r>
  <r>
    <x v="0"/>
    <x v="41"/>
    <x v="0"/>
    <x v="144"/>
    <n v="0"/>
    <n v="300.02"/>
    <x v="1"/>
    <x v="0"/>
  </r>
  <r>
    <x v="0"/>
    <x v="41"/>
    <x v="0"/>
    <x v="145"/>
    <n v="0"/>
    <n v="187"/>
    <x v="1"/>
    <x v="0"/>
  </r>
  <r>
    <x v="0"/>
    <x v="43"/>
    <x v="0"/>
    <x v="146"/>
    <n v="0"/>
    <n v="1154.78"/>
    <x v="1"/>
    <x v="0"/>
  </r>
  <r>
    <x v="0"/>
    <x v="39"/>
    <x v="0"/>
    <x v="147"/>
    <n v="0"/>
    <n v="637.51"/>
    <x v="1"/>
    <x v="0"/>
  </r>
  <r>
    <x v="0"/>
    <x v="40"/>
    <x v="0"/>
    <x v="148"/>
    <n v="0"/>
    <n v="1816"/>
    <x v="1"/>
    <x v="0"/>
  </r>
  <r>
    <x v="0"/>
    <x v="40"/>
    <x v="0"/>
    <x v="149"/>
    <n v="0"/>
    <n v="788.88"/>
    <x v="1"/>
    <x v="0"/>
  </r>
  <r>
    <x v="0"/>
    <x v="43"/>
    <x v="0"/>
    <x v="150"/>
    <n v="0"/>
    <n v="4080.72"/>
    <x v="1"/>
    <x v="0"/>
  </r>
  <r>
    <x v="0"/>
    <x v="43"/>
    <x v="0"/>
    <x v="151"/>
    <n v="0"/>
    <n v="2240.4"/>
    <x v="1"/>
    <x v="0"/>
  </r>
  <r>
    <x v="0"/>
    <x v="39"/>
    <x v="0"/>
    <x v="152"/>
    <n v="0"/>
    <n v="489.6"/>
    <x v="1"/>
    <x v="0"/>
  </r>
  <r>
    <x v="0"/>
    <x v="39"/>
    <x v="0"/>
    <x v="153"/>
    <n v="0"/>
    <n v="750"/>
    <x v="1"/>
    <x v="0"/>
  </r>
  <r>
    <x v="0"/>
    <x v="43"/>
    <x v="0"/>
    <x v="154"/>
    <n v="0"/>
    <n v="3595.21"/>
    <x v="1"/>
    <x v="0"/>
  </r>
  <r>
    <x v="0"/>
    <x v="43"/>
    <x v="0"/>
    <x v="155"/>
    <n v="0"/>
    <n v="877.99"/>
    <x v="1"/>
    <x v="0"/>
  </r>
  <r>
    <x v="0"/>
    <x v="43"/>
    <x v="0"/>
    <x v="156"/>
    <n v="0"/>
    <n v="1505.5"/>
    <x v="1"/>
    <x v="0"/>
  </r>
  <r>
    <x v="0"/>
    <x v="43"/>
    <x v="0"/>
    <x v="157"/>
    <n v="0"/>
    <n v="248.5"/>
    <x v="1"/>
    <x v="0"/>
  </r>
  <r>
    <x v="0"/>
    <x v="43"/>
    <x v="0"/>
    <x v="158"/>
    <n v="0"/>
    <n v="887.3"/>
    <x v="1"/>
    <x v="0"/>
  </r>
  <r>
    <x v="0"/>
    <x v="38"/>
    <x v="0"/>
    <x v="159"/>
    <n v="0"/>
    <n v="1593.51"/>
    <x v="1"/>
    <x v="0"/>
  </r>
  <r>
    <x v="0"/>
    <x v="38"/>
    <x v="0"/>
    <x v="160"/>
    <n v="0"/>
    <n v="170"/>
    <x v="1"/>
    <x v="0"/>
  </r>
  <r>
    <x v="0"/>
    <x v="36"/>
    <x v="0"/>
    <x v="161"/>
    <n v="0"/>
    <n v="7227.65"/>
    <x v="1"/>
    <x v="0"/>
  </r>
  <r>
    <x v="0"/>
    <x v="36"/>
    <x v="0"/>
    <x v="162"/>
    <n v="0"/>
    <n v="5731.15"/>
    <x v="1"/>
    <x v="0"/>
  </r>
  <r>
    <x v="0"/>
    <x v="36"/>
    <x v="0"/>
    <x v="163"/>
    <n v="0"/>
    <n v="1642"/>
    <x v="1"/>
    <x v="0"/>
  </r>
  <r>
    <x v="0"/>
    <x v="36"/>
    <x v="0"/>
    <x v="164"/>
    <n v="0"/>
    <n v="494.53"/>
    <x v="1"/>
    <x v="0"/>
  </r>
  <r>
    <x v="0"/>
    <x v="34"/>
    <x v="0"/>
    <x v="165"/>
    <n v="0"/>
    <n v="863"/>
    <x v="1"/>
    <x v="0"/>
  </r>
  <r>
    <x v="0"/>
    <x v="35"/>
    <x v="0"/>
    <x v="166"/>
    <n v="0"/>
    <n v="3735.33"/>
    <x v="1"/>
    <x v="0"/>
  </r>
  <r>
    <x v="0"/>
    <x v="35"/>
    <x v="0"/>
    <x v="167"/>
    <n v="0"/>
    <n v="1008.18"/>
    <x v="1"/>
    <x v="0"/>
  </r>
  <r>
    <x v="0"/>
    <x v="44"/>
    <x v="0"/>
    <x v="168"/>
    <n v="0"/>
    <n v="2732.44"/>
    <x v="1"/>
    <x v="0"/>
  </r>
  <r>
    <x v="0"/>
    <x v="35"/>
    <x v="0"/>
    <x v="169"/>
    <n v="0"/>
    <n v="468.75"/>
    <x v="1"/>
    <x v="0"/>
  </r>
  <r>
    <x v="0"/>
    <x v="35"/>
    <x v="0"/>
    <x v="170"/>
    <n v="0"/>
    <n v="128.19999999999999"/>
    <x v="1"/>
    <x v="0"/>
  </r>
  <r>
    <x v="0"/>
    <x v="34"/>
    <x v="0"/>
    <x v="171"/>
    <n v="0"/>
    <n v="777.72"/>
    <x v="1"/>
    <x v="0"/>
  </r>
  <r>
    <x v="0"/>
    <x v="34"/>
    <x v="0"/>
    <x v="172"/>
    <n v="0"/>
    <n v="742.42"/>
    <x v="1"/>
    <x v="0"/>
  </r>
  <r>
    <x v="0"/>
    <x v="44"/>
    <x v="0"/>
    <x v="173"/>
    <n v="0"/>
    <n v="1248.3"/>
    <x v="1"/>
    <x v="0"/>
  </r>
  <r>
    <x v="0"/>
    <x v="44"/>
    <x v="0"/>
    <x v="174"/>
    <n v="0"/>
    <n v="1219.55"/>
    <x v="1"/>
    <x v="0"/>
  </r>
  <r>
    <x v="0"/>
    <x v="44"/>
    <x v="0"/>
    <x v="175"/>
    <n v="0"/>
    <n v="1593.95"/>
    <x v="1"/>
    <x v="0"/>
  </r>
  <r>
    <x v="0"/>
    <x v="44"/>
    <x v="0"/>
    <x v="176"/>
    <n v="0"/>
    <n v="351.15"/>
    <x v="1"/>
    <x v="0"/>
  </r>
  <r>
    <x v="0"/>
    <x v="26"/>
    <x v="0"/>
    <x v="177"/>
    <n v="0"/>
    <n v="1944.6"/>
    <x v="1"/>
    <x v="0"/>
  </r>
  <r>
    <x v="0"/>
    <x v="44"/>
    <x v="0"/>
    <x v="178"/>
    <n v="0"/>
    <n v="1489.79"/>
    <x v="1"/>
    <x v="0"/>
  </r>
  <r>
    <x v="0"/>
    <x v="44"/>
    <x v="0"/>
    <x v="179"/>
    <n v="0"/>
    <n v="289"/>
    <x v="1"/>
    <x v="0"/>
  </r>
  <r>
    <x v="0"/>
    <x v="30"/>
    <x v="0"/>
    <x v="180"/>
    <n v="0"/>
    <n v="1605.96"/>
    <x v="1"/>
    <x v="0"/>
  </r>
  <r>
    <x v="0"/>
    <x v="26"/>
    <x v="0"/>
    <x v="181"/>
    <n v="0"/>
    <n v="347.86"/>
    <x v="1"/>
    <x v="0"/>
  </r>
  <r>
    <x v="0"/>
    <x v="45"/>
    <x v="0"/>
    <x v="182"/>
    <n v="0"/>
    <n v="2448.1999999999998"/>
    <x v="1"/>
    <x v="0"/>
  </r>
  <r>
    <x v="0"/>
    <x v="45"/>
    <x v="0"/>
    <x v="183"/>
    <n v="0"/>
    <n v="461.1"/>
    <x v="1"/>
    <x v="0"/>
  </r>
  <r>
    <x v="0"/>
    <x v="45"/>
    <x v="0"/>
    <x v="184"/>
    <n v="0"/>
    <n v="1119.18"/>
    <x v="1"/>
    <x v="0"/>
  </r>
  <r>
    <x v="0"/>
    <x v="26"/>
    <x v="0"/>
    <x v="185"/>
    <n v="0"/>
    <n v="240"/>
    <x v="1"/>
    <x v="0"/>
  </r>
  <r>
    <x v="0"/>
    <x v="45"/>
    <x v="0"/>
    <x v="186"/>
    <n v="0"/>
    <n v="1560.19"/>
    <x v="1"/>
    <x v="0"/>
  </r>
  <r>
    <x v="0"/>
    <x v="27"/>
    <x v="0"/>
    <x v="187"/>
    <n v="0"/>
    <n v="84"/>
    <x v="1"/>
    <x v="0"/>
  </r>
  <r>
    <x v="0"/>
    <x v="27"/>
    <x v="0"/>
    <x v="188"/>
    <n v="0"/>
    <n v="2000"/>
    <x v="1"/>
    <x v="0"/>
  </r>
  <r>
    <x v="0"/>
    <x v="46"/>
    <x v="0"/>
    <x v="189"/>
    <n v="0"/>
    <n v="279.64999999999998"/>
    <x v="1"/>
    <x v="0"/>
  </r>
  <r>
    <x v="0"/>
    <x v="47"/>
    <x v="0"/>
    <x v="190"/>
    <n v="0"/>
    <n v="3053.83"/>
    <x v="1"/>
    <x v="0"/>
  </r>
  <r>
    <x v="0"/>
    <x v="48"/>
    <x v="0"/>
    <x v="191"/>
    <n v="0"/>
    <n v="2854.79"/>
    <x v="1"/>
    <x v="0"/>
  </r>
  <r>
    <x v="0"/>
    <x v="48"/>
    <x v="0"/>
    <x v="192"/>
    <n v="0"/>
    <n v="851"/>
    <x v="1"/>
    <x v="0"/>
  </r>
  <r>
    <x v="0"/>
    <x v="47"/>
    <x v="0"/>
    <x v="193"/>
    <n v="0"/>
    <n v="5198.21"/>
    <x v="1"/>
    <x v="0"/>
  </r>
  <r>
    <x v="0"/>
    <x v="47"/>
    <x v="0"/>
    <x v="194"/>
    <n v="0"/>
    <n v="1262.75"/>
    <x v="1"/>
    <x v="0"/>
  </r>
  <r>
    <x v="0"/>
    <x v="49"/>
    <x v="0"/>
    <x v="195"/>
    <n v="0"/>
    <n v="2232.3200000000002"/>
    <x v="1"/>
    <x v="0"/>
  </r>
  <r>
    <x v="0"/>
    <x v="49"/>
    <x v="0"/>
    <x v="196"/>
    <n v="0"/>
    <n v="5019"/>
    <x v="1"/>
    <x v="0"/>
  </r>
  <r>
    <x v="0"/>
    <x v="49"/>
    <x v="0"/>
    <x v="197"/>
    <n v="0"/>
    <n v="1225.3800000000001"/>
    <x v="1"/>
    <x v="0"/>
  </r>
  <r>
    <x v="0"/>
    <x v="46"/>
    <x v="0"/>
    <x v="198"/>
    <n v="0"/>
    <n v="5285.44"/>
    <x v="1"/>
    <x v="0"/>
  </r>
  <r>
    <x v="0"/>
    <x v="46"/>
    <x v="0"/>
    <x v="199"/>
    <n v="0"/>
    <n v="2973"/>
    <x v="1"/>
    <x v="0"/>
  </r>
  <r>
    <x v="0"/>
    <x v="49"/>
    <x v="0"/>
    <x v="200"/>
    <n v="0"/>
    <n v="2692.8"/>
    <x v="1"/>
    <x v="0"/>
  </r>
  <r>
    <x v="0"/>
    <x v="49"/>
    <x v="0"/>
    <x v="201"/>
    <n v="0"/>
    <n v="2155.89"/>
    <x v="1"/>
    <x v="0"/>
  </r>
  <r>
    <x v="0"/>
    <x v="29"/>
    <x v="0"/>
    <x v="202"/>
    <n v="0"/>
    <n v="698"/>
    <x v="1"/>
    <x v="0"/>
  </r>
  <r>
    <x v="0"/>
    <x v="49"/>
    <x v="0"/>
    <x v="203"/>
    <n v="0"/>
    <n v="427.56"/>
    <x v="1"/>
    <x v="0"/>
  </r>
  <r>
    <x v="0"/>
    <x v="49"/>
    <x v="0"/>
    <x v="204"/>
    <n v="0"/>
    <n v="468.75"/>
    <x v="1"/>
    <x v="0"/>
  </r>
  <r>
    <x v="0"/>
    <x v="49"/>
    <x v="0"/>
    <x v="205"/>
    <n v="0"/>
    <n v="180"/>
    <x v="1"/>
    <x v="0"/>
  </r>
  <r>
    <x v="0"/>
    <x v="42"/>
    <x v="0"/>
    <x v="206"/>
    <n v="0"/>
    <n v="9092.99"/>
    <x v="0"/>
    <x v="0"/>
  </r>
  <r>
    <x v="0"/>
    <x v="42"/>
    <x v="4"/>
    <x v="207"/>
    <n v="0"/>
    <n v="37.25"/>
    <x v="1"/>
    <x v="0"/>
  </r>
  <r>
    <x v="0"/>
    <x v="50"/>
    <x v="8"/>
    <x v="208"/>
    <n v="0"/>
    <n v="1312.28"/>
    <x v="2"/>
    <x v="0"/>
  </r>
  <r>
    <x v="0"/>
    <x v="50"/>
    <x v="8"/>
    <x v="209"/>
    <n v="0"/>
    <n v="1873.7"/>
    <x v="2"/>
    <x v="0"/>
  </r>
  <r>
    <x v="0"/>
    <x v="51"/>
    <x v="8"/>
    <x v="210"/>
    <n v="0"/>
    <n v="990"/>
    <x v="2"/>
    <x v="0"/>
  </r>
  <r>
    <x v="0"/>
    <x v="52"/>
    <x v="8"/>
    <x v="211"/>
    <n v="0"/>
    <n v="476.17"/>
    <x v="2"/>
    <x v="0"/>
  </r>
  <r>
    <x v="0"/>
    <x v="53"/>
    <x v="8"/>
    <x v="212"/>
    <n v="0"/>
    <n v="564.29"/>
    <x v="2"/>
    <x v="0"/>
  </r>
  <r>
    <x v="0"/>
    <x v="53"/>
    <x v="8"/>
    <x v="213"/>
    <n v="0"/>
    <n v="1802.79"/>
    <x v="2"/>
    <x v="0"/>
  </r>
  <r>
    <x v="0"/>
    <x v="54"/>
    <x v="8"/>
    <x v="214"/>
    <n v="0"/>
    <n v="948"/>
    <x v="2"/>
    <x v="0"/>
  </r>
  <r>
    <x v="0"/>
    <x v="53"/>
    <x v="8"/>
    <x v="215"/>
    <n v="0"/>
    <n v="1148.74"/>
    <x v="2"/>
    <x v="0"/>
  </r>
  <r>
    <x v="0"/>
    <x v="55"/>
    <x v="8"/>
    <x v="216"/>
    <n v="0"/>
    <n v="873"/>
    <x v="2"/>
    <x v="0"/>
  </r>
  <r>
    <x v="0"/>
    <x v="56"/>
    <x v="8"/>
    <x v="217"/>
    <n v="0"/>
    <n v="468"/>
    <x v="2"/>
    <x v="0"/>
  </r>
  <r>
    <x v="0"/>
    <x v="57"/>
    <x v="8"/>
    <x v="218"/>
    <n v="0"/>
    <n v="3700.5"/>
    <x v="2"/>
    <x v="0"/>
  </r>
  <r>
    <x v="0"/>
    <x v="57"/>
    <x v="8"/>
    <x v="219"/>
    <n v="0"/>
    <n v="467.1"/>
    <x v="2"/>
    <x v="0"/>
  </r>
  <r>
    <x v="0"/>
    <x v="58"/>
    <x v="8"/>
    <x v="220"/>
    <n v="0"/>
    <n v="409.24"/>
    <x v="2"/>
    <x v="0"/>
  </r>
  <r>
    <x v="0"/>
    <x v="58"/>
    <x v="8"/>
    <x v="221"/>
    <n v="0"/>
    <n v="973.2"/>
    <x v="2"/>
    <x v="0"/>
  </r>
  <r>
    <x v="0"/>
    <x v="59"/>
    <x v="8"/>
    <x v="222"/>
    <n v="0"/>
    <n v="762"/>
    <x v="2"/>
    <x v="0"/>
  </r>
  <r>
    <x v="0"/>
    <x v="60"/>
    <x v="8"/>
    <x v="223"/>
    <n v="0"/>
    <n v="570.39"/>
    <x v="2"/>
    <x v="0"/>
  </r>
  <r>
    <x v="0"/>
    <x v="61"/>
    <x v="8"/>
    <x v="224"/>
    <n v="0"/>
    <n v="599.32000000000005"/>
    <x v="2"/>
    <x v="0"/>
  </r>
  <r>
    <x v="0"/>
    <x v="61"/>
    <x v="8"/>
    <x v="225"/>
    <n v="0"/>
    <n v="1638.6"/>
    <x v="2"/>
    <x v="0"/>
  </r>
  <r>
    <x v="0"/>
    <x v="61"/>
    <x v="8"/>
    <x v="226"/>
    <n v="0"/>
    <n v="138.6"/>
    <x v="2"/>
    <x v="0"/>
  </r>
  <r>
    <x v="0"/>
    <x v="62"/>
    <x v="8"/>
    <x v="227"/>
    <n v="0"/>
    <n v="99"/>
    <x v="2"/>
    <x v="0"/>
  </r>
  <r>
    <x v="0"/>
    <x v="62"/>
    <x v="8"/>
    <x v="228"/>
    <n v="0"/>
    <n v="2426.3000000000002"/>
    <x v="2"/>
    <x v="0"/>
  </r>
  <r>
    <x v="0"/>
    <x v="61"/>
    <x v="8"/>
    <x v="229"/>
    <n v="0"/>
    <n v="180"/>
    <x v="2"/>
    <x v="0"/>
  </r>
  <r>
    <x v="0"/>
    <x v="63"/>
    <x v="8"/>
    <x v="230"/>
    <n v="0"/>
    <n v="560.05999999999995"/>
    <x v="2"/>
    <x v="0"/>
  </r>
  <r>
    <x v="0"/>
    <x v="64"/>
    <x v="8"/>
    <x v="231"/>
    <n v="0"/>
    <n v="1206.92"/>
    <x v="2"/>
    <x v="0"/>
  </r>
  <r>
    <x v="0"/>
    <x v="64"/>
    <x v="8"/>
    <x v="232"/>
    <n v="0"/>
    <n v="1063.06"/>
    <x v="2"/>
    <x v="0"/>
  </r>
  <r>
    <x v="0"/>
    <x v="64"/>
    <x v="8"/>
    <x v="233"/>
    <n v="0"/>
    <n v="140.54"/>
    <x v="2"/>
    <x v="0"/>
  </r>
  <r>
    <x v="0"/>
    <x v="64"/>
    <x v="8"/>
    <x v="234"/>
    <n v="0"/>
    <n v="490.92"/>
    <x v="2"/>
    <x v="0"/>
  </r>
  <r>
    <x v="0"/>
    <x v="65"/>
    <x v="2"/>
    <x v="235"/>
    <n v="0"/>
    <n v="19100"/>
    <x v="2"/>
    <x v="0"/>
  </r>
  <r>
    <x v="0"/>
    <x v="65"/>
    <x v="3"/>
    <x v="236"/>
    <n v="0"/>
    <n v="15"/>
    <x v="2"/>
    <x v="0"/>
  </r>
  <r>
    <x v="0"/>
    <x v="65"/>
    <x v="4"/>
    <x v="237"/>
    <n v="0"/>
    <n v="1030.25"/>
    <x v="2"/>
    <x v="0"/>
  </r>
  <r>
    <x v="1"/>
    <x v="65"/>
    <x v="5"/>
    <x v="238"/>
    <n v="167265.75"/>
    <n v="0"/>
    <x v="2"/>
    <x v="0"/>
  </r>
  <r>
    <x v="1"/>
    <x v="65"/>
    <x v="9"/>
    <x v="239"/>
    <n v="6545.25"/>
    <n v="0"/>
    <x v="2"/>
    <x v="0"/>
  </r>
  <r>
    <x v="0"/>
    <x v="50"/>
    <x v="8"/>
    <x v="240"/>
    <n v="0"/>
    <n v="636.76"/>
    <x v="2"/>
    <x v="0"/>
  </r>
  <r>
    <x v="0"/>
    <x v="50"/>
    <x v="8"/>
    <x v="241"/>
    <n v="0"/>
    <n v="1054.1500000000001"/>
    <x v="2"/>
    <x v="0"/>
  </r>
  <r>
    <x v="0"/>
    <x v="66"/>
    <x v="8"/>
    <x v="242"/>
    <n v="0"/>
    <n v="1020"/>
    <x v="2"/>
    <x v="0"/>
  </r>
  <r>
    <x v="0"/>
    <x v="66"/>
    <x v="8"/>
    <x v="243"/>
    <n v="0"/>
    <n v="432"/>
    <x v="2"/>
    <x v="0"/>
  </r>
  <r>
    <x v="0"/>
    <x v="66"/>
    <x v="8"/>
    <x v="244"/>
    <n v="0"/>
    <n v="1302.46"/>
    <x v="2"/>
    <x v="0"/>
  </r>
  <r>
    <x v="0"/>
    <x v="50"/>
    <x v="8"/>
    <x v="245"/>
    <n v="0"/>
    <n v="348"/>
    <x v="2"/>
    <x v="0"/>
  </r>
  <r>
    <x v="0"/>
    <x v="66"/>
    <x v="8"/>
    <x v="246"/>
    <n v="0"/>
    <n v="2114.4"/>
    <x v="2"/>
    <x v="0"/>
  </r>
  <r>
    <x v="0"/>
    <x v="67"/>
    <x v="8"/>
    <x v="247"/>
    <n v="0"/>
    <n v="1898.21"/>
    <x v="2"/>
    <x v="0"/>
  </r>
  <r>
    <x v="0"/>
    <x v="66"/>
    <x v="8"/>
    <x v="248"/>
    <n v="0"/>
    <n v="1266.5"/>
    <x v="2"/>
    <x v="0"/>
  </r>
  <r>
    <x v="0"/>
    <x v="67"/>
    <x v="8"/>
    <x v="249"/>
    <n v="0"/>
    <n v="372.12"/>
    <x v="2"/>
    <x v="0"/>
  </r>
  <r>
    <x v="0"/>
    <x v="66"/>
    <x v="8"/>
    <x v="250"/>
    <n v="0"/>
    <n v="719"/>
    <x v="2"/>
    <x v="0"/>
  </r>
  <r>
    <x v="0"/>
    <x v="51"/>
    <x v="8"/>
    <x v="251"/>
    <n v="0"/>
    <n v="673.56"/>
    <x v="2"/>
    <x v="0"/>
  </r>
  <r>
    <x v="0"/>
    <x v="66"/>
    <x v="8"/>
    <x v="252"/>
    <n v="0"/>
    <n v="1256.99"/>
    <x v="2"/>
    <x v="0"/>
  </r>
  <r>
    <x v="0"/>
    <x v="51"/>
    <x v="8"/>
    <x v="253"/>
    <n v="0"/>
    <n v="5876.67"/>
    <x v="2"/>
    <x v="0"/>
  </r>
  <r>
    <x v="0"/>
    <x v="68"/>
    <x v="8"/>
    <x v="254"/>
    <n v="0"/>
    <n v="851.87"/>
    <x v="2"/>
    <x v="0"/>
  </r>
  <r>
    <x v="0"/>
    <x v="51"/>
    <x v="8"/>
    <x v="255"/>
    <n v="0"/>
    <n v="3064.06"/>
    <x v="2"/>
    <x v="0"/>
  </r>
  <r>
    <x v="0"/>
    <x v="52"/>
    <x v="8"/>
    <x v="256"/>
    <n v="0"/>
    <n v="110.77"/>
    <x v="2"/>
    <x v="0"/>
  </r>
  <r>
    <x v="0"/>
    <x v="52"/>
    <x v="8"/>
    <x v="257"/>
    <n v="0"/>
    <n v="295.60000000000002"/>
    <x v="2"/>
    <x v="0"/>
  </r>
  <r>
    <x v="0"/>
    <x v="54"/>
    <x v="8"/>
    <x v="258"/>
    <n v="0"/>
    <n v="176"/>
    <x v="2"/>
    <x v="0"/>
  </r>
  <r>
    <x v="0"/>
    <x v="54"/>
    <x v="8"/>
    <x v="259"/>
    <n v="0"/>
    <n v="1563.58"/>
    <x v="2"/>
    <x v="0"/>
  </r>
  <r>
    <x v="0"/>
    <x v="54"/>
    <x v="8"/>
    <x v="260"/>
    <n v="0"/>
    <n v="392.4"/>
    <x v="2"/>
    <x v="0"/>
  </r>
  <r>
    <x v="0"/>
    <x v="55"/>
    <x v="8"/>
    <x v="261"/>
    <n v="0"/>
    <n v="2323.1999999999998"/>
    <x v="2"/>
    <x v="0"/>
  </r>
  <r>
    <x v="0"/>
    <x v="54"/>
    <x v="8"/>
    <x v="262"/>
    <n v="0"/>
    <n v="252.3"/>
    <x v="2"/>
    <x v="0"/>
  </r>
  <r>
    <x v="0"/>
    <x v="54"/>
    <x v="8"/>
    <x v="263"/>
    <n v="0"/>
    <n v="290.85000000000002"/>
    <x v="2"/>
    <x v="0"/>
  </r>
  <r>
    <x v="0"/>
    <x v="54"/>
    <x v="8"/>
    <x v="264"/>
    <n v="0"/>
    <n v="124.8"/>
    <x v="2"/>
    <x v="0"/>
  </r>
  <r>
    <x v="0"/>
    <x v="55"/>
    <x v="8"/>
    <x v="265"/>
    <n v="0"/>
    <n v="384"/>
    <x v="2"/>
    <x v="0"/>
  </r>
  <r>
    <x v="0"/>
    <x v="69"/>
    <x v="8"/>
    <x v="266"/>
    <n v="0"/>
    <n v="125"/>
    <x v="2"/>
    <x v="0"/>
  </r>
  <r>
    <x v="0"/>
    <x v="56"/>
    <x v="8"/>
    <x v="267"/>
    <n v="0"/>
    <n v="400"/>
    <x v="2"/>
    <x v="0"/>
  </r>
  <r>
    <x v="0"/>
    <x v="56"/>
    <x v="8"/>
    <x v="268"/>
    <n v="0"/>
    <n v="118"/>
    <x v="2"/>
    <x v="0"/>
  </r>
  <r>
    <x v="0"/>
    <x v="56"/>
    <x v="8"/>
    <x v="269"/>
    <n v="0"/>
    <n v="372"/>
    <x v="2"/>
    <x v="0"/>
  </r>
  <r>
    <x v="0"/>
    <x v="56"/>
    <x v="8"/>
    <x v="270"/>
    <n v="0"/>
    <n v="175"/>
    <x v="2"/>
    <x v="0"/>
  </r>
  <r>
    <x v="0"/>
    <x v="56"/>
    <x v="8"/>
    <x v="271"/>
    <n v="0"/>
    <n v="125.6"/>
    <x v="2"/>
    <x v="0"/>
  </r>
  <r>
    <x v="0"/>
    <x v="70"/>
    <x v="8"/>
    <x v="272"/>
    <n v="0"/>
    <n v="1552.7"/>
    <x v="2"/>
    <x v="0"/>
  </r>
  <r>
    <x v="0"/>
    <x v="70"/>
    <x v="8"/>
    <x v="273"/>
    <n v="0"/>
    <n v="504"/>
    <x v="2"/>
    <x v="0"/>
  </r>
  <r>
    <x v="0"/>
    <x v="70"/>
    <x v="8"/>
    <x v="274"/>
    <n v="0"/>
    <n v="845"/>
    <x v="2"/>
    <x v="0"/>
  </r>
  <r>
    <x v="0"/>
    <x v="58"/>
    <x v="8"/>
    <x v="275"/>
    <n v="0"/>
    <n v="445.75"/>
    <x v="2"/>
    <x v="0"/>
  </r>
  <r>
    <x v="0"/>
    <x v="70"/>
    <x v="8"/>
    <x v="276"/>
    <n v="0"/>
    <n v="6674.33"/>
    <x v="2"/>
    <x v="0"/>
  </r>
  <r>
    <x v="0"/>
    <x v="70"/>
    <x v="8"/>
    <x v="277"/>
    <n v="0"/>
    <n v="632.11"/>
    <x v="2"/>
    <x v="0"/>
  </r>
  <r>
    <x v="0"/>
    <x v="71"/>
    <x v="8"/>
    <x v="278"/>
    <n v="0"/>
    <n v="1506.3"/>
    <x v="2"/>
    <x v="0"/>
  </r>
  <r>
    <x v="0"/>
    <x v="70"/>
    <x v="8"/>
    <x v="279"/>
    <n v="0"/>
    <n v="1320.8"/>
    <x v="2"/>
    <x v="0"/>
  </r>
  <r>
    <x v="0"/>
    <x v="58"/>
    <x v="8"/>
    <x v="280"/>
    <n v="0"/>
    <n v="1266.6500000000001"/>
    <x v="2"/>
    <x v="0"/>
  </r>
  <r>
    <x v="0"/>
    <x v="70"/>
    <x v="8"/>
    <x v="281"/>
    <n v="0"/>
    <n v="256.3"/>
    <x v="2"/>
    <x v="0"/>
  </r>
  <r>
    <x v="0"/>
    <x v="70"/>
    <x v="8"/>
    <x v="282"/>
    <n v="0"/>
    <n v="1321.75"/>
    <x v="2"/>
    <x v="0"/>
  </r>
  <r>
    <x v="0"/>
    <x v="71"/>
    <x v="8"/>
    <x v="283"/>
    <n v="0"/>
    <n v="438.82"/>
    <x v="2"/>
    <x v="0"/>
  </r>
  <r>
    <x v="0"/>
    <x v="69"/>
    <x v="8"/>
    <x v="284"/>
    <n v="0"/>
    <n v="864.38"/>
    <x v="2"/>
    <x v="0"/>
  </r>
  <r>
    <x v="0"/>
    <x v="70"/>
    <x v="8"/>
    <x v="285"/>
    <n v="0"/>
    <n v="1957.93"/>
    <x v="2"/>
    <x v="0"/>
  </r>
  <r>
    <x v="0"/>
    <x v="72"/>
    <x v="8"/>
    <x v="286"/>
    <n v="0"/>
    <n v="638.1"/>
    <x v="2"/>
    <x v="0"/>
  </r>
  <r>
    <x v="0"/>
    <x v="59"/>
    <x v="8"/>
    <x v="287"/>
    <n v="0"/>
    <n v="1006.85"/>
    <x v="2"/>
    <x v="0"/>
  </r>
  <r>
    <x v="0"/>
    <x v="59"/>
    <x v="8"/>
    <x v="288"/>
    <n v="0"/>
    <n v="1573.71"/>
    <x v="2"/>
    <x v="0"/>
  </r>
  <r>
    <x v="0"/>
    <x v="59"/>
    <x v="8"/>
    <x v="289"/>
    <n v="0"/>
    <n v="2598.9699999999998"/>
    <x v="2"/>
    <x v="0"/>
  </r>
  <r>
    <x v="0"/>
    <x v="72"/>
    <x v="8"/>
    <x v="290"/>
    <n v="0"/>
    <n v="1585.64"/>
    <x v="2"/>
    <x v="0"/>
  </r>
  <r>
    <x v="0"/>
    <x v="60"/>
    <x v="8"/>
    <x v="291"/>
    <n v="0"/>
    <n v="549.36"/>
    <x v="2"/>
    <x v="0"/>
  </r>
  <r>
    <x v="0"/>
    <x v="60"/>
    <x v="8"/>
    <x v="292"/>
    <n v="0"/>
    <n v="3917.66"/>
    <x v="2"/>
    <x v="0"/>
  </r>
  <r>
    <x v="0"/>
    <x v="60"/>
    <x v="8"/>
    <x v="293"/>
    <n v="0"/>
    <n v="2986.14"/>
    <x v="2"/>
    <x v="0"/>
  </r>
  <r>
    <x v="0"/>
    <x v="73"/>
    <x v="8"/>
    <x v="294"/>
    <n v="0"/>
    <n v="48.81"/>
    <x v="2"/>
    <x v="0"/>
  </r>
  <r>
    <x v="0"/>
    <x v="73"/>
    <x v="8"/>
    <x v="295"/>
    <n v="0"/>
    <n v="1274.0899999999999"/>
    <x v="2"/>
    <x v="0"/>
  </r>
  <r>
    <x v="0"/>
    <x v="61"/>
    <x v="8"/>
    <x v="296"/>
    <n v="0"/>
    <n v="2997"/>
    <x v="2"/>
    <x v="0"/>
  </r>
  <r>
    <x v="0"/>
    <x v="73"/>
    <x v="8"/>
    <x v="297"/>
    <n v="0"/>
    <n v="694.9"/>
    <x v="2"/>
    <x v="0"/>
  </r>
  <r>
    <x v="0"/>
    <x v="73"/>
    <x v="8"/>
    <x v="298"/>
    <n v="0"/>
    <n v="2402.42"/>
    <x v="2"/>
    <x v="0"/>
  </r>
  <r>
    <x v="0"/>
    <x v="61"/>
    <x v="8"/>
    <x v="299"/>
    <n v="0"/>
    <n v="1303.92"/>
    <x v="2"/>
    <x v="0"/>
  </r>
  <r>
    <x v="0"/>
    <x v="62"/>
    <x v="8"/>
    <x v="300"/>
    <n v="0"/>
    <n v="269.76"/>
    <x v="2"/>
    <x v="0"/>
  </r>
  <r>
    <x v="0"/>
    <x v="62"/>
    <x v="8"/>
    <x v="301"/>
    <n v="0"/>
    <n v="305"/>
    <x v="2"/>
    <x v="0"/>
  </r>
  <r>
    <x v="0"/>
    <x v="62"/>
    <x v="8"/>
    <x v="302"/>
    <n v="0"/>
    <n v="400"/>
    <x v="2"/>
    <x v="0"/>
  </r>
  <r>
    <x v="0"/>
    <x v="73"/>
    <x v="8"/>
    <x v="303"/>
    <n v="0"/>
    <n v="407.1"/>
    <x v="2"/>
    <x v="0"/>
  </r>
  <r>
    <x v="0"/>
    <x v="73"/>
    <x v="8"/>
    <x v="304"/>
    <n v="0"/>
    <n v="4334.76"/>
    <x v="2"/>
    <x v="0"/>
  </r>
  <r>
    <x v="0"/>
    <x v="61"/>
    <x v="8"/>
    <x v="305"/>
    <n v="0"/>
    <n v="1591"/>
    <x v="2"/>
    <x v="0"/>
  </r>
  <r>
    <x v="0"/>
    <x v="73"/>
    <x v="8"/>
    <x v="306"/>
    <n v="0"/>
    <n v="387.3"/>
    <x v="2"/>
    <x v="0"/>
  </r>
  <r>
    <x v="0"/>
    <x v="62"/>
    <x v="8"/>
    <x v="307"/>
    <n v="0"/>
    <n v="2572.5"/>
    <x v="2"/>
    <x v="0"/>
  </r>
  <r>
    <x v="0"/>
    <x v="74"/>
    <x v="8"/>
    <x v="308"/>
    <n v="0"/>
    <n v="359.08"/>
    <x v="2"/>
    <x v="0"/>
  </r>
  <r>
    <x v="0"/>
    <x v="75"/>
    <x v="8"/>
    <x v="309"/>
    <n v="0"/>
    <n v="2894.29"/>
    <x v="2"/>
    <x v="0"/>
  </r>
  <r>
    <x v="0"/>
    <x v="76"/>
    <x v="8"/>
    <x v="310"/>
    <n v="0"/>
    <n v="724.93"/>
    <x v="2"/>
    <x v="0"/>
  </r>
  <r>
    <x v="0"/>
    <x v="76"/>
    <x v="8"/>
    <x v="311"/>
    <n v="0"/>
    <n v="222"/>
    <x v="2"/>
    <x v="0"/>
  </r>
  <r>
    <x v="0"/>
    <x v="76"/>
    <x v="8"/>
    <x v="312"/>
    <n v="0"/>
    <n v="1255.1600000000001"/>
    <x v="2"/>
    <x v="0"/>
  </r>
  <r>
    <x v="0"/>
    <x v="65"/>
    <x v="8"/>
    <x v="313"/>
    <n v="0"/>
    <n v="140"/>
    <x v="2"/>
    <x v="0"/>
  </r>
  <r>
    <x v="0"/>
    <x v="65"/>
    <x v="8"/>
    <x v="314"/>
    <n v="0"/>
    <n v="3153.19"/>
    <x v="2"/>
    <x v="0"/>
  </r>
  <r>
    <x v="0"/>
    <x v="65"/>
    <x v="8"/>
    <x v="315"/>
    <n v="0"/>
    <n v="143.25"/>
    <x v="2"/>
    <x v="0"/>
  </r>
  <r>
    <x v="0"/>
    <x v="65"/>
    <x v="8"/>
    <x v="316"/>
    <n v="0"/>
    <n v="244.8"/>
    <x v="2"/>
    <x v="0"/>
  </r>
  <r>
    <x v="0"/>
    <x v="65"/>
    <x v="8"/>
    <x v="317"/>
    <n v="0"/>
    <n v="305"/>
    <x v="2"/>
    <x v="0"/>
  </r>
  <r>
    <x v="0"/>
    <x v="76"/>
    <x v="8"/>
    <x v="318"/>
    <n v="0"/>
    <n v="1350.2"/>
    <x v="2"/>
    <x v="0"/>
  </r>
  <r>
    <x v="0"/>
    <x v="65"/>
    <x v="8"/>
    <x v="319"/>
    <n v="0"/>
    <n v="4750"/>
    <x v="2"/>
    <x v="0"/>
  </r>
  <r>
    <x v="0"/>
    <x v="65"/>
    <x v="6"/>
    <x v="320"/>
    <n v="0"/>
    <n v="5799"/>
    <x v="2"/>
    <x v="0"/>
  </r>
  <r>
    <x v="0"/>
    <x v="65"/>
    <x v="4"/>
    <x v="321"/>
    <n v="0"/>
    <n v="102"/>
    <x v="2"/>
    <x v="0"/>
  </r>
  <r>
    <x v="0"/>
    <x v="77"/>
    <x v="8"/>
    <x v="322"/>
    <n v="0"/>
    <n v="2880.2"/>
    <x v="3"/>
    <x v="0"/>
  </r>
  <r>
    <x v="0"/>
    <x v="77"/>
    <x v="8"/>
    <x v="323"/>
    <n v="0"/>
    <n v="467.21"/>
    <x v="3"/>
    <x v="0"/>
  </r>
  <r>
    <x v="0"/>
    <x v="78"/>
    <x v="8"/>
    <x v="324"/>
    <n v="0"/>
    <n v="1509"/>
    <x v="3"/>
    <x v="0"/>
  </r>
  <r>
    <x v="0"/>
    <x v="78"/>
    <x v="8"/>
    <x v="325"/>
    <n v="0"/>
    <n v="630.03"/>
    <x v="3"/>
    <x v="0"/>
  </r>
  <r>
    <x v="0"/>
    <x v="78"/>
    <x v="8"/>
    <x v="326"/>
    <n v="0"/>
    <n v="1107.54"/>
    <x v="3"/>
    <x v="0"/>
  </r>
  <r>
    <x v="0"/>
    <x v="78"/>
    <x v="8"/>
    <x v="327"/>
    <n v="0"/>
    <n v="282"/>
    <x v="3"/>
    <x v="0"/>
  </r>
  <r>
    <x v="0"/>
    <x v="78"/>
    <x v="8"/>
    <x v="328"/>
    <n v="0"/>
    <n v="1181.5999999999999"/>
    <x v="3"/>
    <x v="0"/>
  </r>
  <r>
    <x v="0"/>
    <x v="79"/>
    <x v="8"/>
    <x v="329"/>
    <n v="0"/>
    <n v="2739.9"/>
    <x v="3"/>
    <x v="0"/>
  </r>
  <r>
    <x v="0"/>
    <x v="80"/>
    <x v="8"/>
    <x v="330"/>
    <n v="0"/>
    <n v="126"/>
    <x v="3"/>
    <x v="0"/>
  </r>
  <r>
    <x v="0"/>
    <x v="80"/>
    <x v="8"/>
    <x v="331"/>
    <n v="0"/>
    <n v="72"/>
    <x v="3"/>
    <x v="0"/>
  </r>
  <r>
    <x v="0"/>
    <x v="80"/>
    <x v="8"/>
    <x v="332"/>
    <n v="0"/>
    <n v="102"/>
    <x v="3"/>
    <x v="0"/>
  </r>
  <r>
    <x v="0"/>
    <x v="81"/>
    <x v="8"/>
    <x v="333"/>
    <n v="0"/>
    <n v="2599.58"/>
    <x v="3"/>
    <x v="0"/>
  </r>
  <r>
    <x v="0"/>
    <x v="81"/>
    <x v="8"/>
    <x v="334"/>
    <n v="0"/>
    <n v="686.7"/>
    <x v="3"/>
    <x v="0"/>
  </r>
  <r>
    <x v="0"/>
    <x v="82"/>
    <x v="8"/>
    <x v="335"/>
    <n v="0"/>
    <n v="1178.06"/>
    <x v="3"/>
    <x v="0"/>
  </r>
  <r>
    <x v="0"/>
    <x v="83"/>
    <x v="8"/>
    <x v="336"/>
    <n v="0"/>
    <n v="204"/>
    <x v="3"/>
    <x v="0"/>
  </r>
  <r>
    <x v="0"/>
    <x v="84"/>
    <x v="8"/>
    <x v="337"/>
    <n v="0"/>
    <n v="840.6"/>
    <x v="3"/>
    <x v="0"/>
  </r>
  <r>
    <x v="0"/>
    <x v="85"/>
    <x v="8"/>
    <x v="338"/>
    <n v="0"/>
    <n v="252"/>
    <x v="3"/>
    <x v="0"/>
  </r>
  <r>
    <x v="0"/>
    <x v="86"/>
    <x v="8"/>
    <x v="339"/>
    <n v="0"/>
    <n v="526.76"/>
    <x v="3"/>
    <x v="0"/>
  </r>
  <r>
    <x v="0"/>
    <x v="87"/>
    <x v="8"/>
    <x v="340"/>
    <n v="0"/>
    <n v="405.71"/>
    <x v="3"/>
    <x v="0"/>
  </r>
  <r>
    <x v="0"/>
    <x v="87"/>
    <x v="8"/>
    <x v="341"/>
    <n v="0"/>
    <n v="1763.58"/>
    <x v="3"/>
    <x v="0"/>
  </r>
  <r>
    <x v="0"/>
    <x v="88"/>
    <x v="8"/>
    <x v="342"/>
    <n v="0"/>
    <n v="253.48"/>
    <x v="3"/>
    <x v="0"/>
  </r>
  <r>
    <x v="0"/>
    <x v="89"/>
    <x v="8"/>
    <x v="343"/>
    <n v="0"/>
    <n v="504"/>
    <x v="3"/>
    <x v="0"/>
  </r>
  <r>
    <x v="0"/>
    <x v="89"/>
    <x v="8"/>
    <x v="344"/>
    <n v="0"/>
    <n v="5"/>
    <x v="3"/>
    <x v="0"/>
  </r>
  <r>
    <x v="0"/>
    <x v="89"/>
    <x v="8"/>
    <x v="345"/>
    <n v="0"/>
    <n v="378"/>
    <x v="3"/>
    <x v="0"/>
  </r>
  <r>
    <x v="0"/>
    <x v="90"/>
    <x v="8"/>
    <x v="346"/>
    <n v="0"/>
    <n v="942.4"/>
    <x v="3"/>
    <x v="0"/>
  </r>
  <r>
    <x v="0"/>
    <x v="90"/>
    <x v="8"/>
    <x v="347"/>
    <n v="0"/>
    <n v="672"/>
    <x v="3"/>
    <x v="0"/>
  </r>
  <r>
    <x v="0"/>
    <x v="91"/>
    <x v="8"/>
    <x v="348"/>
    <n v="0"/>
    <n v="2211.1999999999998"/>
    <x v="3"/>
    <x v="0"/>
  </r>
  <r>
    <x v="0"/>
    <x v="91"/>
    <x v="8"/>
    <x v="349"/>
    <n v="0"/>
    <n v="574.08000000000004"/>
    <x v="3"/>
    <x v="0"/>
  </r>
  <r>
    <x v="0"/>
    <x v="91"/>
    <x v="8"/>
    <x v="350"/>
    <n v="0"/>
    <n v="813.67"/>
    <x v="3"/>
    <x v="0"/>
  </r>
  <r>
    <x v="0"/>
    <x v="90"/>
    <x v="8"/>
    <x v="351"/>
    <n v="0"/>
    <n v="551.84"/>
    <x v="3"/>
    <x v="0"/>
  </r>
  <r>
    <x v="0"/>
    <x v="92"/>
    <x v="4"/>
    <x v="352"/>
    <n v="0"/>
    <n v="972.75"/>
    <x v="3"/>
    <x v="0"/>
  </r>
  <r>
    <x v="1"/>
    <x v="92"/>
    <x v="5"/>
    <x v="353"/>
    <n v="177442"/>
    <n v="0"/>
    <x v="3"/>
    <x v="0"/>
  </r>
  <r>
    <x v="1"/>
    <x v="92"/>
    <x v="9"/>
    <x v="354"/>
    <n v="11687.75"/>
    <n v="0"/>
    <x v="3"/>
    <x v="0"/>
  </r>
  <r>
    <x v="0"/>
    <x v="93"/>
    <x v="4"/>
    <x v="355"/>
    <n v="0"/>
    <n v="55.05"/>
    <x v="3"/>
    <x v="0"/>
  </r>
  <r>
    <x v="0"/>
    <x v="87"/>
    <x v="6"/>
    <x v="356"/>
    <n v="0"/>
    <n v="5997"/>
    <x v="3"/>
    <x v="0"/>
  </r>
  <r>
    <x v="0"/>
    <x v="94"/>
    <x v="8"/>
    <x v="357"/>
    <n v="0"/>
    <n v="996.11"/>
    <x v="3"/>
    <x v="0"/>
  </r>
  <r>
    <x v="0"/>
    <x v="94"/>
    <x v="8"/>
    <x v="358"/>
    <n v="0"/>
    <n v="445.49"/>
    <x v="3"/>
    <x v="0"/>
  </r>
  <r>
    <x v="0"/>
    <x v="94"/>
    <x v="8"/>
    <x v="359"/>
    <n v="0"/>
    <n v="2790.3"/>
    <x v="3"/>
    <x v="0"/>
  </r>
  <r>
    <x v="0"/>
    <x v="94"/>
    <x v="8"/>
    <x v="360"/>
    <n v="0"/>
    <n v="2104.86"/>
    <x v="3"/>
    <x v="0"/>
  </r>
  <r>
    <x v="0"/>
    <x v="94"/>
    <x v="8"/>
    <x v="361"/>
    <n v="0"/>
    <n v="5113.04"/>
    <x v="3"/>
    <x v="0"/>
  </r>
  <r>
    <x v="0"/>
    <x v="83"/>
    <x v="8"/>
    <x v="362"/>
    <n v="0"/>
    <n v="1194.2"/>
    <x v="3"/>
    <x v="0"/>
  </r>
  <r>
    <x v="0"/>
    <x v="83"/>
    <x v="8"/>
    <x v="363"/>
    <n v="0"/>
    <n v="2328.36"/>
    <x v="3"/>
    <x v="0"/>
  </r>
  <r>
    <x v="0"/>
    <x v="95"/>
    <x v="8"/>
    <x v="364"/>
    <n v="0"/>
    <n v="275.60000000000002"/>
    <x v="3"/>
    <x v="0"/>
  </r>
  <r>
    <x v="0"/>
    <x v="83"/>
    <x v="8"/>
    <x v="365"/>
    <n v="0"/>
    <n v="6161.5"/>
    <x v="3"/>
    <x v="0"/>
  </r>
  <r>
    <x v="0"/>
    <x v="78"/>
    <x v="8"/>
    <x v="366"/>
    <n v="0"/>
    <n v="81"/>
    <x v="3"/>
    <x v="0"/>
  </r>
  <r>
    <x v="0"/>
    <x v="96"/>
    <x v="8"/>
    <x v="367"/>
    <n v="0"/>
    <n v="291.2"/>
    <x v="3"/>
    <x v="0"/>
  </r>
  <r>
    <x v="0"/>
    <x v="94"/>
    <x v="8"/>
    <x v="368"/>
    <n v="0"/>
    <n v="4527.82"/>
    <x v="3"/>
    <x v="0"/>
  </r>
  <r>
    <x v="0"/>
    <x v="96"/>
    <x v="8"/>
    <x v="369"/>
    <n v="0"/>
    <n v="705.69"/>
    <x v="3"/>
    <x v="0"/>
  </r>
  <r>
    <x v="0"/>
    <x v="78"/>
    <x v="8"/>
    <x v="370"/>
    <n v="0"/>
    <n v="1795.5"/>
    <x v="3"/>
    <x v="0"/>
  </r>
  <r>
    <x v="0"/>
    <x v="96"/>
    <x v="8"/>
    <x v="371"/>
    <n v="0"/>
    <n v="719.25"/>
    <x v="3"/>
    <x v="0"/>
  </r>
  <r>
    <x v="0"/>
    <x v="79"/>
    <x v="8"/>
    <x v="372"/>
    <n v="0"/>
    <n v="61.2"/>
    <x v="3"/>
    <x v="0"/>
  </r>
  <r>
    <x v="0"/>
    <x v="96"/>
    <x v="8"/>
    <x v="373"/>
    <n v="0"/>
    <n v="458.16"/>
    <x v="3"/>
    <x v="0"/>
  </r>
  <r>
    <x v="0"/>
    <x v="96"/>
    <x v="8"/>
    <x v="374"/>
    <n v="0"/>
    <n v="1392.23"/>
    <x v="3"/>
    <x v="0"/>
  </r>
  <r>
    <x v="0"/>
    <x v="96"/>
    <x v="8"/>
    <x v="375"/>
    <n v="0"/>
    <n v="106.95"/>
    <x v="3"/>
    <x v="0"/>
  </r>
  <r>
    <x v="0"/>
    <x v="79"/>
    <x v="8"/>
    <x v="376"/>
    <n v="0"/>
    <n v="330"/>
    <x v="3"/>
    <x v="0"/>
  </r>
  <r>
    <x v="0"/>
    <x v="96"/>
    <x v="8"/>
    <x v="377"/>
    <n v="0"/>
    <n v="1286.49"/>
    <x v="3"/>
    <x v="0"/>
  </r>
  <r>
    <x v="0"/>
    <x v="79"/>
    <x v="8"/>
    <x v="378"/>
    <n v="0"/>
    <n v="628.26"/>
    <x v="3"/>
    <x v="0"/>
  </r>
  <r>
    <x v="0"/>
    <x v="79"/>
    <x v="8"/>
    <x v="379"/>
    <n v="0"/>
    <n v="393.25"/>
    <x v="3"/>
    <x v="0"/>
  </r>
  <r>
    <x v="0"/>
    <x v="80"/>
    <x v="8"/>
    <x v="380"/>
    <n v="0"/>
    <n v="356.98"/>
    <x v="3"/>
    <x v="0"/>
  </r>
  <r>
    <x v="0"/>
    <x v="93"/>
    <x v="8"/>
    <x v="381"/>
    <n v="0"/>
    <n v="1356"/>
    <x v="3"/>
    <x v="0"/>
  </r>
  <r>
    <x v="0"/>
    <x v="80"/>
    <x v="8"/>
    <x v="382"/>
    <n v="0"/>
    <n v="56"/>
    <x v="3"/>
    <x v="0"/>
  </r>
  <r>
    <x v="0"/>
    <x v="97"/>
    <x v="8"/>
    <x v="383"/>
    <n v="0"/>
    <n v="2038.4"/>
    <x v="3"/>
    <x v="0"/>
  </r>
  <r>
    <x v="0"/>
    <x v="81"/>
    <x v="8"/>
    <x v="384"/>
    <n v="0"/>
    <n v="2234.4899999999998"/>
    <x v="3"/>
    <x v="0"/>
  </r>
  <r>
    <x v="0"/>
    <x v="81"/>
    <x v="8"/>
    <x v="385"/>
    <n v="0"/>
    <n v="658.5"/>
    <x v="3"/>
    <x v="0"/>
  </r>
  <r>
    <x v="0"/>
    <x v="82"/>
    <x v="8"/>
    <x v="386"/>
    <n v="0"/>
    <n v="2231"/>
    <x v="3"/>
    <x v="0"/>
  </r>
  <r>
    <x v="0"/>
    <x v="82"/>
    <x v="8"/>
    <x v="387"/>
    <n v="0"/>
    <n v="1063"/>
    <x v="3"/>
    <x v="0"/>
  </r>
  <r>
    <x v="0"/>
    <x v="82"/>
    <x v="8"/>
    <x v="388"/>
    <n v="0"/>
    <n v="1276"/>
    <x v="3"/>
    <x v="0"/>
  </r>
  <r>
    <x v="0"/>
    <x v="81"/>
    <x v="8"/>
    <x v="389"/>
    <n v="0"/>
    <n v="1251.52"/>
    <x v="3"/>
    <x v="0"/>
  </r>
  <r>
    <x v="0"/>
    <x v="85"/>
    <x v="8"/>
    <x v="390"/>
    <n v="0"/>
    <n v="290.56"/>
    <x v="3"/>
    <x v="0"/>
  </r>
  <r>
    <x v="0"/>
    <x v="85"/>
    <x v="8"/>
    <x v="391"/>
    <n v="0"/>
    <n v="2506.6999999999998"/>
    <x v="3"/>
    <x v="0"/>
  </r>
  <r>
    <x v="0"/>
    <x v="82"/>
    <x v="8"/>
    <x v="392"/>
    <n v="0"/>
    <n v="3328.41"/>
    <x v="3"/>
    <x v="0"/>
  </r>
  <r>
    <x v="0"/>
    <x v="85"/>
    <x v="8"/>
    <x v="393"/>
    <n v="0"/>
    <n v="1393.39"/>
    <x v="3"/>
    <x v="0"/>
  </r>
  <r>
    <x v="0"/>
    <x v="85"/>
    <x v="8"/>
    <x v="394"/>
    <n v="0"/>
    <n v="438.04"/>
    <x v="3"/>
    <x v="0"/>
  </r>
  <r>
    <x v="0"/>
    <x v="84"/>
    <x v="8"/>
    <x v="395"/>
    <n v="0"/>
    <n v="148"/>
    <x v="3"/>
    <x v="0"/>
  </r>
  <r>
    <x v="0"/>
    <x v="86"/>
    <x v="8"/>
    <x v="396"/>
    <n v="0"/>
    <n v="47.4"/>
    <x v="3"/>
    <x v="0"/>
  </r>
  <r>
    <x v="0"/>
    <x v="86"/>
    <x v="8"/>
    <x v="397"/>
    <n v="0"/>
    <n v="4454.4799999999996"/>
    <x v="3"/>
    <x v="0"/>
  </r>
  <r>
    <x v="0"/>
    <x v="87"/>
    <x v="8"/>
    <x v="398"/>
    <n v="0"/>
    <n v="1421.22"/>
    <x v="3"/>
    <x v="0"/>
  </r>
  <r>
    <x v="0"/>
    <x v="87"/>
    <x v="8"/>
    <x v="399"/>
    <n v="0"/>
    <n v="2181.85"/>
    <x v="3"/>
    <x v="0"/>
  </r>
  <r>
    <x v="0"/>
    <x v="86"/>
    <x v="8"/>
    <x v="400"/>
    <n v="0"/>
    <n v="1532.66"/>
    <x v="3"/>
    <x v="0"/>
  </r>
  <r>
    <x v="0"/>
    <x v="86"/>
    <x v="8"/>
    <x v="401"/>
    <n v="0"/>
    <n v="330"/>
    <x v="3"/>
    <x v="0"/>
  </r>
  <r>
    <x v="0"/>
    <x v="85"/>
    <x v="8"/>
    <x v="402"/>
    <n v="0"/>
    <n v="1206.5899999999999"/>
    <x v="3"/>
    <x v="0"/>
  </r>
  <r>
    <x v="0"/>
    <x v="85"/>
    <x v="8"/>
    <x v="403"/>
    <n v="0"/>
    <n v="1737.18"/>
    <x v="3"/>
    <x v="0"/>
  </r>
  <r>
    <x v="0"/>
    <x v="88"/>
    <x v="8"/>
    <x v="404"/>
    <n v="0"/>
    <n v="1189.31"/>
    <x v="3"/>
    <x v="0"/>
  </r>
  <r>
    <x v="0"/>
    <x v="88"/>
    <x v="8"/>
    <x v="405"/>
    <n v="0"/>
    <n v="552.47"/>
    <x v="3"/>
    <x v="0"/>
  </r>
  <r>
    <x v="0"/>
    <x v="89"/>
    <x v="8"/>
    <x v="406"/>
    <n v="0"/>
    <n v="672.95"/>
    <x v="3"/>
    <x v="0"/>
  </r>
  <r>
    <x v="0"/>
    <x v="88"/>
    <x v="8"/>
    <x v="407"/>
    <n v="0"/>
    <n v="1844.3"/>
    <x v="3"/>
    <x v="0"/>
  </r>
  <r>
    <x v="0"/>
    <x v="88"/>
    <x v="8"/>
    <x v="408"/>
    <n v="0"/>
    <n v="1010.86"/>
    <x v="3"/>
    <x v="0"/>
  </r>
  <r>
    <x v="0"/>
    <x v="89"/>
    <x v="8"/>
    <x v="409"/>
    <n v="0"/>
    <n v="290"/>
    <x v="3"/>
    <x v="0"/>
  </r>
  <r>
    <x v="0"/>
    <x v="89"/>
    <x v="8"/>
    <x v="410"/>
    <n v="0"/>
    <n v="907.83"/>
    <x v="3"/>
    <x v="0"/>
  </r>
  <r>
    <x v="0"/>
    <x v="89"/>
    <x v="8"/>
    <x v="411"/>
    <n v="0"/>
    <n v="1694.84"/>
    <x v="3"/>
    <x v="0"/>
  </r>
  <r>
    <x v="0"/>
    <x v="88"/>
    <x v="8"/>
    <x v="412"/>
    <n v="0"/>
    <n v="868.62"/>
    <x v="3"/>
    <x v="0"/>
  </r>
  <r>
    <x v="0"/>
    <x v="89"/>
    <x v="8"/>
    <x v="413"/>
    <n v="0"/>
    <n v="1735.04"/>
    <x v="3"/>
    <x v="0"/>
  </r>
  <r>
    <x v="0"/>
    <x v="98"/>
    <x v="8"/>
    <x v="414"/>
    <n v="0"/>
    <n v="160"/>
    <x v="3"/>
    <x v="0"/>
  </r>
  <r>
    <x v="0"/>
    <x v="98"/>
    <x v="8"/>
    <x v="415"/>
    <n v="0"/>
    <n v="3264.11"/>
    <x v="3"/>
    <x v="0"/>
  </r>
  <r>
    <x v="0"/>
    <x v="99"/>
    <x v="8"/>
    <x v="416"/>
    <n v="0"/>
    <n v="3712.23"/>
    <x v="3"/>
    <x v="0"/>
  </r>
  <r>
    <x v="0"/>
    <x v="99"/>
    <x v="8"/>
    <x v="417"/>
    <n v="0"/>
    <n v="1905"/>
    <x v="3"/>
    <x v="0"/>
  </r>
  <r>
    <x v="0"/>
    <x v="99"/>
    <x v="8"/>
    <x v="418"/>
    <n v="0"/>
    <n v="248"/>
    <x v="3"/>
    <x v="0"/>
  </r>
  <r>
    <x v="0"/>
    <x v="91"/>
    <x v="8"/>
    <x v="419"/>
    <n v="0"/>
    <n v="2556"/>
    <x v="3"/>
    <x v="0"/>
  </r>
  <r>
    <x v="0"/>
    <x v="91"/>
    <x v="8"/>
    <x v="420"/>
    <n v="0"/>
    <n v="600"/>
    <x v="3"/>
    <x v="0"/>
  </r>
  <r>
    <x v="0"/>
    <x v="100"/>
    <x v="8"/>
    <x v="421"/>
    <n v="0"/>
    <n v="3450.39"/>
    <x v="3"/>
    <x v="0"/>
  </r>
  <r>
    <x v="0"/>
    <x v="91"/>
    <x v="8"/>
    <x v="422"/>
    <n v="0"/>
    <n v="1280"/>
    <x v="3"/>
    <x v="0"/>
  </r>
  <r>
    <x v="0"/>
    <x v="100"/>
    <x v="8"/>
    <x v="423"/>
    <n v="0"/>
    <n v="3046.26"/>
    <x v="3"/>
    <x v="0"/>
  </r>
  <r>
    <x v="0"/>
    <x v="100"/>
    <x v="8"/>
    <x v="424"/>
    <n v="0"/>
    <n v="292.11"/>
    <x v="3"/>
    <x v="0"/>
  </r>
  <r>
    <x v="0"/>
    <x v="100"/>
    <x v="8"/>
    <x v="425"/>
    <n v="0"/>
    <n v="2346.2399999999998"/>
    <x v="3"/>
    <x v="0"/>
  </r>
  <r>
    <x v="0"/>
    <x v="100"/>
    <x v="8"/>
    <x v="426"/>
    <n v="0"/>
    <n v="1773.78"/>
    <x v="3"/>
    <x v="0"/>
  </r>
  <r>
    <x v="0"/>
    <x v="90"/>
    <x v="8"/>
    <x v="427"/>
    <n v="0"/>
    <n v="2117.0500000000002"/>
    <x v="3"/>
    <x v="0"/>
  </r>
  <r>
    <x v="0"/>
    <x v="101"/>
    <x v="8"/>
    <x v="428"/>
    <n v="0"/>
    <n v="1293.51"/>
    <x v="3"/>
    <x v="0"/>
  </r>
  <r>
    <x v="0"/>
    <x v="89"/>
    <x v="8"/>
    <x v="429"/>
    <n v="0"/>
    <n v="5133.5"/>
    <x v="3"/>
    <x v="0"/>
  </r>
  <r>
    <x v="0"/>
    <x v="101"/>
    <x v="8"/>
    <x v="430"/>
    <n v="0"/>
    <n v="325"/>
    <x v="3"/>
    <x v="0"/>
  </r>
  <r>
    <x v="0"/>
    <x v="101"/>
    <x v="8"/>
    <x v="431"/>
    <n v="0"/>
    <n v="10880"/>
    <x v="3"/>
    <x v="0"/>
  </r>
  <r>
    <x v="0"/>
    <x v="100"/>
    <x v="8"/>
    <x v="432"/>
    <n v="0"/>
    <n v="287.04000000000002"/>
    <x v="3"/>
    <x v="0"/>
  </r>
  <r>
    <x v="0"/>
    <x v="102"/>
    <x v="8"/>
    <x v="433"/>
    <n v="0"/>
    <n v="2890.24"/>
    <x v="3"/>
    <x v="0"/>
  </r>
  <r>
    <x v="0"/>
    <x v="100"/>
    <x v="8"/>
    <x v="434"/>
    <n v="0"/>
    <n v="2175.66"/>
    <x v="3"/>
    <x v="0"/>
  </r>
  <r>
    <x v="0"/>
    <x v="101"/>
    <x v="8"/>
    <x v="435"/>
    <n v="0"/>
    <n v="878.97"/>
    <x v="3"/>
    <x v="0"/>
  </r>
  <r>
    <x v="0"/>
    <x v="102"/>
    <x v="8"/>
    <x v="436"/>
    <n v="0"/>
    <n v="5725.07"/>
    <x v="3"/>
    <x v="0"/>
  </r>
  <r>
    <x v="0"/>
    <x v="92"/>
    <x v="8"/>
    <x v="437"/>
    <n v="0"/>
    <n v="1879.72"/>
    <x v="3"/>
    <x v="0"/>
  </r>
  <r>
    <x v="0"/>
    <x v="79"/>
    <x v="8"/>
    <x v="438"/>
    <n v="0"/>
    <n v="168"/>
    <x v="3"/>
    <x v="0"/>
  </r>
  <r>
    <x v="0"/>
    <x v="92"/>
    <x v="2"/>
    <x v="439"/>
    <n v="0"/>
    <n v="17894"/>
    <x v="3"/>
    <x v="0"/>
  </r>
  <r>
    <x v="0"/>
    <x v="92"/>
    <x v="3"/>
    <x v="440"/>
    <n v="0"/>
    <n v="1230"/>
    <x v="3"/>
    <x v="0"/>
  </r>
  <r>
    <x v="0"/>
    <x v="103"/>
    <x v="8"/>
    <x v="441"/>
    <n v="0"/>
    <n v="2059.84"/>
    <x v="4"/>
    <x v="0"/>
  </r>
  <r>
    <x v="0"/>
    <x v="103"/>
    <x v="8"/>
    <x v="442"/>
    <n v="0"/>
    <n v="810.99"/>
    <x v="4"/>
    <x v="0"/>
  </r>
  <r>
    <x v="0"/>
    <x v="103"/>
    <x v="8"/>
    <x v="443"/>
    <n v="0"/>
    <n v="324"/>
    <x v="4"/>
    <x v="0"/>
  </r>
  <r>
    <x v="0"/>
    <x v="104"/>
    <x v="8"/>
    <x v="444"/>
    <n v="0"/>
    <n v="402.06"/>
    <x v="4"/>
    <x v="0"/>
  </r>
  <r>
    <x v="0"/>
    <x v="104"/>
    <x v="8"/>
    <x v="445"/>
    <n v="0"/>
    <n v="1099.8900000000001"/>
    <x v="4"/>
    <x v="0"/>
  </r>
  <r>
    <x v="0"/>
    <x v="105"/>
    <x v="8"/>
    <x v="446"/>
    <n v="0"/>
    <n v="192"/>
    <x v="4"/>
    <x v="0"/>
  </r>
  <r>
    <x v="0"/>
    <x v="105"/>
    <x v="8"/>
    <x v="447"/>
    <n v="0"/>
    <n v="96"/>
    <x v="4"/>
    <x v="0"/>
  </r>
  <r>
    <x v="0"/>
    <x v="105"/>
    <x v="8"/>
    <x v="448"/>
    <n v="0"/>
    <n v="603"/>
    <x v="4"/>
    <x v="0"/>
  </r>
  <r>
    <x v="0"/>
    <x v="105"/>
    <x v="8"/>
    <x v="449"/>
    <n v="0"/>
    <n v="420"/>
    <x v="4"/>
    <x v="0"/>
  </r>
  <r>
    <x v="0"/>
    <x v="106"/>
    <x v="8"/>
    <x v="450"/>
    <n v="0"/>
    <n v="147"/>
    <x v="4"/>
    <x v="0"/>
  </r>
  <r>
    <x v="0"/>
    <x v="107"/>
    <x v="8"/>
    <x v="451"/>
    <n v="0"/>
    <n v="1060.48"/>
    <x v="4"/>
    <x v="0"/>
  </r>
  <r>
    <x v="0"/>
    <x v="107"/>
    <x v="8"/>
    <x v="452"/>
    <n v="0"/>
    <n v="234"/>
    <x v="4"/>
    <x v="0"/>
  </r>
  <r>
    <x v="0"/>
    <x v="107"/>
    <x v="8"/>
    <x v="453"/>
    <n v="0"/>
    <n v="867.25"/>
    <x v="4"/>
    <x v="0"/>
  </r>
  <r>
    <x v="0"/>
    <x v="108"/>
    <x v="8"/>
    <x v="454"/>
    <n v="0"/>
    <n v="1204.3900000000001"/>
    <x v="4"/>
    <x v="0"/>
  </r>
  <r>
    <x v="0"/>
    <x v="108"/>
    <x v="8"/>
    <x v="455"/>
    <n v="0"/>
    <n v="137.4"/>
    <x v="4"/>
    <x v="0"/>
  </r>
  <r>
    <x v="0"/>
    <x v="108"/>
    <x v="8"/>
    <x v="456"/>
    <n v="0"/>
    <n v="749.6"/>
    <x v="4"/>
    <x v="0"/>
  </r>
  <r>
    <x v="0"/>
    <x v="109"/>
    <x v="8"/>
    <x v="457"/>
    <n v="0"/>
    <n v="1821.79"/>
    <x v="4"/>
    <x v="0"/>
  </r>
  <r>
    <x v="0"/>
    <x v="110"/>
    <x v="8"/>
    <x v="458"/>
    <n v="0"/>
    <n v="504"/>
    <x v="4"/>
    <x v="0"/>
  </r>
  <r>
    <x v="0"/>
    <x v="111"/>
    <x v="8"/>
    <x v="459"/>
    <n v="0"/>
    <n v="3021.42"/>
    <x v="4"/>
    <x v="0"/>
  </r>
  <r>
    <x v="0"/>
    <x v="111"/>
    <x v="8"/>
    <x v="460"/>
    <n v="0"/>
    <n v="596.25"/>
    <x v="4"/>
    <x v="0"/>
  </r>
  <r>
    <x v="0"/>
    <x v="111"/>
    <x v="8"/>
    <x v="461"/>
    <n v="0"/>
    <n v="618"/>
    <x v="4"/>
    <x v="0"/>
  </r>
  <r>
    <x v="0"/>
    <x v="112"/>
    <x v="8"/>
    <x v="462"/>
    <n v="0"/>
    <n v="589.1"/>
    <x v="4"/>
    <x v="0"/>
  </r>
  <r>
    <x v="0"/>
    <x v="112"/>
    <x v="8"/>
    <x v="463"/>
    <n v="0"/>
    <n v="1492.6"/>
    <x v="4"/>
    <x v="0"/>
  </r>
  <r>
    <x v="0"/>
    <x v="113"/>
    <x v="8"/>
    <x v="464"/>
    <n v="0"/>
    <n v="1562"/>
    <x v="4"/>
    <x v="0"/>
  </r>
  <r>
    <x v="0"/>
    <x v="114"/>
    <x v="8"/>
    <x v="465"/>
    <n v="0"/>
    <n v="2489.7199999999998"/>
    <x v="4"/>
    <x v="0"/>
  </r>
  <r>
    <x v="0"/>
    <x v="114"/>
    <x v="8"/>
    <x v="466"/>
    <n v="0"/>
    <n v="420"/>
    <x v="4"/>
    <x v="0"/>
  </r>
  <r>
    <x v="0"/>
    <x v="115"/>
    <x v="8"/>
    <x v="467"/>
    <n v="0"/>
    <n v="2537.34"/>
    <x v="4"/>
    <x v="0"/>
  </r>
  <r>
    <x v="0"/>
    <x v="115"/>
    <x v="8"/>
    <x v="468"/>
    <n v="0"/>
    <n v="1001.01"/>
    <x v="4"/>
    <x v="0"/>
  </r>
  <r>
    <x v="0"/>
    <x v="115"/>
    <x v="8"/>
    <x v="469"/>
    <n v="0"/>
    <n v="366"/>
    <x v="4"/>
    <x v="0"/>
  </r>
  <r>
    <x v="0"/>
    <x v="116"/>
    <x v="8"/>
    <x v="470"/>
    <n v="0"/>
    <n v="631.54999999999995"/>
    <x v="4"/>
    <x v="0"/>
  </r>
  <r>
    <x v="0"/>
    <x v="116"/>
    <x v="8"/>
    <x v="471"/>
    <n v="0"/>
    <n v="1433.78"/>
    <x v="4"/>
    <x v="0"/>
  </r>
  <r>
    <x v="0"/>
    <x v="117"/>
    <x v="8"/>
    <x v="472"/>
    <n v="0"/>
    <n v="504"/>
    <x v="4"/>
    <x v="0"/>
  </r>
  <r>
    <x v="0"/>
    <x v="118"/>
    <x v="8"/>
    <x v="473"/>
    <n v="0"/>
    <n v="486"/>
    <x v="4"/>
    <x v="0"/>
  </r>
  <r>
    <x v="0"/>
    <x v="118"/>
    <x v="8"/>
    <x v="474"/>
    <n v="0"/>
    <n v="805.51"/>
    <x v="4"/>
    <x v="0"/>
  </r>
  <r>
    <x v="0"/>
    <x v="119"/>
    <x v="8"/>
    <x v="475"/>
    <n v="0"/>
    <n v="455.86"/>
    <x v="4"/>
    <x v="0"/>
  </r>
  <r>
    <x v="0"/>
    <x v="119"/>
    <x v="8"/>
    <x v="476"/>
    <n v="0"/>
    <n v="727.97"/>
    <x v="4"/>
    <x v="0"/>
  </r>
  <r>
    <x v="0"/>
    <x v="119"/>
    <x v="8"/>
    <x v="477"/>
    <n v="0"/>
    <n v="1364.9"/>
    <x v="4"/>
    <x v="0"/>
  </r>
  <r>
    <x v="0"/>
    <x v="119"/>
    <x v="2"/>
    <x v="478"/>
    <n v="0"/>
    <n v="18160"/>
    <x v="4"/>
    <x v="0"/>
  </r>
  <r>
    <x v="0"/>
    <x v="119"/>
    <x v="4"/>
    <x v="479"/>
    <n v="0"/>
    <n v="2132.25"/>
    <x v="4"/>
    <x v="0"/>
  </r>
  <r>
    <x v="1"/>
    <x v="119"/>
    <x v="5"/>
    <x v="480"/>
    <n v="198016.5"/>
    <n v="0"/>
    <x v="4"/>
    <x v="0"/>
  </r>
  <r>
    <x v="1"/>
    <x v="119"/>
    <x v="9"/>
    <x v="481"/>
    <n v="7018.5"/>
    <n v="0"/>
    <x v="4"/>
    <x v="0"/>
  </r>
  <r>
    <x v="0"/>
    <x v="119"/>
    <x v="1"/>
    <x v="482"/>
    <n v="0"/>
    <n v="755.5"/>
    <x v="4"/>
    <x v="0"/>
  </r>
  <r>
    <x v="0"/>
    <x v="119"/>
    <x v="6"/>
    <x v="483"/>
    <n v="0"/>
    <n v="6103"/>
    <x v="4"/>
    <x v="0"/>
  </r>
  <r>
    <x v="0"/>
    <x v="120"/>
    <x v="8"/>
    <x v="484"/>
    <n v="0"/>
    <n v="7480.86"/>
    <x v="4"/>
    <x v="0"/>
  </r>
  <r>
    <x v="0"/>
    <x v="121"/>
    <x v="8"/>
    <x v="485"/>
    <n v="0"/>
    <n v="3236.41"/>
    <x v="4"/>
    <x v="0"/>
  </r>
  <r>
    <x v="0"/>
    <x v="121"/>
    <x v="8"/>
    <x v="486"/>
    <n v="0"/>
    <n v="791.95"/>
    <x v="4"/>
    <x v="0"/>
  </r>
  <r>
    <x v="0"/>
    <x v="121"/>
    <x v="8"/>
    <x v="487"/>
    <n v="0"/>
    <n v="225"/>
    <x v="4"/>
    <x v="0"/>
  </r>
  <r>
    <x v="0"/>
    <x v="121"/>
    <x v="8"/>
    <x v="488"/>
    <n v="0"/>
    <n v="1909.91"/>
    <x v="4"/>
    <x v="0"/>
  </r>
  <r>
    <x v="0"/>
    <x v="121"/>
    <x v="8"/>
    <x v="489"/>
    <n v="0"/>
    <n v="681"/>
    <x v="4"/>
    <x v="0"/>
  </r>
  <r>
    <x v="0"/>
    <x v="120"/>
    <x v="8"/>
    <x v="490"/>
    <n v="0"/>
    <n v="5403.71"/>
    <x v="4"/>
    <x v="0"/>
  </r>
  <r>
    <x v="0"/>
    <x v="122"/>
    <x v="8"/>
    <x v="491"/>
    <n v="0"/>
    <n v="2213.41"/>
    <x v="4"/>
    <x v="0"/>
  </r>
  <r>
    <x v="0"/>
    <x v="120"/>
    <x v="8"/>
    <x v="492"/>
    <n v="0"/>
    <n v="2382.84"/>
    <x v="4"/>
    <x v="0"/>
  </r>
  <r>
    <x v="0"/>
    <x v="122"/>
    <x v="8"/>
    <x v="493"/>
    <n v="0"/>
    <n v="4338.41"/>
    <x v="4"/>
    <x v="0"/>
  </r>
  <r>
    <x v="0"/>
    <x v="117"/>
    <x v="8"/>
    <x v="494"/>
    <n v="0"/>
    <n v="174"/>
    <x v="4"/>
    <x v="0"/>
  </r>
  <r>
    <x v="0"/>
    <x v="122"/>
    <x v="8"/>
    <x v="495"/>
    <n v="0"/>
    <n v="585.20000000000005"/>
    <x v="4"/>
    <x v="0"/>
  </r>
  <r>
    <x v="0"/>
    <x v="117"/>
    <x v="8"/>
    <x v="496"/>
    <n v="0"/>
    <n v="1642.48"/>
    <x v="4"/>
    <x v="0"/>
  </r>
  <r>
    <x v="0"/>
    <x v="117"/>
    <x v="8"/>
    <x v="497"/>
    <n v="0"/>
    <n v="130"/>
    <x v="4"/>
    <x v="0"/>
  </r>
  <r>
    <x v="0"/>
    <x v="117"/>
    <x v="8"/>
    <x v="498"/>
    <n v="0"/>
    <n v="1123.8"/>
    <x v="4"/>
    <x v="0"/>
  </r>
  <r>
    <x v="0"/>
    <x v="117"/>
    <x v="8"/>
    <x v="499"/>
    <n v="0"/>
    <n v="6367.99"/>
    <x v="4"/>
    <x v="0"/>
  </r>
  <r>
    <x v="0"/>
    <x v="117"/>
    <x v="8"/>
    <x v="500"/>
    <n v="0"/>
    <n v="255"/>
    <x v="4"/>
    <x v="0"/>
  </r>
  <r>
    <x v="0"/>
    <x v="122"/>
    <x v="8"/>
    <x v="501"/>
    <n v="0"/>
    <n v="388.85"/>
    <x v="4"/>
    <x v="0"/>
  </r>
  <r>
    <x v="0"/>
    <x v="122"/>
    <x v="8"/>
    <x v="502"/>
    <n v="0"/>
    <n v="564.48"/>
    <x v="4"/>
    <x v="0"/>
  </r>
  <r>
    <x v="0"/>
    <x v="122"/>
    <x v="8"/>
    <x v="503"/>
    <n v="0"/>
    <n v="937"/>
    <x v="4"/>
    <x v="0"/>
  </r>
  <r>
    <x v="0"/>
    <x v="122"/>
    <x v="8"/>
    <x v="504"/>
    <n v="0"/>
    <n v="2128.52"/>
    <x v="4"/>
    <x v="0"/>
  </r>
  <r>
    <x v="0"/>
    <x v="122"/>
    <x v="8"/>
    <x v="505"/>
    <n v="0"/>
    <n v="2805"/>
    <x v="4"/>
    <x v="0"/>
  </r>
  <r>
    <x v="0"/>
    <x v="113"/>
    <x v="8"/>
    <x v="506"/>
    <n v="0"/>
    <n v="1482"/>
    <x v="4"/>
    <x v="0"/>
  </r>
  <r>
    <x v="0"/>
    <x v="114"/>
    <x v="8"/>
    <x v="507"/>
    <n v="0"/>
    <n v="583"/>
    <x v="4"/>
    <x v="0"/>
  </r>
  <r>
    <x v="0"/>
    <x v="114"/>
    <x v="8"/>
    <x v="508"/>
    <n v="0"/>
    <n v="1806.28"/>
    <x v="4"/>
    <x v="0"/>
  </r>
  <r>
    <x v="0"/>
    <x v="113"/>
    <x v="8"/>
    <x v="509"/>
    <n v="0"/>
    <n v="3237.98"/>
    <x v="4"/>
    <x v="0"/>
  </r>
  <r>
    <x v="0"/>
    <x v="114"/>
    <x v="8"/>
    <x v="510"/>
    <n v="0"/>
    <n v="252.99"/>
    <x v="4"/>
    <x v="0"/>
  </r>
  <r>
    <x v="0"/>
    <x v="113"/>
    <x v="8"/>
    <x v="511"/>
    <n v="0"/>
    <n v="4650.45"/>
    <x v="4"/>
    <x v="0"/>
  </r>
  <r>
    <x v="0"/>
    <x v="111"/>
    <x v="8"/>
    <x v="512"/>
    <n v="0"/>
    <n v="467.85"/>
    <x v="4"/>
    <x v="0"/>
  </r>
  <r>
    <x v="0"/>
    <x v="113"/>
    <x v="8"/>
    <x v="513"/>
    <n v="0"/>
    <n v="325"/>
    <x v="4"/>
    <x v="0"/>
  </r>
  <r>
    <x v="0"/>
    <x v="113"/>
    <x v="8"/>
    <x v="514"/>
    <n v="0"/>
    <n v="780"/>
    <x v="4"/>
    <x v="0"/>
  </r>
  <r>
    <x v="0"/>
    <x v="113"/>
    <x v="8"/>
    <x v="515"/>
    <n v="0"/>
    <n v="489.6"/>
    <x v="4"/>
    <x v="0"/>
  </r>
  <r>
    <x v="0"/>
    <x v="114"/>
    <x v="8"/>
    <x v="516"/>
    <n v="0"/>
    <n v="1626.82"/>
    <x v="4"/>
    <x v="0"/>
  </r>
  <r>
    <x v="0"/>
    <x v="114"/>
    <x v="8"/>
    <x v="517"/>
    <n v="0"/>
    <n v="529.19000000000005"/>
    <x v="4"/>
    <x v="0"/>
  </r>
  <r>
    <x v="0"/>
    <x v="113"/>
    <x v="8"/>
    <x v="518"/>
    <n v="0"/>
    <n v="3428.2"/>
    <x v="4"/>
    <x v="0"/>
  </r>
  <r>
    <x v="0"/>
    <x v="113"/>
    <x v="8"/>
    <x v="519"/>
    <n v="0"/>
    <n v="882"/>
    <x v="4"/>
    <x v="0"/>
  </r>
  <r>
    <x v="0"/>
    <x v="113"/>
    <x v="8"/>
    <x v="520"/>
    <n v="0"/>
    <n v="650.05999999999995"/>
    <x v="4"/>
    <x v="0"/>
  </r>
  <r>
    <x v="0"/>
    <x v="111"/>
    <x v="8"/>
    <x v="521"/>
    <n v="0"/>
    <n v="141.5"/>
    <x v="4"/>
    <x v="0"/>
  </r>
  <r>
    <x v="0"/>
    <x v="113"/>
    <x v="8"/>
    <x v="522"/>
    <n v="0"/>
    <n v="997.79"/>
    <x v="4"/>
    <x v="0"/>
  </r>
  <r>
    <x v="0"/>
    <x v="113"/>
    <x v="8"/>
    <x v="523"/>
    <n v="0"/>
    <n v="3389.52"/>
    <x v="4"/>
    <x v="0"/>
  </r>
  <r>
    <x v="0"/>
    <x v="113"/>
    <x v="8"/>
    <x v="524"/>
    <n v="0"/>
    <n v="1552"/>
    <x v="4"/>
    <x v="0"/>
  </r>
  <r>
    <x v="0"/>
    <x v="123"/>
    <x v="8"/>
    <x v="525"/>
    <n v="0"/>
    <n v="2497.0300000000002"/>
    <x v="4"/>
    <x v="0"/>
  </r>
  <r>
    <x v="0"/>
    <x v="113"/>
    <x v="8"/>
    <x v="526"/>
    <n v="0"/>
    <n v="2862.99"/>
    <x v="4"/>
    <x v="0"/>
  </r>
  <r>
    <x v="0"/>
    <x v="109"/>
    <x v="8"/>
    <x v="527"/>
    <n v="0"/>
    <n v="4198.9799999999996"/>
    <x v="4"/>
    <x v="0"/>
  </r>
  <r>
    <x v="0"/>
    <x v="112"/>
    <x v="8"/>
    <x v="528"/>
    <n v="0"/>
    <n v="3576.5"/>
    <x v="4"/>
    <x v="0"/>
  </r>
  <r>
    <x v="0"/>
    <x v="112"/>
    <x v="8"/>
    <x v="529"/>
    <n v="0"/>
    <n v="2504.56"/>
    <x v="4"/>
    <x v="0"/>
  </r>
  <r>
    <x v="0"/>
    <x v="109"/>
    <x v="8"/>
    <x v="530"/>
    <n v="0"/>
    <n v="579.70000000000005"/>
    <x v="4"/>
    <x v="0"/>
  </r>
  <r>
    <x v="0"/>
    <x v="111"/>
    <x v="8"/>
    <x v="531"/>
    <n v="0"/>
    <n v="2504.56"/>
    <x v="4"/>
    <x v="0"/>
  </r>
  <r>
    <x v="0"/>
    <x v="123"/>
    <x v="8"/>
    <x v="532"/>
    <n v="0"/>
    <n v="6337.96"/>
    <x v="4"/>
    <x v="0"/>
  </r>
  <r>
    <x v="0"/>
    <x v="123"/>
    <x v="8"/>
    <x v="533"/>
    <n v="0"/>
    <n v="2041.85"/>
    <x v="4"/>
    <x v="0"/>
  </r>
  <r>
    <x v="0"/>
    <x v="110"/>
    <x v="8"/>
    <x v="534"/>
    <n v="0"/>
    <n v="3231.95"/>
    <x v="4"/>
    <x v="0"/>
  </r>
  <r>
    <x v="0"/>
    <x v="124"/>
    <x v="8"/>
    <x v="535"/>
    <n v="0"/>
    <n v="2438.65"/>
    <x v="4"/>
    <x v="0"/>
  </r>
  <r>
    <x v="0"/>
    <x v="110"/>
    <x v="8"/>
    <x v="536"/>
    <n v="0"/>
    <n v="2591.4299999999998"/>
    <x v="4"/>
    <x v="0"/>
  </r>
  <r>
    <x v="0"/>
    <x v="110"/>
    <x v="8"/>
    <x v="537"/>
    <n v="0"/>
    <n v="2895"/>
    <x v="4"/>
    <x v="0"/>
  </r>
  <r>
    <x v="0"/>
    <x v="124"/>
    <x v="8"/>
    <x v="538"/>
    <n v="0"/>
    <n v="1292.69"/>
    <x v="4"/>
    <x v="0"/>
  </r>
  <r>
    <x v="0"/>
    <x v="110"/>
    <x v="8"/>
    <x v="539"/>
    <n v="0"/>
    <n v="3026.54"/>
    <x v="4"/>
    <x v="0"/>
  </r>
  <r>
    <x v="0"/>
    <x v="110"/>
    <x v="8"/>
    <x v="540"/>
    <n v="0"/>
    <n v="1546"/>
    <x v="4"/>
    <x v="0"/>
  </r>
  <r>
    <x v="0"/>
    <x v="109"/>
    <x v="8"/>
    <x v="541"/>
    <n v="0"/>
    <n v="95.96"/>
    <x v="4"/>
    <x v="0"/>
  </r>
  <r>
    <x v="0"/>
    <x v="109"/>
    <x v="8"/>
    <x v="542"/>
    <n v="0"/>
    <n v="962"/>
    <x v="4"/>
    <x v="0"/>
  </r>
  <r>
    <x v="0"/>
    <x v="124"/>
    <x v="8"/>
    <x v="543"/>
    <n v="0"/>
    <n v="640"/>
    <x v="4"/>
    <x v="0"/>
  </r>
  <r>
    <x v="0"/>
    <x v="124"/>
    <x v="8"/>
    <x v="544"/>
    <n v="0"/>
    <n v="330.5"/>
    <x v="4"/>
    <x v="0"/>
  </r>
  <r>
    <x v="0"/>
    <x v="124"/>
    <x v="8"/>
    <x v="545"/>
    <n v="0"/>
    <n v="1379.47"/>
    <x v="4"/>
    <x v="0"/>
  </r>
  <r>
    <x v="0"/>
    <x v="124"/>
    <x v="8"/>
    <x v="546"/>
    <n v="0"/>
    <n v="1852.9"/>
    <x v="4"/>
    <x v="0"/>
  </r>
  <r>
    <x v="0"/>
    <x v="124"/>
    <x v="8"/>
    <x v="547"/>
    <n v="0"/>
    <n v="1195.5"/>
    <x v="4"/>
    <x v="0"/>
  </r>
  <r>
    <x v="0"/>
    <x v="124"/>
    <x v="8"/>
    <x v="548"/>
    <n v="0"/>
    <n v="1485.94"/>
    <x v="4"/>
    <x v="0"/>
  </r>
  <r>
    <x v="0"/>
    <x v="124"/>
    <x v="8"/>
    <x v="549"/>
    <n v="0"/>
    <n v="669"/>
    <x v="4"/>
    <x v="0"/>
  </r>
  <r>
    <x v="0"/>
    <x v="107"/>
    <x v="8"/>
    <x v="550"/>
    <n v="0"/>
    <n v="150"/>
    <x v="4"/>
    <x v="0"/>
  </r>
  <r>
    <x v="0"/>
    <x v="107"/>
    <x v="8"/>
    <x v="551"/>
    <n v="0"/>
    <n v="2874.65"/>
    <x v="4"/>
    <x v="0"/>
  </r>
  <r>
    <x v="0"/>
    <x v="106"/>
    <x v="8"/>
    <x v="552"/>
    <n v="0"/>
    <n v="1727.25"/>
    <x v="4"/>
    <x v="0"/>
  </r>
  <r>
    <x v="0"/>
    <x v="105"/>
    <x v="8"/>
    <x v="553"/>
    <n v="0"/>
    <n v="451.2"/>
    <x v="4"/>
    <x v="0"/>
  </r>
  <r>
    <x v="0"/>
    <x v="105"/>
    <x v="8"/>
    <x v="554"/>
    <n v="0"/>
    <n v="587.03"/>
    <x v="4"/>
    <x v="0"/>
  </r>
  <r>
    <x v="0"/>
    <x v="105"/>
    <x v="8"/>
    <x v="555"/>
    <n v="0"/>
    <n v="300.60000000000002"/>
    <x v="4"/>
    <x v="0"/>
  </r>
  <r>
    <x v="0"/>
    <x v="105"/>
    <x v="8"/>
    <x v="556"/>
    <n v="0"/>
    <n v="324"/>
    <x v="4"/>
    <x v="0"/>
  </r>
  <r>
    <x v="0"/>
    <x v="125"/>
    <x v="8"/>
    <x v="557"/>
    <n v="0"/>
    <n v="1543.44"/>
    <x v="4"/>
    <x v="0"/>
  </r>
  <r>
    <x v="0"/>
    <x v="126"/>
    <x v="8"/>
    <x v="558"/>
    <n v="0"/>
    <n v="250"/>
    <x v="4"/>
    <x v="0"/>
  </r>
  <r>
    <x v="0"/>
    <x v="125"/>
    <x v="8"/>
    <x v="559"/>
    <n v="0"/>
    <n v="1255.3"/>
    <x v="4"/>
    <x v="0"/>
  </r>
  <r>
    <x v="0"/>
    <x v="125"/>
    <x v="8"/>
    <x v="560"/>
    <n v="0"/>
    <n v="1751.72"/>
    <x v="4"/>
    <x v="0"/>
  </r>
  <r>
    <x v="0"/>
    <x v="105"/>
    <x v="8"/>
    <x v="561"/>
    <n v="0"/>
    <n v="60"/>
    <x v="4"/>
    <x v="0"/>
  </r>
  <r>
    <x v="0"/>
    <x v="125"/>
    <x v="8"/>
    <x v="562"/>
    <n v="0"/>
    <n v="680"/>
    <x v="4"/>
    <x v="0"/>
  </r>
  <r>
    <x v="0"/>
    <x v="103"/>
    <x v="8"/>
    <x v="563"/>
    <n v="0"/>
    <n v="175.35"/>
    <x v="4"/>
    <x v="0"/>
  </r>
  <r>
    <x v="0"/>
    <x v="125"/>
    <x v="8"/>
    <x v="564"/>
    <n v="0"/>
    <n v="383.95"/>
    <x v="4"/>
    <x v="0"/>
  </r>
  <r>
    <x v="0"/>
    <x v="105"/>
    <x v="8"/>
    <x v="565"/>
    <n v="0"/>
    <n v="942.5"/>
    <x v="4"/>
    <x v="0"/>
  </r>
  <r>
    <x v="0"/>
    <x v="125"/>
    <x v="8"/>
    <x v="566"/>
    <n v="0"/>
    <n v="1914.06"/>
    <x v="4"/>
    <x v="0"/>
  </r>
  <r>
    <x v="0"/>
    <x v="127"/>
    <x v="8"/>
    <x v="567"/>
    <n v="0"/>
    <n v="881.34"/>
    <x v="4"/>
    <x v="0"/>
  </r>
  <r>
    <x v="0"/>
    <x v="125"/>
    <x v="8"/>
    <x v="568"/>
    <n v="0"/>
    <n v="1361.81"/>
    <x v="4"/>
    <x v="0"/>
  </r>
  <r>
    <x v="0"/>
    <x v="104"/>
    <x v="8"/>
    <x v="569"/>
    <n v="0"/>
    <n v="276"/>
    <x v="4"/>
    <x v="0"/>
  </r>
  <r>
    <x v="0"/>
    <x v="125"/>
    <x v="8"/>
    <x v="570"/>
    <n v="0"/>
    <n v="1956.02"/>
    <x v="4"/>
    <x v="0"/>
  </r>
  <r>
    <x v="0"/>
    <x v="125"/>
    <x v="8"/>
    <x v="571"/>
    <n v="0"/>
    <n v="1969.34"/>
    <x v="4"/>
    <x v="0"/>
  </r>
  <r>
    <x v="0"/>
    <x v="125"/>
    <x v="8"/>
    <x v="572"/>
    <n v="0"/>
    <n v="187.5"/>
    <x v="4"/>
    <x v="0"/>
  </r>
  <r>
    <x v="0"/>
    <x v="104"/>
    <x v="8"/>
    <x v="573"/>
    <n v="0"/>
    <n v="1025.02"/>
    <x v="4"/>
    <x v="0"/>
  </r>
  <r>
    <x v="0"/>
    <x v="104"/>
    <x v="8"/>
    <x v="574"/>
    <n v="0"/>
    <n v="3622.05"/>
    <x v="4"/>
    <x v="0"/>
  </r>
  <r>
    <x v="0"/>
    <x v="103"/>
    <x v="8"/>
    <x v="575"/>
    <n v="0"/>
    <n v="659.2"/>
    <x v="4"/>
    <x v="0"/>
  </r>
  <r>
    <x v="0"/>
    <x v="127"/>
    <x v="8"/>
    <x v="576"/>
    <n v="0"/>
    <n v="4446.46"/>
    <x v="4"/>
    <x v="0"/>
  </r>
  <r>
    <x v="0"/>
    <x v="127"/>
    <x v="8"/>
    <x v="577"/>
    <n v="0"/>
    <n v="2257.4499999999998"/>
    <x v="4"/>
    <x v="0"/>
  </r>
  <r>
    <x v="0"/>
    <x v="116"/>
    <x v="8"/>
    <x v="578"/>
    <n v="0"/>
    <n v="425.85"/>
    <x v="4"/>
    <x v="0"/>
  </r>
  <r>
    <x v="0"/>
    <x v="128"/>
    <x v="8"/>
    <x v="579"/>
    <n v="0"/>
    <n v="108"/>
    <x v="5"/>
    <x v="0"/>
  </r>
  <r>
    <x v="0"/>
    <x v="129"/>
    <x v="8"/>
    <x v="580"/>
    <n v="0"/>
    <n v="2092.98"/>
    <x v="5"/>
    <x v="0"/>
  </r>
  <r>
    <x v="0"/>
    <x v="129"/>
    <x v="8"/>
    <x v="581"/>
    <n v="0"/>
    <n v="630"/>
    <x v="5"/>
    <x v="0"/>
  </r>
  <r>
    <x v="0"/>
    <x v="129"/>
    <x v="8"/>
    <x v="582"/>
    <n v="0"/>
    <n v="504"/>
    <x v="5"/>
    <x v="0"/>
  </r>
  <r>
    <x v="0"/>
    <x v="130"/>
    <x v="8"/>
    <x v="583"/>
    <n v="0"/>
    <n v="545.5"/>
    <x v="5"/>
    <x v="0"/>
  </r>
  <r>
    <x v="0"/>
    <x v="131"/>
    <x v="8"/>
    <x v="584"/>
    <n v="0"/>
    <n v="1165.5"/>
    <x v="5"/>
    <x v="0"/>
  </r>
  <r>
    <x v="0"/>
    <x v="131"/>
    <x v="8"/>
    <x v="585"/>
    <n v="0"/>
    <n v="750.5"/>
    <x v="5"/>
    <x v="0"/>
  </r>
  <r>
    <x v="0"/>
    <x v="131"/>
    <x v="8"/>
    <x v="586"/>
    <n v="0"/>
    <n v="234"/>
    <x v="5"/>
    <x v="0"/>
  </r>
  <r>
    <x v="0"/>
    <x v="132"/>
    <x v="8"/>
    <x v="587"/>
    <n v="0"/>
    <n v="669.58"/>
    <x v="5"/>
    <x v="0"/>
  </r>
  <r>
    <x v="0"/>
    <x v="132"/>
    <x v="8"/>
    <x v="588"/>
    <n v="0"/>
    <n v="2199.44"/>
    <x v="5"/>
    <x v="0"/>
  </r>
  <r>
    <x v="0"/>
    <x v="133"/>
    <x v="8"/>
    <x v="589"/>
    <n v="0"/>
    <n v="504"/>
    <x v="5"/>
    <x v="0"/>
  </r>
  <r>
    <x v="0"/>
    <x v="134"/>
    <x v="8"/>
    <x v="590"/>
    <n v="0"/>
    <n v="1011.42"/>
    <x v="5"/>
    <x v="0"/>
  </r>
  <r>
    <x v="0"/>
    <x v="134"/>
    <x v="8"/>
    <x v="591"/>
    <n v="0"/>
    <n v="807.7"/>
    <x v="5"/>
    <x v="0"/>
  </r>
  <r>
    <x v="0"/>
    <x v="134"/>
    <x v="8"/>
    <x v="592"/>
    <n v="0"/>
    <n v="234"/>
    <x v="5"/>
    <x v="0"/>
  </r>
  <r>
    <x v="0"/>
    <x v="135"/>
    <x v="8"/>
    <x v="593"/>
    <n v="0"/>
    <n v="796.58"/>
    <x v="5"/>
    <x v="0"/>
  </r>
  <r>
    <x v="0"/>
    <x v="135"/>
    <x v="8"/>
    <x v="594"/>
    <n v="0"/>
    <n v="1103.8499999999999"/>
    <x v="5"/>
    <x v="0"/>
  </r>
  <r>
    <x v="0"/>
    <x v="136"/>
    <x v="8"/>
    <x v="595"/>
    <n v="0"/>
    <n v="1184.19"/>
    <x v="5"/>
    <x v="0"/>
  </r>
  <r>
    <x v="0"/>
    <x v="136"/>
    <x v="8"/>
    <x v="596"/>
    <n v="0"/>
    <n v="540.20000000000005"/>
    <x v="5"/>
    <x v="0"/>
  </r>
  <r>
    <x v="0"/>
    <x v="136"/>
    <x v="8"/>
    <x v="597"/>
    <n v="0"/>
    <n v="606"/>
    <x v="5"/>
    <x v="0"/>
  </r>
  <r>
    <x v="0"/>
    <x v="137"/>
    <x v="8"/>
    <x v="598"/>
    <n v="0"/>
    <n v="716.32"/>
    <x v="5"/>
    <x v="0"/>
  </r>
  <r>
    <x v="0"/>
    <x v="138"/>
    <x v="8"/>
    <x v="599"/>
    <n v="0"/>
    <n v="2189"/>
    <x v="5"/>
    <x v="0"/>
  </r>
  <r>
    <x v="0"/>
    <x v="139"/>
    <x v="8"/>
    <x v="600"/>
    <n v="0"/>
    <n v="3228.72"/>
    <x v="5"/>
    <x v="0"/>
  </r>
  <r>
    <x v="0"/>
    <x v="139"/>
    <x v="8"/>
    <x v="601"/>
    <n v="0"/>
    <n v="204"/>
    <x v="5"/>
    <x v="0"/>
  </r>
  <r>
    <x v="0"/>
    <x v="139"/>
    <x v="8"/>
    <x v="602"/>
    <n v="0"/>
    <n v="721.91"/>
    <x v="5"/>
    <x v="0"/>
  </r>
  <r>
    <x v="0"/>
    <x v="140"/>
    <x v="8"/>
    <x v="603"/>
    <n v="0"/>
    <n v="558.22"/>
    <x v="5"/>
    <x v="0"/>
  </r>
  <r>
    <x v="0"/>
    <x v="140"/>
    <x v="8"/>
    <x v="604"/>
    <n v="0"/>
    <n v="1248.94"/>
    <x v="5"/>
    <x v="0"/>
  </r>
  <r>
    <x v="0"/>
    <x v="141"/>
    <x v="8"/>
    <x v="605"/>
    <n v="0"/>
    <n v="204"/>
    <x v="5"/>
    <x v="0"/>
  </r>
  <r>
    <x v="0"/>
    <x v="141"/>
    <x v="8"/>
    <x v="606"/>
    <n v="0"/>
    <n v="926"/>
    <x v="5"/>
    <x v="0"/>
  </r>
  <r>
    <x v="0"/>
    <x v="141"/>
    <x v="8"/>
    <x v="607"/>
    <n v="0"/>
    <n v="252.78"/>
    <x v="5"/>
    <x v="0"/>
  </r>
  <r>
    <x v="0"/>
    <x v="142"/>
    <x v="8"/>
    <x v="608"/>
    <n v="0"/>
    <n v="1718.28"/>
    <x v="5"/>
    <x v="0"/>
  </r>
  <r>
    <x v="0"/>
    <x v="142"/>
    <x v="8"/>
    <x v="609"/>
    <n v="0"/>
    <n v="908.62"/>
    <x v="5"/>
    <x v="0"/>
  </r>
  <r>
    <x v="0"/>
    <x v="142"/>
    <x v="8"/>
    <x v="610"/>
    <n v="0"/>
    <n v="102"/>
    <x v="5"/>
    <x v="0"/>
  </r>
  <r>
    <x v="0"/>
    <x v="143"/>
    <x v="8"/>
    <x v="611"/>
    <n v="0"/>
    <n v="1009.49"/>
    <x v="5"/>
    <x v="0"/>
  </r>
  <r>
    <x v="0"/>
    <x v="143"/>
    <x v="8"/>
    <x v="612"/>
    <n v="0"/>
    <n v="1805.2"/>
    <x v="5"/>
    <x v="0"/>
  </r>
  <r>
    <x v="0"/>
    <x v="143"/>
    <x v="8"/>
    <x v="613"/>
    <n v="0"/>
    <n v="1425"/>
    <x v="5"/>
    <x v="0"/>
  </r>
  <r>
    <x v="0"/>
    <x v="143"/>
    <x v="8"/>
    <x v="614"/>
    <n v="0"/>
    <n v="1056"/>
    <x v="5"/>
    <x v="0"/>
  </r>
  <r>
    <x v="0"/>
    <x v="144"/>
    <x v="8"/>
    <x v="615"/>
    <n v="0"/>
    <n v="231"/>
    <x v="5"/>
    <x v="0"/>
  </r>
  <r>
    <x v="0"/>
    <x v="144"/>
    <x v="2"/>
    <x v="616"/>
    <n v="0"/>
    <n v="17600"/>
    <x v="5"/>
    <x v="0"/>
  </r>
  <r>
    <x v="0"/>
    <x v="144"/>
    <x v="4"/>
    <x v="617"/>
    <n v="0"/>
    <n v="504.75"/>
    <x v="5"/>
    <x v="0"/>
  </r>
  <r>
    <x v="1"/>
    <x v="144"/>
    <x v="5"/>
    <x v="618"/>
    <n v="203480.25"/>
    <n v="0"/>
    <x v="5"/>
    <x v="0"/>
  </r>
  <r>
    <x v="1"/>
    <x v="144"/>
    <x v="9"/>
    <x v="619"/>
    <n v="6392.25"/>
    <n v="0"/>
    <x v="5"/>
    <x v="0"/>
  </r>
  <r>
    <x v="0"/>
    <x v="145"/>
    <x v="8"/>
    <x v="620"/>
    <n v="0"/>
    <n v="582.15"/>
    <x v="5"/>
    <x v="0"/>
  </r>
  <r>
    <x v="0"/>
    <x v="145"/>
    <x v="6"/>
    <x v="621"/>
    <n v="0"/>
    <n v="6336"/>
    <x v="5"/>
    <x v="0"/>
  </r>
  <r>
    <x v="0"/>
    <x v="144"/>
    <x v="8"/>
    <x v="622"/>
    <n v="0"/>
    <n v="1287.32"/>
    <x v="5"/>
    <x v="0"/>
  </r>
  <r>
    <x v="0"/>
    <x v="145"/>
    <x v="8"/>
    <x v="623"/>
    <n v="0"/>
    <n v="1574.23"/>
    <x v="5"/>
    <x v="0"/>
  </r>
  <r>
    <x v="0"/>
    <x v="145"/>
    <x v="8"/>
    <x v="624"/>
    <n v="0"/>
    <n v="4840.87"/>
    <x v="5"/>
    <x v="0"/>
  </r>
  <r>
    <x v="0"/>
    <x v="142"/>
    <x v="8"/>
    <x v="625"/>
    <n v="0"/>
    <n v="378.25"/>
    <x v="5"/>
    <x v="0"/>
  </r>
  <r>
    <x v="0"/>
    <x v="145"/>
    <x v="8"/>
    <x v="626"/>
    <n v="0"/>
    <n v="365"/>
    <x v="5"/>
    <x v="0"/>
  </r>
  <r>
    <x v="0"/>
    <x v="145"/>
    <x v="8"/>
    <x v="627"/>
    <n v="0"/>
    <n v="244.8"/>
    <x v="5"/>
    <x v="0"/>
  </r>
  <r>
    <x v="0"/>
    <x v="144"/>
    <x v="8"/>
    <x v="628"/>
    <n v="0"/>
    <n v="60"/>
    <x v="5"/>
    <x v="0"/>
  </r>
  <r>
    <x v="0"/>
    <x v="143"/>
    <x v="8"/>
    <x v="629"/>
    <n v="0"/>
    <n v="42"/>
    <x v="5"/>
    <x v="0"/>
  </r>
  <r>
    <x v="0"/>
    <x v="145"/>
    <x v="8"/>
    <x v="630"/>
    <n v="0"/>
    <n v="1986.33"/>
    <x v="5"/>
    <x v="0"/>
  </r>
  <r>
    <x v="0"/>
    <x v="145"/>
    <x v="8"/>
    <x v="631"/>
    <n v="0"/>
    <n v="2868"/>
    <x v="5"/>
    <x v="0"/>
  </r>
  <r>
    <x v="0"/>
    <x v="145"/>
    <x v="8"/>
    <x v="632"/>
    <n v="0"/>
    <n v="1378.01"/>
    <x v="5"/>
    <x v="0"/>
  </r>
  <r>
    <x v="0"/>
    <x v="145"/>
    <x v="8"/>
    <x v="633"/>
    <n v="0"/>
    <n v="712.2"/>
    <x v="5"/>
    <x v="0"/>
  </r>
  <r>
    <x v="0"/>
    <x v="146"/>
    <x v="8"/>
    <x v="634"/>
    <n v="0"/>
    <n v="4438.72"/>
    <x v="5"/>
    <x v="0"/>
  </r>
  <r>
    <x v="0"/>
    <x v="142"/>
    <x v="8"/>
    <x v="635"/>
    <n v="0"/>
    <n v="2120.6"/>
    <x v="5"/>
    <x v="0"/>
  </r>
  <r>
    <x v="0"/>
    <x v="143"/>
    <x v="8"/>
    <x v="636"/>
    <n v="0"/>
    <n v="2054"/>
    <x v="5"/>
    <x v="0"/>
  </r>
  <r>
    <x v="0"/>
    <x v="142"/>
    <x v="8"/>
    <x v="637"/>
    <n v="0"/>
    <n v="841"/>
    <x v="5"/>
    <x v="0"/>
  </r>
  <r>
    <x v="0"/>
    <x v="147"/>
    <x v="8"/>
    <x v="638"/>
    <n v="0"/>
    <n v="1391.34"/>
    <x v="5"/>
    <x v="0"/>
  </r>
  <r>
    <x v="0"/>
    <x v="142"/>
    <x v="8"/>
    <x v="639"/>
    <n v="0"/>
    <n v="1642.86"/>
    <x v="5"/>
    <x v="0"/>
  </r>
  <r>
    <x v="0"/>
    <x v="147"/>
    <x v="8"/>
    <x v="640"/>
    <n v="0"/>
    <n v="3241.44"/>
    <x v="5"/>
    <x v="0"/>
  </r>
  <r>
    <x v="0"/>
    <x v="147"/>
    <x v="8"/>
    <x v="641"/>
    <n v="0"/>
    <n v="2942.4"/>
    <x v="5"/>
    <x v="0"/>
  </r>
  <r>
    <x v="0"/>
    <x v="146"/>
    <x v="8"/>
    <x v="642"/>
    <n v="0"/>
    <n v="2534.84"/>
    <x v="5"/>
    <x v="0"/>
  </r>
  <r>
    <x v="0"/>
    <x v="146"/>
    <x v="8"/>
    <x v="643"/>
    <n v="0"/>
    <n v="1577.21"/>
    <x v="5"/>
    <x v="0"/>
  </r>
  <r>
    <x v="0"/>
    <x v="148"/>
    <x v="8"/>
    <x v="644"/>
    <n v="0"/>
    <n v="2711.55"/>
    <x v="5"/>
    <x v="0"/>
  </r>
  <r>
    <x v="0"/>
    <x v="148"/>
    <x v="8"/>
    <x v="645"/>
    <n v="0"/>
    <n v="581.70000000000005"/>
    <x v="5"/>
    <x v="0"/>
  </r>
  <r>
    <x v="0"/>
    <x v="148"/>
    <x v="8"/>
    <x v="646"/>
    <n v="0"/>
    <n v="1586.83"/>
    <x v="5"/>
    <x v="0"/>
  </r>
  <r>
    <x v="0"/>
    <x v="141"/>
    <x v="8"/>
    <x v="647"/>
    <n v="0"/>
    <n v="285"/>
    <x v="5"/>
    <x v="0"/>
  </r>
  <r>
    <x v="0"/>
    <x v="141"/>
    <x v="8"/>
    <x v="648"/>
    <n v="0"/>
    <n v="563.98"/>
    <x v="5"/>
    <x v="0"/>
  </r>
  <r>
    <x v="0"/>
    <x v="148"/>
    <x v="8"/>
    <x v="649"/>
    <n v="0"/>
    <n v="3682"/>
    <x v="5"/>
    <x v="0"/>
  </r>
  <r>
    <x v="0"/>
    <x v="148"/>
    <x v="8"/>
    <x v="650"/>
    <n v="0"/>
    <n v="156"/>
    <x v="5"/>
    <x v="0"/>
  </r>
  <r>
    <x v="0"/>
    <x v="148"/>
    <x v="8"/>
    <x v="651"/>
    <n v="0"/>
    <n v="426.62"/>
    <x v="5"/>
    <x v="0"/>
  </r>
  <r>
    <x v="0"/>
    <x v="137"/>
    <x v="8"/>
    <x v="652"/>
    <n v="0"/>
    <n v="758.5"/>
    <x v="5"/>
    <x v="0"/>
  </r>
  <r>
    <x v="0"/>
    <x v="148"/>
    <x v="8"/>
    <x v="653"/>
    <n v="0"/>
    <n v="306.16000000000003"/>
    <x v="5"/>
    <x v="0"/>
  </r>
  <r>
    <x v="0"/>
    <x v="148"/>
    <x v="8"/>
    <x v="654"/>
    <n v="0"/>
    <n v="3706.21"/>
    <x v="5"/>
    <x v="0"/>
  </r>
  <r>
    <x v="0"/>
    <x v="136"/>
    <x v="8"/>
    <x v="655"/>
    <n v="0"/>
    <n v="2141.48"/>
    <x v="5"/>
    <x v="0"/>
  </r>
  <r>
    <x v="0"/>
    <x v="148"/>
    <x v="8"/>
    <x v="656"/>
    <n v="0"/>
    <n v="856.2"/>
    <x v="5"/>
    <x v="0"/>
  </r>
  <r>
    <x v="0"/>
    <x v="140"/>
    <x v="8"/>
    <x v="657"/>
    <n v="0"/>
    <n v="1154"/>
    <x v="5"/>
    <x v="0"/>
  </r>
  <r>
    <x v="0"/>
    <x v="140"/>
    <x v="8"/>
    <x v="658"/>
    <n v="0"/>
    <n v="1417.9"/>
    <x v="5"/>
    <x v="0"/>
  </r>
  <r>
    <x v="0"/>
    <x v="139"/>
    <x v="8"/>
    <x v="659"/>
    <n v="0"/>
    <n v="873.41"/>
    <x v="5"/>
    <x v="0"/>
  </r>
  <r>
    <x v="0"/>
    <x v="139"/>
    <x v="8"/>
    <x v="660"/>
    <n v="0"/>
    <n v="2756.98"/>
    <x v="5"/>
    <x v="0"/>
  </r>
  <r>
    <x v="0"/>
    <x v="136"/>
    <x v="8"/>
    <x v="661"/>
    <n v="0"/>
    <n v="576.01"/>
    <x v="5"/>
    <x v="0"/>
  </r>
  <r>
    <x v="0"/>
    <x v="136"/>
    <x v="8"/>
    <x v="662"/>
    <n v="0"/>
    <n v="160"/>
    <x v="5"/>
    <x v="0"/>
  </r>
  <r>
    <x v="0"/>
    <x v="136"/>
    <x v="8"/>
    <x v="663"/>
    <n v="0"/>
    <n v="704.11"/>
    <x v="5"/>
    <x v="0"/>
  </r>
  <r>
    <x v="0"/>
    <x v="149"/>
    <x v="8"/>
    <x v="664"/>
    <n v="0"/>
    <n v="3108.41"/>
    <x v="5"/>
    <x v="0"/>
  </r>
  <r>
    <x v="0"/>
    <x v="136"/>
    <x v="8"/>
    <x v="665"/>
    <n v="0"/>
    <n v="130"/>
    <x v="5"/>
    <x v="0"/>
  </r>
  <r>
    <x v="0"/>
    <x v="149"/>
    <x v="8"/>
    <x v="666"/>
    <n v="0"/>
    <n v="1628.86"/>
    <x v="5"/>
    <x v="0"/>
  </r>
  <r>
    <x v="0"/>
    <x v="149"/>
    <x v="8"/>
    <x v="667"/>
    <n v="0"/>
    <n v="1756.12"/>
    <x v="5"/>
    <x v="0"/>
  </r>
  <r>
    <x v="0"/>
    <x v="134"/>
    <x v="8"/>
    <x v="668"/>
    <n v="0"/>
    <n v="453.9"/>
    <x v="5"/>
    <x v="0"/>
  </r>
  <r>
    <x v="0"/>
    <x v="136"/>
    <x v="8"/>
    <x v="669"/>
    <n v="0"/>
    <n v="374.4"/>
    <x v="5"/>
    <x v="0"/>
  </r>
  <r>
    <x v="0"/>
    <x v="149"/>
    <x v="8"/>
    <x v="670"/>
    <n v="0"/>
    <n v="1785.16"/>
    <x v="5"/>
    <x v="0"/>
  </r>
  <r>
    <x v="0"/>
    <x v="149"/>
    <x v="8"/>
    <x v="671"/>
    <n v="0"/>
    <n v="5480"/>
    <x v="5"/>
    <x v="0"/>
  </r>
  <r>
    <x v="0"/>
    <x v="135"/>
    <x v="8"/>
    <x v="672"/>
    <n v="0"/>
    <n v="2540.88"/>
    <x v="5"/>
    <x v="0"/>
  </r>
  <r>
    <x v="0"/>
    <x v="149"/>
    <x v="8"/>
    <x v="673"/>
    <n v="0"/>
    <n v="2268.17"/>
    <x v="5"/>
    <x v="0"/>
  </r>
  <r>
    <x v="0"/>
    <x v="149"/>
    <x v="8"/>
    <x v="674"/>
    <n v="0"/>
    <n v="878.3"/>
    <x v="5"/>
    <x v="0"/>
  </r>
  <r>
    <x v="0"/>
    <x v="135"/>
    <x v="8"/>
    <x v="675"/>
    <n v="0"/>
    <n v="2344"/>
    <x v="5"/>
    <x v="0"/>
  </r>
  <r>
    <x v="0"/>
    <x v="150"/>
    <x v="8"/>
    <x v="676"/>
    <n v="0"/>
    <n v="6703.19"/>
    <x v="5"/>
    <x v="0"/>
  </r>
  <r>
    <x v="0"/>
    <x v="134"/>
    <x v="8"/>
    <x v="677"/>
    <n v="0"/>
    <n v="2812.09"/>
    <x v="5"/>
    <x v="0"/>
  </r>
  <r>
    <x v="0"/>
    <x v="133"/>
    <x v="8"/>
    <x v="678"/>
    <n v="0"/>
    <n v="5834.06"/>
    <x v="5"/>
    <x v="0"/>
  </r>
  <r>
    <x v="0"/>
    <x v="133"/>
    <x v="8"/>
    <x v="679"/>
    <n v="0"/>
    <n v="2149.2800000000002"/>
    <x v="5"/>
    <x v="0"/>
  </r>
  <r>
    <x v="0"/>
    <x v="151"/>
    <x v="8"/>
    <x v="680"/>
    <n v="0"/>
    <n v="1864.22"/>
    <x v="5"/>
    <x v="0"/>
  </r>
  <r>
    <x v="0"/>
    <x v="151"/>
    <x v="8"/>
    <x v="681"/>
    <n v="0"/>
    <n v="2254.1999999999998"/>
    <x v="5"/>
    <x v="0"/>
  </r>
  <r>
    <x v="0"/>
    <x v="152"/>
    <x v="8"/>
    <x v="682"/>
    <n v="0"/>
    <n v="2035"/>
    <x v="5"/>
    <x v="0"/>
  </r>
  <r>
    <x v="0"/>
    <x v="151"/>
    <x v="8"/>
    <x v="683"/>
    <n v="0"/>
    <n v="2052.59"/>
    <x v="5"/>
    <x v="0"/>
  </r>
  <r>
    <x v="0"/>
    <x v="152"/>
    <x v="8"/>
    <x v="684"/>
    <n v="0"/>
    <n v="527.70000000000005"/>
    <x v="5"/>
    <x v="0"/>
  </r>
  <r>
    <x v="0"/>
    <x v="152"/>
    <x v="8"/>
    <x v="685"/>
    <n v="0"/>
    <n v="315"/>
    <x v="5"/>
    <x v="0"/>
  </r>
  <r>
    <x v="0"/>
    <x v="152"/>
    <x v="8"/>
    <x v="686"/>
    <n v="0"/>
    <n v="190"/>
    <x v="5"/>
    <x v="0"/>
  </r>
  <r>
    <x v="0"/>
    <x v="151"/>
    <x v="8"/>
    <x v="687"/>
    <n v="0"/>
    <n v="1005"/>
    <x v="5"/>
    <x v="0"/>
  </r>
  <r>
    <x v="0"/>
    <x v="151"/>
    <x v="8"/>
    <x v="688"/>
    <n v="0"/>
    <n v="915.24"/>
    <x v="5"/>
    <x v="0"/>
  </r>
  <r>
    <x v="0"/>
    <x v="152"/>
    <x v="8"/>
    <x v="689"/>
    <n v="0"/>
    <n v="1535"/>
    <x v="5"/>
    <x v="0"/>
  </r>
  <r>
    <x v="0"/>
    <x v="152"/>
    <x v="8"/>
    <x v="690"/>
    <n v="0"/>
    <n v="4939.51"/>
    <x v="5"/>
    <x v="0"/>
  </r>
  <r>
    <x v="0"/>
    <x v="152"/>
    <x v="8"/>
    <x v="691"/>
    <n v="0"/>
    <n v="212.95"/>
    <x v="5"/>
    <x v="0"/>
  </r>
  <r>
    <x v="0"/>
    <x v="151"/>
    <x v="8"/>
    <x v="692"/>
    <n v="0"/>
    <n v="722.25"/>
    <x v="5"/>
    <x v="0"/>
  </r>
  <r>
    <x v="0"/>
    <x v="151"/>
    <x v="8"/>
    <x v="693"/>
    <n v="0"/>
    <n v="1247.75"/>
    <x v="5"/>
    <x v="0"/>
  </r>
  <r>
    <x v="0"/>
    <x v="151"/>
    <x v="8"/>
    <x v="694"/>
    <n v="0"/>
    <n v="1601.16"/>
    <x v="5"/>
    <x v="0"/>
  </r>
  <r>
    <x v="0"/>
    <x v="132"/>
    <x v="8"/>
    <x v="695"/>
    <n v="0"/>
    <n v="140.5"/>
    <x v="5"/>
    <x v="0"/>
  </r>
  <r>
    <x v="0"/>
    <x v="151"/>
    <x v="8"/>
    <x v="696"/>
    <n v="0"/>
    <n v="2700"/>
    <x v="5"/>
    <x v="0"/>
  </r>
  <r>
    <x v="0"/>
    <x v="151"/>
    <x v="8"/>
    <x v="697"/>
    <n v="0"/>
    <n v="1025.3"/>
    <x v="5"/>
    <x v="0"/>
  </r>
  <r>
    <x v="0"/>
    <x v="131"/>
    <x v="8"/>
    <x v="698"/>
    <n v="0"/>
    <n v="840.1"/>
    <x v="5"/>
    <x v="0"/>
  </r>
  <r>
    <x v="0"/>
    <x v="131"/>
    <x v="8"/>
    <x v="699"/>
    <n v="0"/>
    <n v="2374.1799999999998"/>
    <x v="5"/>
    <x v="0"/>
  </r>
  <r>
    <x v="0"/>
    <x v="130"/>
    <x v="8"/>
    <x v="700"/>
    <n v="0"/>
    <n v="897.08"/>
    <x v="5"/>
    <x v="0"/>
  </r>
  <r>
    <x v="0"/>
    <x v="153"/>
    <x v="8"/>
    <x v="701"/>
    <n v="0"/>
    <n v="112"/>
    <x v="5"/>
    <x v="0"/>
  </r>
  <r>
    <x v="0"/>
    <x v="153"/>
    <x v="8"/>
    <x v="702"/>
    <n v="0"/>
    <n v="633.85"/>
    <x v="5"/>
    <x v="0"/>
  </r>
  <r>
    <x v="0"/>
    <x v="129"/>
    <x v="8"/>
    <x v="703"/>
    <n v="0"/>
    <n v="104"/>
    <x v="5"/>
    <x v="0"/>
  </r>
  <r>
    <x v="0"/>
    <x v="129"/>
    <x v="8"/>
    <x v="704"/>
    <n v="0"/>
    <n v="90"/>
    <x v="5"/>
    <x v="0"/>
  </r>
  <r>
    <x v="0"/>
    <x v="130"/>
    <x v="8"/>
    <x v="705"/>
    <n v="0"/>
    <n v="2157.25"/>
    <x v="5"/>
    <x v="0"/>
  </r>
  <r>
    <x v="0"/>
    <x v="128"/>
    <x v="8"/>
    <x v="706"/>
    <n v="0"/>
    <n v="244.8"/>
    <x v="5"/>
    <x v="0"/>
  </r>
  <r>
    <x v="0"/>
    <x v="128"/>
    <x v="8"/>
    <x v="707"/>
    <n v="0"/>
    <n v="3126.75"/>
    <x v="5"/>
    <x v="0"/>
  </r>
  <r>
    <x v="0"/>
    <x v="129"/>
    <x v="8"/>
    <x v="708"/>
    <n v="0"/>
    <n v="1402.86"/>
    <x v="5"/>
    <x v="0"/>
  </r>
  <r>
    <x v="0"/>
    <x v="128"/>
    <x v="8"/>
    <x v="709"/>
    <n v="0"/>
    <n v="1061"/>
    <x v="5"/>
    <x v="0"/>
  </r>
  <r>
    <x v="0"/>
    <x v="128"/>
    <x v="8"/>
    <x v="710"/>
    <n v="0"/>
    <n v="360"/>
    <x v="5"/>
    <x v="0"/>
  </r>
  <r>
    <x v="0"/>
    <x v="128"/>
    <x v="8"/>
    <x v="711"/>
    <n v="0"/>
    <n v="378"/>
    <x v="5"/>
    <x v="0"/>
  </r>
  <r>
    <x v="0"/>
    <x v="129"/>
    <x v="8"/>
    <x v="712"/>
    <n v="0"/>
    <n v="121.44"/>
    <x v="5"/>
    <x v="0"/>
  </r>
  <r>
    <x v="0"/>
    <x v="128"/>
    <x v="8"/>
    <x v="713"/>
    <n v="0"/>
    <n v="1343.32"/>
    <x v="5"/>
    <x v="0"/>
  </r>
  <r>
    <x v="0"/>
    <x v="128"/>
    <x v="8"/>
    <x v="714"/>
    <n v="0"/>
    <n v="1235.77"/>
    <x v="5"/>
    <x v="0"/>
  </r>
  <r>
    <x v="0"/>
    <x v="128"/>
    <x v="8"/>
    <x v="715"/>
    <n v="0"/>
    <n v="2500"/>
    <x v="5"/>
    <x v="0"/>
  </r>
  <r>
    <x v="0"/>
    <x v="128"/>
    <x v="8"/>
    <x v="716"/>
    <n v="0"/>
    <n v="163.5"/>
    <x v="5"/>
    <x v="0"/>
  </r>
  <r>
    <x v="0"/>
    <x v="128"/>
    <x v="8"/>
    <x v="717"/>
    <n v="0"/>
    <n v="233.26"/>
    <x v="5"/>
    <x v="0"/>
  </r>
  <r>
    <x v="0"/>
    <x v="128"/>
    <x v="8"/>
    <x v="718"/>
    <n v="0"/>
    <n v="102.8"/>
    <x v="5"/>
    <x v="0"/>
  </r>
  <r>
    <x v="0"/>
    <x v="141"/>
    <x v="8"/>
    <x v="719"/>
    <n v="0"/>
    <n v="500"/>
    <x v="5"/>
    <x v="0"/>
  </r>
  <r>
    <x v="0"/>
    <x v="144"/>
    <x v="1"/>
    <x v="720"/>
    <n v="0"/>
    <n v="305.89999999999998"/>
    <x v="5"/>
    <x v="0"/>
  </r>
  <r>
    <x v="0"/>
    <x v="154"/>
    <x v="8"/>
    <x v="721"/>
    <n v="0"/>
    <n v="1390"/>
    <x v="6"/>
    <x v="0"/>
  </r>
  <r>
    <x v="0"/>
    <x v="155"/>
    <x v="8"/>
    <x v="722"/>
    <n v="0"/>
    <n v="325"/>
    <x v="6"/>
    <x v="0"/>
  </r>
  <r>
    <x v="0"/>
    <x v="156"/>
    <x v="8"/>
    <x v="723"/>
    <n v="0"/>
    <n v="1820.7"/>
    <x v="6"/>
    <x v="0"/>
  </r>
  <r>
    <x v="0"/>
    <x v="156"/>
    <x v="8"/>
    <x v="724"/>
    <n v="0"/>
    <n v="366"/>
    <x v="6"/>
    <x v="0"/>
  </r>
  <r>
    <x v="0"/>
    <x v="156"/>
    <x v="8"/>
    <x v="725"/>
    <n v="0"/>
    <n v="586.04999999999995"/>
    <x v="6"/>
    <x v="0"/>
  </r>
  <r>
    <x v="0"/>
    <x v="157"/>
    <x v="8"/>
    <x v="726"/>
    <n v="0"/>
    <n v="295.83"/>
    <x v="6"/>
    <x v="0"/>
  </r>
  <r>
    <x v="0"/>
    <x v="157"/>
    <x v="8"/>
    <x v="727"/>
    <n v="0"/>
    <n v="1514.29"/>
    <x v="6"/>
    <x v="0"/>
  </r>
  <r>
    <x v="0"/>
    <x v="158"/>
    <x v="8"/>
    <x v="728"/>
    <n v="0"/>
    <n v="48"/>
    <x v="6"/>
    <x v="0"/>
  </r>
  <r>
    <x v="0"/>
    <x v="159"/>
    <x v="8"/>
    <x v="729"/>
    <n v="0"/>
    <n v="1050"/>
    <x v="6"/>
    <x v="0"/>
  </r>
  <r>
    <x v="0"/>
    <x v="160"/>
    <x v="8"/>
    <x v="730"/>
    <n v="0"/>
    <n v="2963.22"/>
    <x v="6"/>
    <x v="0"/>
  </r>
  <r>
    <x v="0"/>
    <x v="160"/>
    <x v="8"/>
    <x v="731"/>
    <n v="0"/>
    <n v="862.37"/>
    <x v="6"/>
    <x v="0"/>
  </r>
  <r>
    <x v="0"/>
    <x v="160"/>
    <x v="8"/>
    <x v="732"/>
    <n v="0"/>
    <n v="204"/>
    <x v="6"/>
    <x v="0"/>
  </r>
  <r>
    <x v="0"/>
    <x v="161"/>
    <x v="8"/>
    <x v="733"/>
    <n v="0"/>
    <n v="781.43"/>
    <x v="6"/>
    <x v="0"/>
  </r>
  <r>
    <x v="0"/>
    <x v="161"/>
    <x v="8"/>
    <x v="734"/>
    <n v="0"/>
    <n v="1467.28"/>
    <x v="6"/>
    <x v="0"/>
  </r>
  <r>
    <x v="0"/>
    <x v="162"/>
    <x v="8"/>
    <x v="735"/>
    <n v="0"/>
    <n v="1186"/>
    <x v="6"/>
    <x v="0"/>
  </r>
  <r>
    <x v="0"/>
    <x v="162"/>
    <x v="8"/>
    <x v="736"/>
    <n v="0"/>
    <n v="1025.5999999999999"/>
    <x v="6"/>
    <x v="0"/>
  </r>
  <r>
    <x v="0"/>
    <x v="162"/>
    <x v="8"/>
    <x v="737"/>
    <n v="0"/>
    <n v="6663.9"/>
    <x v="6"/>
    <x v="0"/>
  </r>
  <r>
    <x v="0"/>
    <x v="163"/>
    <x v="8"/>
    <x v="738"/>
    <n v="0"/>
    <n v="65"/>
    <x v="6"/>
    <x v="0"/>
  </r>
  <r>
    <x v="0"/>
    <x v="164"/>
    <x v="8"/>
    <x v="739"/>
    <n v="0"/>
    <n v="982.32"/>
    <x v="6"/>
    <x v="0"/>
  </r>
  <r>
    <x v="0"/>
    <x v="164"/>
    <x v="8"/>
    <x v="740"/>
    <n v="0"/>
    <n v="366"/>
    <x v="6"/>
    <x v="0"/>
  </r>
  <r>
    <x v="0"/>
    <x v="164"/>
    <x v="8"/>
    <x v="741"/>
    <n v="0"/>
    <n v="1045"/>
    <x v="6"/>
    <x v="0"/>
  </r>
  <r>
    <x v="0"/>
    <x v="165"/>
    <x v="8"/>
    <x v="742"/>
    <n v="0"/>
    <n v="1064.02"/>
    <x v="6"/>
    <x v="0"/>
  </r>
  <r>
    <x v="0"/>
    <x v="165"/>
    <x v="8"/>
    <x v="743"/>
    <n v="0"/>
    <n v="1572.16"/>
    <x v="6"/>
    <x v="0"/>
  </r>
  <r>
    <x v="0"/>
    <x v="166"/>
    <x v="8"/>
    <x v="744"/>
    <n v="0"/>
    <n v="1095"/>
    <x v="6"/>
    <x v="0"/>
  </r>
  <r>
    <x v="0"/>
    <x v="167"/>
    <x v="8"/>
    <x v="745"/>
    <n v="0"/>
    <n v="334.64"/>
    <x v="6"/>
    <x v="0"/>
  </r>
  <r>
    <x v="0"/>
    <x v="168"/>
    <x v="8"/>
    <x v="746"/>
    <n v="0"/>
    <n v="2344.98"/>
    <x v="6"/>
    <x v="0"/>
  </r>
  <r>
    <x v="0"/>
    <x v="168"/>
    <x v="8"/>
    <x v="747"/>
    <n v="0"/>
    <n v="104"/>
    <x v="6"/>
    <x v="0"/>
  </r>
  <r>
    <x v="0"/>
    <x v="168"/>
    <x v="8"/>
    <x v="748"/>
    <n v="0"/>
    <n v="856.83"/>
    <x v="6"/>
    <x v="0"/>
  </r>
  <r>
    <x v="0"/>
    <x v="168"/>
    <x v="8"/>
    <x v="749"/>
    <n v="0"/>
    <n v="690"/>
    <x v="6"/>
    <x v="0"/>
  </r>
  <r>
    <x v="0"/>
    <x v="169"/>
    <x v="8"/>
    <x v="750"/>
    <n v="0"/>
    <n v="1304.68"/>
    <x v="6"/>
    <x v="0"/>
  </r>
  <r>
    <x v="0"/>
    <x v="169"/>
    <x v="8"/>
    <x v="751"/>
    <n v="0"/>
    <n v="1962.7"/>
    <x v="6"/>
    <x v="0"/>
  </r>
  <r>
    <x v="0"/>
    <x v="170"/>
    <x v="8"/>
    <x v="752"/>
    <n v="0"/>
    <n v="130"/>
    <x v="6"/>
    <x v="0"/>
  </r>
  <r>
    <x v="0"/>
    <x v="170"/>
    <x v="8"/>
    <x v="753"/>
    <n v="0"/>
    <n v="1758"/>
    <x v="6"/>
    <x v="0"/>
  </r>
  <r>
    <x v="0"/>
    <x v="171"/>
    <x v="8"/>
    <x v="754"/>
    <n v="0"/>
    <n v="794.55"/>
    <x v="6"/>
    <x v="0"/>
  </r>
  <r>
    <x v="0"/>
    <x v="171"/>
    <x v="8"/>
    <x v="755"/>
    <n v="0"/>
    <n v="1323"/>
    <x v="6"/>
    <x v="0"/>
  </r>
  <r>
    <x v="0"/>
    <x v="171"/>
    <x v="8"/>
    <x v="756"/>
    <n v="0"/>
    <n v="791.1"/>
    <x v="6"/>
    <x v="0"/>
  </r>
  <r>
    <x v="0"/>
    <x v="172"/>
    <x v="8"/>
    <x v="757"/>
    <n v="0"/>
    <n v="840"/>
    <x v="6"/>
    <x v="0"/>
  </r>
  <r>
    <x v="0"/>
    <x v="173"/>
    <x v="10"/>
    <x v="758"/>
    <n v="0"/>
    <n v="17900"/>
    <x v="6"/>
    <x v="0"/>
  </r>
  <r>
    <x v="0"/>
    <x v="173"/>
    <x v="11"/>
    <x v="759"/>
    <n v="0"/>
    <n v="11708"/>
    <x v="6"/>
    <x v="0"/>
  </r>
  <r>
    <x v="1"/>
    <x v="173"/>
    <x v="5"/>
    <x v="760"/>
    <n v="248745.5"/>
    <n v="0"/>
    <x v="6"/>
    <x v="0"/>
  </r>
  <r>
    <x v="1"/>
    <x v="173"/>
    <x v="9"/>
    <x v="761"/>
    <n v="7712.25"/>
    <n v="0"/>
    <x v="6"/>
    <x v="0"/>
  </r>
  <r>
    <x v="0"/>
    <x v="173"/>
    <x v="1"/>
    <x v="762"/>
    <n v="0"/>
    <n v="87.34"/>
    <x v="6"/>
    <x v="0"/>
  </r>
  <r>
    <x v="0"/>
    <x v="173"/>
    <x v="6"/>
    <x v="763"/>
    <n v="0"/>
    <n v="6397"/>
    <x v="6"/>
    <x v="0"/>
  </r>
  <r>
    <x v="0"/>
    <x v="174"/>
    <x v="8"/>
    <x v="764"/>
    <n v="0"/>
    <n v="1058.96"/>
    <x v="6"/>
    <x v="0"/>
  </r>
  <r>
    <x v="0"/>
    <x v="174"/>
    <x v="8"/>
    <x v="765"/>
    <n v="0"/>
    <n v="1497"/>
    <x v="6"/>
    <x v="0"/>
  </r>
  <r>
    <x v="0"/>
    <x v="171"/>
    <x v="8"/>
    <x v="766"/>
    <n v="0"/>
    <n v="1699.38"/>
    <x v="6"/>
    <x v="0"/>
  </r>
  <r>
    <x v="0"/>
    <x v="172"/>
    <x v="8"/>
    <x v="767"/>
    <n v="0"/>
    <n v="2342.1"/>
    <x v="6"/>
    <x v="0"/>
  </r>
  <r>
    <x v="0"/>
    <x v="170"/>
    <x v="8"/>
    <x v="768"/>
    <n v="0"/>
    <n v="2534.34"/>
    <x v="6"/>
    <x v="0"/>
  </r>
  <r>
    <x v="0"/>
    <x v="171"/>
    <x v="8"/>
    <x v="769"/>
    <n v="0"/>
    <n v="169.22"/>
    <x v="6"/>
    <x v="0"/>
  </r>
  <r>
    <x v="0"/>
    <x v="171"/>
    <x v="8"/>
    <x v="770"/>
    <n v="0"/>
    <n v="59.25"/>
    <x v="6"/>
    <x v="0"/>
  </r>
  <r>
    <x v="0"/>
    <x v="171"/>
    <x v="8"/>
    <x v="771"/>
    <n v="0"/>
    <n v="1509"/>
    <x v="6"/>
    <x v="0"/>
  </r>
  <r>
    <x v="0"/>
    <x v="170"/>
    <x v="8"/>
    <x v="772"/>
    <n v="0"/>
    <n v="3066.05"/>
    <x v="6"/>
    <x v="0"/>
  </r>
  <r>
    <x v="0"/>
    <x v="168"/>
    <x v="8"/>
    <x v="773"/>
    <n v="0"/>
    <n v="563.1"/>
    <x v="6"/>
    <x v="0"/>
  </r>
  <r>
    <x v="0"/>
    <x v="171"/>
    <x v="8"/>
    <x v="774"/>
    <n v="0"/>
    <n v="354"/>
    <x v="6"/>
    <x v="0"/>
  </r>
  <r>
    <x v="0"/>
    <x v="170"/>
    <x v="8"/>
    <x v="775"/>
    <n v="0"/>
    <n v="667"/>
    <x v="6"/>
    <x v="0"/>
  </r>
  <r>
    <x v="0"/>
    <x v="170"/>
    <x v="8"/>
    <x v="776"/>
    <n v="0"/>
    <n v="397.99"/>
    <x v="6"/>
    <x v="0"/>
  </r>
  <r>
    <x v="0"/>
    <x v="170"/>
    <x v="8"/>
    <x v="777"/>
    <n v="0"/>
    <n v="496.8"/>
    <x v="6"/>
    <x v="0"/>
  </r>
  <r>
    <x v="0"/>
    <x v="171"/>
    <x v="8"/>
    <x v="778"/>
    <n v="0"/>
    <n v="394.48"/>
    <x v="6"/>
    <x v="0"/>
  </r>
  <r>
    <x v="0"/>
    <x v="170"/>
    <x v="8"/>
    <x v="779"/>
    <n v="0"/>
    <n v="2135.88"/>
    <x v="6"/>
    <x v="0"/>
  </r>
  <r>
    <x v="0"/>
    <x v="170"/>
    <x v="8"/>
    <x v="780"/>
    <n v="0"/>
    <n v="1667.45"/>
    <x v="6"/>
    <x v="0"/>
  </r>
  <r>
    <x v="0"/>
    <x v="170"/>
    <x v="8"/>
    <x v="781"/>
    <n v="0"/>
    <n v="3172.22"/>
    <x v="6"/>
    <x v="0"/>
  </r>
  <r>
    <x v="0"/>
    <x v="170"/>
    <x v="8"/>
    <x v="782"/>
    <n v="0"/>
    <n v="570"/>
    <x v="6"/>
    <x v="0"/>
  </r>
  <r>
    <x v="0"/>
    <x v="169"/>
    <x v="8"/>
    <x v="783"/>
    <n v="0"/>
    <n v="1848"/>
    <x v="6"/>
    <x v="0"/>
  </r>
  <r>
    <x v="0"/>
    <x v="166"/>
    <x v="8"/>
    <x v="784"/>
    <n v="0"/>
    <n v="5716.54"/>
    <x v="6"/>
    <x v="0"/>
  </r>
  <r>
    <x v="0"/>
    <x v="166"/>
    <x v="8"/>
    <x v="785"/>
    <n v="0"/>
    <n v="514.79999999999995"/>
    <x v="6"/>
    <x v="0"/>
  </r>
  <r>
    <x v="0"/>
    <x v="167"/>
    <x v="8"/>
    <x v="786"/>
    <n v="0"/>
    <n v="1775.77"/>
    <x v="6"/>
    <x v="0"/>
  </r>
  <r>
    <x v="0"/>
    <x v="175"/>
    <x v="8"/>
    <x v="787"/>
    <n v="0"/>
    <n v="162"/>
    <x v="6"/>
    <x v="0"/>
  </r>
  <r>
    <x v="0"/>
    <x v="167"/>
    <x v="8"/>
    <x v="788"/>
    <n v="0"/>
    <n v="5517.32"/>
    <x v="6"/>
    <x v="0"/>
  </r>
  <r>
    <x v="0"/>
    <x v="166"/>
    <x v="8"/>
    <x v="789"/>
    <n v="0"/>
    <n v="6765.59"/>
    <x v="6"/>
    <x v="0"/>
  </r>
  <r>
    <x v="0"/>
    <x v="165"/>
    <x v="8"/>
    <x v="790"/>
    <n v="0"/>
    <n v="1124.1500000000001"/>
    <x v="6"/>
    <x v="0"/>
  </r>
  <r>
    <x v="0"/>
    <x v="176"/>
    <x v="8"/>
    <x v="791"/>
    <n v="0"/>
    <n v="1462.05"/>
    <x v="6"/>
    <x v="0"/>
  </r>
  <r>
    <x v="0"/>
    <x v="166"/>
    <x v="8"/>
    <x v="792"/>
    <n v="0"/>
    <n v="1788.12"/>
    <x v="6"/>
    <x v="0"/>
  </r>
  <r>
    <x v="0"/>
    <x v="176"/>
    <x v="8"/>
    <x v="793"/>
    <n v="0"/>
    <n v="1786.7"/>
    <x v="6"/>
    <x v="0"/>
  </r>
  <r>
    <x v="0"/>
    <x v="175"/>
    <x v="8"/>
    <x v="794"/>
    <n v="0"/>
    <n v="89"/>
    <x v="6"/>
    <x v="0"/>
  </r>
  <r>
    <x v="0"/>
    <x v="176"/>
    <x v="8"/>
    <x v="795"/>
    <n v="0"/>
    <n v="1382.16"/>
    <x v="6"/>
    <x v="0"/>
  </r>
  <r>
    <x v="0"/>
    <x v="175"/>
    <x v="8"/>
    <x v="796"/>
    <n v="0"/>
    <n v="1125"/>
    <x v="6"/>
    <x v="0"/>
  </r>
  <r>
    <x v="0"/>
    <x v="177"/>
    <x v="8"/>
    <x v="797"/>
    <n v="0"/>
    <n v="1400.1"/>
    <x v="6"/>
    <x v="0"/>
  </r>
  <r>
    <x v="0"/>
    <x v="175"/>
    <x v="8"/>
    <x v="798"/>
    <n v="0"/>
    <n v="255"/>
    <x v="6"/>
    <x v="0"/>
  </r>
  <r>
    <x v="0"/>
    <x v="176"/>
    <x v="8"/>
    <x v="799"/>
    <n v="0"/>
    <n v="912.61"/>
    <x v="6"/>
    <x v="0"/>
  </r>
  <r>
    <x v="0"/>
    <x v="176"/>
    <x v="8"/>
    <x v="800"/>
    <n v="0"/>
    <n v="364.32"/>
    <x v="6"/>
    <x v="0"/>
  </r>
  <r>
    <x v="0"/>
    <x v="176"/>
    <x v="8"/>
    <x v="801"/>
    <n v="0"/>
    <n v="1153.43"/>
    <x v="6"/>
    <x v="0"/>
  </r>
  <r>
    <x v="0"/>
    <x v="165"/>
    <x v="8"/>
    <x v="802"/>
    <n v="0"/>
    <n v="1669.53"/>
    <x v="6"/>
    <x v="0"/>
  </r>
  <r>
    <x v="0"/>
    <x v="165"/>
    <x v="8"/>
    <x v="803"/>
    <n v="0"/>
    <n v="1678.27"/>
    <x v="6"/>
    <x v="0"/>
  </r>
  <r>
    <x v="0"/>
    <x v="176"/>
    <x v="8"/>
    <x v="804"/>
    <n v="0"/>
    <n v="2600.6999999999998"/>
    <x v="6"/>
    <x v="0"/>
  </r>
  <r>
    <x v="0"/>
    <x v="176"/>
    <x v="8"/>
    <x v="805"/>
    <n v="0"/>
    <n v="624"/>
    <x v="6"/>
    <x v="0"/>
  </r>
  <r>
    <x v="0"/>
    <x v="164"/>
    <x v="8"/>
    <x v="806"/>
    <n v="0"/>
    <n v="324.39999999999998"/>
    <x v="6"/>
    <x v="0"/>
  </r>
  <r>
    <x v="0"/>
    <x v="165"/>
    <x v="8"/>
    <x v="807"/>
    <n v="0"/>
    <n v="2239.1"/>
    <x v="6"/>
    <x v="0"/>
  </r>
  <r>
    <x v="0"/>
    <x v="165"/>
    <x v="8"/>
    <x v="808"/>
    <n v="0"/>
    <n v="3086.07"/>
    <x v="6"/>
    <x v="0"/>
  </r>
  <r>
    <x v="0"/>
    <x v="164"/>
    <x v="8"/>
    <x v="809"/>
    <n v="0"/>
    <n v="562.79999999999995"/>
    <x v="6"/>
    <x v="0"/>
  </r>
  <r>
    <x v="0"/>
    <x v="162"/>
    <x v="8"/>
    <x v="810"/>
    <n v="0"/>
    <n v="280.8"/>
    <x v="6"/>
    <x v="0"/>
  </r>
  <r>
    <x v="0"/>
    <x v="164"/>
    <x v="8"/>
    <x v="811"/>
    <n v="0"/>
    <n v="780"/>
    <x v="6"/>
    <x v="0"/>
  </r>
  <r>
    <x v="0"/>
    <x v="178"/>
    <x v="8"/>
    <x v="812"/>
    <n v="0"/>
    <n v="1284.92"/>
    <x v="6"/>
    <x v="0"/>
  </r>
  <r>
    <x v="0"/>
    <x v="179"/>
    <x v="8"/>
    <x v="813"/>
    <n v="0"/>
    <n v="4525.8"/>
    <x v="6"/>
    <x v="0"/>
  </r>
  <r>
    <x v="0"/>
    <x v="177"/>
    <x v="8"/>
    <x v="814"/>
    <n v="0"/>
    <n v="1373.52"/>
    <x v="6"/>
    <x v="0"/>
  </r>
  <r>
    <x v="0"/>
    <x v="162"/>
    <x v="8"/>
    <x v="815"/>
    <n v="0"/>
    <n v="1156.04"/>
    <x v="6"/>
    <x v="0"/>
  </r>
  <r>
    <x v="0"/>
    <x v="177"/>
    <x v="8"/>
    <x v="816"/>
    <n v="0"/>
    <n v="1916.88"/>
    <x v="6"/>
    <x v="0"/>
  </r>
  <r>
    <x v="0"/>
    <x v="177"/>
    <x v="8"/>
    <x v="817"/>
    <n v="0"/>
    <n v="6349.91"/>
    <x v="6"/>
    <x v="0"/>
  </r>
  <r>
    <x v="0"/>
    <x v="177"/>
    <x v="8"/>
    <x v="818"/>
    <n v="0"/>
    <n v="405.6"/>
    <x v="6"/>
    <x v="0"/>
  </r>
  <r>
    <x v="0"/>
    <x v="177"/>
    <x v="8"/>
    <x v="819"/>
    <n v="0"/>
    <n v="7151.65"/>
    <x v="6"/>
    <x v="0"/>
  </r>
  <r>
    <x v="0"/>
    <x v="160"/>
    <x v="8"/>
    <x v="820"/>
    <n v="0"/>
    <n v="564.29999999999995"/>
    <x v="6"/>
    <x v="0"/>
  </r>
  <r>
    <x v="0"/>
    <x v="177"/>
    <x v="8"/>
    <x v="821"/>
    <n v="0"/>
    <n v="2179.5100000000002"/>
    <x v="6"/>
    <x v="0"/>
  </r>
  <r>
    <x v="0"/>
    <x v="177"/>
    <x v="8"/>
    <x v="822"/>
    <n v="0"/>
    <n v="730"/>
    <x v="6"/>
    <x v="0"/>
  </r>
  <r>
    <x v="0"/>
    <x v="162"/>
    <x v="8"/>
    <x v="823"/>
    <n v="0"/>
    <n v="503.41"/>
    <x v="6"/>
    <x v="0"/>
  </r>
  <r>
    <x v="0"/>
    <x v="177"/>
    <x v="8"/>
    <x v="824"/>
    <n v="0"/>
    <n v="3154.6"/>
    <x v="6"/>
    <x v="0"/>
  </r>
  <r>
    <x v="0"/>
    <x v="177"/>
    <x v="8"/>
    <x v="825"/>
    <n v="0"/>
    <n v="3947.02"/>
    <x v="6"/>
    <x v="0"/>
  </r>
  <r>
    <x v="0"/>
    <x v="177"/>
    <x v="8"/>
    <x v="826"/>
    <n v="0"/>
    <n v="3798.05"/>
    <x v="6"/>
    <x v="0"/>
  </r>
  <r>
    <x v="0"/>
    <x v="159"/>
    <x v="8"/>
    <x v="827"/>
    <n v="0"/>
    <n v="573"/>
    <x v="6"/>
    <x v="0"/>
  </r>
  <r>
    <x v="0"/>
    <x v="180"/>
    <x v="8"/>
    <x v="828"/>
    <n v="0"/>
    <n v="4803.84"/>
    <x v="6"/>
    <x v="0"/>
  </r>
  <r>
    <x v="0"/>
    <x v="159"/>
    <x v="8"/>
    <x v="829"/>
    <n v="0"/>
    <n v="12253.11"/>
    <x v="6"/>
    <x v="0"/>
  </r>
  <r>
    <x v="0"/>
    <x v="159"/>
    <x v="8"/>
    <x v="830"/>
    <n v="0"/>
    <n v="1878.15"/>
    <x v="6"/>
    <x v="0"/>
  </r>
  <r>
    <x v="0"/>
    <x v="179"/>
    <x v="8"/>
    <x v="831"/>
    <n v="0"/>
    <n v="298.52"/>
    <x v="6"/>
    <x v="0"/>
  </r>
  <r>
    <x v="0"/>
    <x v="158"/>
    <x v="8"/>
    <x v="832"/>
    <n v="0"/>
    <n v="3295.15"/>
    <x v="6"/>
    <x v="0"/>
  </r>
  <r>
    <x v="0"/>
    <x v="158"/>
    <x v="8"/>
    <x v="833"/>
    <n v="0"/>
    <n v="1804.5"/>
    <x v="6"/>
    <x v="0"/>
  </r>
  <r>
    <x v="0"/>
    <x v="179"/>
    <x v="8"/>
    <x v="834"/>
    <n v="0"/>
    <n v="355.4"/>
    <x v="6"/>
    <x v="0"/>
  </r>
  <r>
    <x v="0"/>
    <x v="179"/>
    <x v="8"/>
    <x v="835"/>
    <n v="0"/>
    <n v="1152"/>
    <x v="6"/>
    <x v="0"/>
  </r>
  <r>
    <x v="0"/>
    <x v="158"/>
    <x v="8"/>
    <x v="836"/>
    <n v="0"/>
    <n v="3667.68"/>
    <x v="6"/>
    <x v="0"/>
  </r>
  <r>
    <x v="0"/>
    <x v="179"/>
    <x v="8"/>
    <x v="837"/>
    <n v="0"/>
    <n v="370"/>
    <x v="6"/>
    <x v="0"/>
  </r>
  <r>
    <x v="0"/>
    <x v="158"/>
    <x v="8"/>
    <x v="838"/>
    <n v="0"/>
    <n v="1454.32"/>
    <x v="6"/>
    <x v="0"/>
  </r>
  <r>
    <x v="0"/>
    <x v="179"/>
    <x v="8"/>
    <x v="839"/>
    <n v="0"/>
    <n v="2240"/>
    <x v="6"/>
    <x v="0"/>
  </r>
  <r>
    <x v="0"/>
    <x v="158"/>
    <x v="8"/>
    <x v="840"/>
    <n v="0"/>
    <n v="730"/>
    <x v="6"/>
    <x v="0"/>
  </r>
  <r>
    <x v="0"/>
    <x v="179"/>
    <x v="8"/>
    <x v="841"/>
    <n v="0"/>
    <n v="1196.99"/>
    <x v="6"/>
    <x v="0"/>
  </r>
  <r>
    <x v="0"/>
    <x v="155"/>
    <x v="8"/>
    <x v="842"/>
    <n v="0"/>
    <n v="2274"/>
    <x v="6"/>
    <x v="0"/>
  </r>
  <r>
    <x v="0"/>
    <x v="157"/>
    <x v="8"/>
    <x v="843"/>
    <n v="0"/>
    <n v="850"/>
    <x v="6"/>
    <x v="0"/>
  </r>
  <r>
    <x v="0"/>
    <x v="158"/>
    <x v="8"/>
    <x v="844"/>
    <n v="0"/>
    <n v="2472.66"/>
    <x v="6"/>
    <x v="0"/>
  </r>
  <r>
    <x v="0"/>
    <x v="158"/>
    <x v="8"/>
    <x v="845"/>
    <n v="0"/>
    <n v="4477.12"/>
    <x v="6"/>
    <x v="0"/>
  </r>
  <r>
    <x v="0"/>
    <x v="158"/>
    <x v="8"/>
    <x v="846"/>
    <n v="0"/>
    <n v="1406.16"/>
    <x v="6"/>
    <x v="0"/>
  </r>
  <r>
    <x v="0"/>
    <x v="158"/>
    <x v="8"/>
    <x v="847"/>
    <n v="0"/>
    <n v="3336.06"/>
    <x v="6"/>
    <x v="0"/>
  </r>
  <r>
    <x v="0"/>
    <x v="158"/>
    <x v="8"/>
    <x v="848"/>
    <n v="0"/>
    <n v="3386.1"/>
    <x v="6"/>
    <x v="0"/>
  </r>
  <r>
    <x v="0"/>
    <x v="157"/>
    <x v="8"/>
    <x v="849"/>
    <n v="0"/>
    <n v="885.2"/>
    <x v="6"/>
    <x v="0"/>
  </r>
  <r>
    <x v="0"/>
    <x v="157"/>
    <x v="8"/>
    <x v="850"/>
    <n v="0"/>
    <n v="1611.75"/>
    <x v="6"/>
    <x v="0"/>
  </r>
  <r>
    <x v="0"/>
    <x v="154"/>
    <x v="8"/>
    <x v="851"/>
    <n v="0"/>
    <n v="2407.31"/>
    <x v="6"/>
    <x v="0"/>
  </r>
  <r>
    <x v="0"/>
    <x v="154"/>
    <x v="8"/>
    <x v="852"/>
    <n v="0"/>
    <n v="264"/>
    <x v="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0" applyNumberFormats="0" applyBorderFormats="0" applyFontFormats="0" applyPatternFormats="0" applyAlignmentFormats="0" applyWidthHeightFormats="1" dataCaption="Valores" grandTotalCaption="Total INGRESOS" missingCaption="0" updatedVersion="6" minRefreshableVersion="3" itemPrintTitles="1" mergeItem="1" createdVersion="6" indent="0" outline="1" outlineData="1" multipleFieldFilters="0" rowHeaderCaption="Concepto" colHeaderCaption="">
  <location ref="A7:I13" firstHeaderRow="1" firstDataRow="3" firstDataCol="1" rowPageCount="1" colPageCount="1"/>
  <pivotFields count="11">
    <pivotField name="Tipo Operación: " axis="axisRow" showAll="0" defaultSubtotal="0">
      <items count="4">
        <item m="1" x="2"/>
        <item x="0"/>
        <item m="1" x="3"/>
        <item x="1"/>
      </items>
    </pivotField>
    <pivotField axis="axisCol" numFmtId="15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84">
        <item m="1" x="54"/>
        <item m="1" x="25"/>
        <item m="1" x="49"/>
        <item m="1" x="75"/>
        <item m="1" x="42"/>
        <item m="1" x="41"/>
        <item m="1" x="21"/>
        <item m="1" x="26"/>
        <item m="1" x="12"/>
        <item m="1" x="20"/>
        <item m="1" x="70"/>
        <item m="1" x="23"/>
        <item m="1" x="78"/>
        <item m="1" x="59"/>
        <item m="1" x="69"/>
        <item m="1" x="22"/>
        <item x="6"/>
        <item m="1" x="55"/>
        <item m="1" x="65"/>
        <item m="1" x="52"/>
        <item m="1" x="48"/>
        <item m="1" x="62"/>
        <item m="1" x="47"/>
        <item m="1" x="37"/>
        <item m="1" x="45"/>
        <item m="1" x="16"/>
        <item m="1" x="68"/>
        <item m="1" x="72"/>
        <item m="1" x="43"/>
        <item m="1" x="32"/>
        <item m="1" x="57"/>
        <item m="1" x="44"/>
        <item m="1" x="63"/>
        <item m="1" x="33"/>
        <item m="1" x="24"/>
        <item m="1" x="35"/>
        <item m="1" x="80"/>
        <item m="1" x="17"/>
        <item m="1" x="74"/>
        <item m="1" x="73"/>
        <item m="1" x="83"/>
        <item m="1" x="76"/>
        <item m="1" x="81"/>
        <item m="1" x="71"/>
        <item m="1" x="29"/>
        <item m="1" x="15"/>
        <item m="1" x="38"/>
        <item m="1" x="61"/>
        <item m="1" x="50"/>
        <item m="1" x="79"/>
        <item m="1" x="46"/>
        <item m="1" x="60"/>
        <item m="1" x="58"/>
        <item m="1" x="39"/>
        <item x="1"/>
        <item m="1" x="27"/>
        <item m="1" x="30"/>
        <item m="1" x="31"/>
        <item m="1" x="14"/>
        <item m="1" x="19"/>
        <item m="1" x="66"/>
        <item x="5"/>
        <item m="1" x="67"/>
        <item x="7"/>
        <item m="1" x="56"/>
        <item m="1" x="77"/>
        <item x="4"/>
        <item m="1" x="82"/>
        <item m="1" x="34"/>
        <item m="1" x="18"/>
        <item m="1" x="53"/>
        <item m="1" x="13"/>
        <item m="1" x="40"/>
        <item m="1" x="36"/>
        <item m="1" x="28"/>
        <item m="1" x="51"/>
        <item m="1" x="64"/>
        <item x="0"/>
        <item x="2"/>
        <item x="3"/>
        <item x="8"/>
        <item x="9"/>
        <item x="10"/>
        <item x="11"/>
      </items>
    </pivotField>
    <pivotField showAll="0" defaultSubtotal="0"/>
    <pivotField dataField="1" numFmtId="44" showAll="0" defaultSubtotal="0"/>
    <pivotField numFmtId="44" showAll="0" defaultSubtotal="0"/>
    <pivotField name="MES:" showAll="0" sortType="descending" defaultSubtotal="0">
      <items count="12"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name="AÑO: " axis="axisPage" showAll="0" defaultSubtotal="0">
      <items count="8">
        <item m="1" x="1"/>
        <item m="1" x="4"/>
        <item m="1" x="7"/>
        <item m="1" x="3"/>
        <item m="1" x="6"/>
        <item m="1" x="2"/>
        <item m="1" x="5"/>
        <item x="0"/>
      </items>
    </pivotField>
    <pivotField dragToRow="0" dragToCol="0" dragToPage="0" showAll="0" defaultSubtotal="0"/>
    <pivotField axis="axisCol" showAll="0" defaultSubtotal="0">
      <items count="3">
        <item x="0"/>
        <item x="1"/>
        <item x="2"/>
      </items>
    </pivotField>
    <pivotField subtotalTop="0" dragToRow="0" dragToCol="0" dragToPage="0" showAll="0" defaultSubtotal="0"/>
  </pivotFields>
  <rowFields count="2">
    <field x="0"/>
    <field x="2"/>
  </rowFields>
  <rowItems count="4">
    <i>
      <x v="3"/>
    </i>
    <i r="1">
      <x v="61"/>
    </i>
    <i r="1">
      <x v="81"/>
    </i>
    <i t="grand">
      <x/>
    </i>
  </rowItems>
  <colFields count="2">
    <field x="9"/>
    <field x="1"/>
  </colFields>
  <colItems count="8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colItems>
  <pageFields count="1">
    <pageField fld="7" item="7" hier="-1"/>
  </pageFields>
  <dataFields count="1">
    <dataField name=" Entrada " fld="4" baseField="2" baseItem="1" numFmtId="44"/>
  </dataFields>
  <formats count="25">
    <format dxfId="125">
      <pivotArea field="7" type="button" dataOnly="0" labelOnly="1" outline="0" axis="axisPage" fieldPosition="0"/>
    </format>
    <format dxfId="124">
      <pivotArea field="7" type="button" dataOnly="0" labelOnly="1" outline="0" axis="axisPage" fieldPosition="0"/>
    </format>
    <format dxfId="123">
      <pivotArea field="7" type="button" dataOnly="0" labelOnly="1" outline="0" axis="axisPage" fieldPosition="0"/>
    </format>
    <format dxfId="122">
      <pivotArea field="6" type="button" dataOnly="0" labelOnly="1" outline="0"/>
    </format>
    <format dxfId="121">
      <pivotArea field="6" type="button" dataOnly="0" labelOnly="1" outline="0"/>
    </format>
    <format dxfId="120">
      <pivotArea field="6" type="button" dataOnly="0" labelOnly="1" outline="0"/>
    </format>
    <format dxfId="119">
      <pivotArea field="6" type="button" dataOnly="0" labelOnly="1" outline="0"/>
    </format>
    <format dxfId="118">
      <pivotArea field="6" type="button" dataOnly="0" labelOnly="1" outline="0"/>
    </format>
    <format dxfId="117">
      <pivotArea field="6" type="button" dataOnly="0" labelOnly="1" outline="0"/>
    </format>
    <format dxfId="116">
      <pivotArea dataOnly="0" labelOnly="1" outline="0" fieldPosition="0">
        <references count="1">
          <reference field="7" count="0"/>
        </references>
      </pivotArea>
    </format>
    <format dxfId="115">
      <pivotArea dataOnly="0" labelOnly="1" grandCol="1" outline="0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9" type="button" dataOnly="0" labelOnly="1" outline="0" axis="axisCol" fieldPosition="0"/>
    </format>
    <format dxfId="110">
      <pivotArea field="1" type="button" dataOnly="0" labelOnly="1" outline="0" axis="axisCol" fieldPosition="1"/>
    </format>
    <format dxfId="109">
      <pivotArea type="topRight" dataOnly="0" labelOnly="1" outline="0" fieldPosition="0"/>
    </format>
    <format dxfId="108">
      <pivotArea field="0" type="button" dataOnly="0" labelOnly="1" outline="0" axis="axisRow" fieldPosition="0"/>
    </format>
    <format dxfId="107">
      <pivotArea dataOnly="0" labelOnly="1" fieldPosition="0">
        <references count="1">
          <reference field="0" count="1">
            <x v="3"/>
          </reference>
        </references>
      </pivotArea>
    </format>
    <format dxfId="106">
      <pivotArea dataOnly="0" labelOnly="1" grandRow="1" outline="0" fieldPosition="0"/>
    </format>
    <format dxfId="105">
      <pivotArea dataOnly="0" labelOnly="1" fieldPosition="0">
        <references count="2">
          <reference field="0" count="1" selected="0">
            <x v="3"/>
          </reference>
          <reference field="2" count="2">
            <x v="61"/>
            <x v="81"/>
          </reference>
        </references>
      </pivotArea>
    </format>
    <format dxfId="104">
      <pivotArea dataOnly="0" labelOnly="1" fieldPosition="0">
        <references count="1">
          <reference field="9" count="1">
            <x v="1"/>
          </reference>
        </references>
      </pivotArea>
    </format>
    <format dxfId="103">
      <pivotArea dataOnly="0" labelOnly="1" grandCol="1" outline="0" fieldPosition="0"/>
    </format>
    <format dxfId="102">
      <pivotArea dataOnly="0" labelOnly="1" fieldPosition="0">
        <references count="2">
          <reference field="1" count="7">
            <x v="1"/>
            <x v="2"/>
            <x v="3"/>
            <x v="4"/>
            <x v="5"/>
            <x v="6"/>
            <x v="7"/>
          </reference>
          <reference field="9" count="1" selected="0">
            <x v="1"/>
          </reference>
        </references>
      </pivotArea>
    </format>
    <format dxfId="10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0" type="captionContains" evalOrder="-1" id="1" stringValue1="INGRESOS">
      <autoFilter ref="A1">
        <filterColumn colId="0">
          <customFilters>
            <customFilter val="*INGRESO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2" cacheId="0" applyNumberFormats="0" applyBorderFormats="0" applyFontFormats="0" applyPatternFormats="0" applyAlignmentFormats="0" applyWidthHeightFormats="1" dataCaption="Valores" grandTotalCaption="Total GASTOS" missingCaption="0" updatedVersion="6" minRefreshableVersion="3" itemPrintTitles="1" mergeItem="1" createdVersion="6" indent="0" outline="1" outlineData="1" multipleFieldFilters="0" rowHeaderCaption="Concepto" colHeaderCaption="">
  <location ref="A7:I21" firstHeaderRow="1" firstDataRow="3" firstDataCol="1" rowPageCount="1" colPageCount="1"/>
  <pivotFields count="11">
    <pivotField axis="axisRow" showAll="0" defaultSubtotal="0">
      <items count="4">
        <item x="0"/>
        <item x="1"/>
        <item m="1" x="3"/>
        <item m="1" x="2"/>
      </items>
    </pivotField>
    <pivotField axis="axisCol" numFmtId="15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84">
        <item m="1" x="41"/>
        <item m="1" x="12"/>
        <item m="1" x="20"/>
        <item m="1" x="23"/>
        <item m="1" x="78"/>
        <item m="1" x="59"/>
        <item m="1" x="69"/>
        <item m="1" x="22"/>
        <item x="6"/>
        <item m="1" x="55"/>
        <item m="1" x="65"/>
        <item m="1" x="52"/>
        <item m="1" x="48"/>
        <item m="1" x="62"/>
        <item m="1" x="37"/>
        <item m="1" x="15"/>
        <item m="1" x="38"/>
        <item m="1" x="50"/>
        <item m="1" x="60"/>
        <item m="1" x="58"/>
        <item m="1" x="14"/>
        <item m="1" x="66"/>
        <item x="7"/>
        <item m="1" x="56"/>
        <item m="1" x="46"/>
        <item m="1" x="30"/>
        <item m="1" x="75"/>
        <item m="1" x="44"/>
        <item m="1" x="73"/>
        <item m="1" x="17"/>
        <item m="1" x="68"/>
        <item m="1" x="74"/>
        <item m="1" x="57"/>
        <item m="1" x="72"/>
        <item m="1" x="42"/>
        <item m="1" x="16"/>
        <item m="1" x="39"/>
        <item m="1" x="45"/>
        <item m="1" x="19"/>
        <item m="1" x="43"/>
        <item m="1" x="83"/>
        <item m="1" x="35"/>
        <item m="1" x="24"/>
        <item m="1" x="76"/>
        <item m="1" x="63"/>
        <item m="1" x="33"/>
        <item m="1" x="80"/>
        <item m="1" x="32"/>
        <item m="1" x="26"/>
        <item m="1" x="49"/>
        <item m="1" x="70"/>
        <item m="1" x="29"/>
        <item m="1" x="81"/>
        <item m="1" x="61"/>
        <item m="1" x="31"/>
        <item x="5"/>
        <item m="1" x="25"/>
        <item m="1" x="67"/>
        <item m="1" x="54"/>
        <item m="1" x="27"/>
        <item x="1"/>
        <item m="1" x="47"/>
        <item m="1" x="71"/>
        <item m="1" x="21"/>
        <item m="1" x="79"/>
        <item m="1" x="77"/>
        <item x="4"/>
        <item m="1" x="82"/>
        <item m="1" x="34"/>
        <item m="1" x="18"/>
        <item m="1" x="53"/>
        <item m="1" x="13"/>
        <item m="1" x="40"/>
        <item m="1" x="36"/>
        <item m="1" x="28"/>
        <item m="1" x="51"/>
        <item m="1" x="64"/>
        <item x="0"/>
        <item x="2"/>
        <item x="3"/>
        <item x="8"/>
        <item x="9"/>
        <item x="10"/>
        <item x="11"/>
      </items>
    </pivotField>
    <pivotField showAll="0" defaultSubtotal="0"/>
    <pivotField numFmtId="44" showAll="0" defaultSubtotal="0"/>
    <pivotField dataField="1" numFmtId="44" showAll="0" defaultSubtotal="0"/>
    <pivotField showAll="0" sortType="descending" defaultSubtotal="0"/>
    <pivotField axis="axisPage" showAll="0" defaultSubtotal="0">
      <items count="8">
        <item m="1" x="1"/>
        <item m="1" x="4"/>
        <item m="1" x="7"/>
        <item m="1" x="3"/>
        <item m="1" x="6"/>
        <item m="1" x="2"/>
        <item m="1" x="5"/>
        <item x="0"/>
      </items>
    </pivotField>
    <pivotField dragToRow="0" dragToCol="0" dragToPage="0" showAll="0" defaultSubtotal="0"/>
    <pivotField axis="axisCol" showAll="0" defaultSubtotal="0">
      <items count="3">
        <item x="0"/>
        <item x="1"/>
        <item x="2"/>
      </items>
    </pivotField>
    <pivotField subtotalTop="0" dragToRow="0" dragToCol="0" dragToPage="0" showAll="0" defaultSubtotal="0"/>
  </pivotFields>
  <rowFields count="2">
    <field x="0"/>
    <field x="2"/>
  </rowFields>
  <rowItems count="12">
    <i>
      <x/>
    </i>
    <i r="1">
      <x v="8"/>
    </i>
    <i r="1">
      <x v="22"/>
    </i>
    <i r="1">
      <x v="60"/>
    </i>
    <i r="1">
      <x v="66"/>
    </i>
    <i r="1">
      <x v="77"/>
    </i>
    <i r="1">
      <x v="78"/>
    </i>
    <i r="1">
      <x v="79"/>
    </i>
    <i r="1">
      <x v="80"/>
    </i>
    <i r="1">
      <x v="82"/>
    </i>
    <i r="1">
      <x v="83"/>
    </i>
    <i t="grand">
      <x/>
    </i>
  </rowItems>
  <colFields count="2">
    <field x="9"/>
    <field x="1"/>
  </colFields>
  <colItems count="8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colItems>
  <pageFields count="1">
    <pageField fld="7" item="7" hier="-1"/>
  </pageFields>
  <dataFields count="1">
    <dataField name="Suma de Salida" fld="5" baseField="0" baseItem="0" numFmtId="44"/>
  </dataFields>
  <formats count="27">
    <format dxfId="100">
      <pivotArea field="7" type="button" dataOnly="0" labelOnly="1" outline="0" axis="axisPage" fieldPosition="0"/>
    </format>
    <format dxfId="99">
      <pivotArea field="7" type="button" dataOnly="0" labelOnly="1" outline="0" axis="axisPage" fieldPosition="0"/>
    </format>
    <format dxfId="98">
      <pivotArea field="7" type="button" dataOnly="0" labelOnly="1" outline="0" axis="axisPage" fieldPosition="0"/>
    </format>
    <format dxfId="97">
      <pivotArea field="7" type="button" dataOnly="0" labelOnly="1" outline="0" axis="axisPage" fieldPosition="0"/>
    </format>
    <format dxfId="96">
      <pivotArea dataOnly="0" labelOnly="1" outline="0" fieldPosition="0">
        <references count="2">
          <reference field="0" count="1" selected="0">
            <x v="0"/>
          </reference>
          <reference field="7" count="1">
            <x v="3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0"/>
          </reference>
          <reference field="7" count="0"/>
        </references>
      </pivotArea>
    </format>
    <format dxfId="94">
      <pivotArea dataOnly="0" labelOnly="1" outline="0" fieldPosition="0">
        <references count="2">
          <reference field="0" count="1" selected="0">
            <x v="0"/>
          </reference>
          <reference field="7" count="0"/>
        </references>
      </pivotArea>
    </format>
    <format dxfId="93">
      <pivotArea dataOnly="0" labelOnly="1" outline="0" fieldPosition="0">
        <references count="2">
          <reference field="0" count="1" selected="0">
            <x v="0"/>
          </reference>
          <reference field="7" count="0"/>
        </references>
      </pivotArea>
    </format>
    <format dxfId="92">
      <pivotArea dataOnly="0" labelOnly="1" outline="0" fieldPosition="0">
        <references count="2">
          <reference field="0" count="1" selected="0">
            <x v="0"/>
          </reference>
          <reference field="7" count="0"/>
        </references>
      </pivotArea>
    </format>
    <format dxfId="91">
      <pivotArea dataOnly="0" labelOnly="1" outline="0" fieldPosition="0">
        <references count="2">
          <reference field="0" count="1" selected="0">
            <x v="1"/>
          </reference>
          <reference field="7" count="0"/>
        </references>
      </pivotArea>
    </format>
    <format dxfId="90">
      <pivotArea dataOnly="0" labelOnly="1" outline="0" fieldPosition="0">
        <references count="2">
          <reference field="0" count="1" selected="0">
            <x v="1"/>
          </reference>
          <reference field="7" count="0"/>
        </references>
      </pivotArea>
    </format>
    <format dxfId="89">
      <pivotArea dataOnly="0" labelOnly="1" outline="0" fieldPosition="0">
        <references count="2">
          <reference field="0" count="1" selected="0">
            <x v="1"/>
          </reference>
          <reference field="7" count="0"/>
        </references>
      </pivotArea>
    </format>
    <format dxfId="88">
      <pivotArea dataOnly="0" labelOnly="1" outline="0" fieldPosition="0">
        <references count="2">
          <reference field="0" count="1" selected="0">
            <x v="1"/>
          </reference>
          <reference field="7" count="0"/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field="9" type="button" dataOnly="0" labelOnly="1" outline="0" axis="axisCol" fieldPosition="0"/>
    </format>
    <format dxfId="83">
      <pivotArea field="1" type="button" dataOnly="0" labelOnly="1" outline="0" axis="axisCol" fieldPosition="1"/>
    </format>
    <format dxfId="82">
      <pivotArea type="topRight" dataOnly="0" labelOnly="1" outline="0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1">
            <x v="0"/>
          </reference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2">
          <reference field="0" count="1" selected="0">
            <x v="0"/>
          </reference>
          <reference field="2" count="10">
            <x v="8"/>
            <x v="22"/>
            <x v="60"/>
            <x v="66"/>
            <x v="77"/>
            <x v="78"/>
            <x v="79"/>
            <x v="80"/>
            <x v="82"/>
            <x v="83"/>
          </reference>
        </references>
      </pivotArea>
    </format>
    <format dxfId="77">
      <pivotArea dataOnly="0" labelOnly="1" fieldPosition="0">
        <references count="1">
          <reference field="9" count="1">
            <x v="1"/>
          </reference>
        </references>
      </pivotArea>
    </format>
    <format dxfId="76">
      <pivotArea dataOnly="0" labelOnly="1" grandCol="1" outline="0" fieldPosition="0"/>
    </format>
    <format dxfId="75">
      <pivotArea dataOnly="0" labelOnly="1" fieldPosition="0">
        <references count="2">
          <reference field="1" count="7">
            <x v="1"/>
            <x v="2"/>
            <x v="3"/>
            <x v="4"/>
            <x v="5"/>
            <x v="6"/>
            <x v="7"/>
          </reference>
          <reference field="9" count="1" selected="0">
            <x v="1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0" type="captionContains" evalOrder="-1" id="1" stringValue1="GASTOS">
      <autoFilter ref="A1">
        <filterColumn colId="0">
          <customFilters>
            <customFilter val="*GASTO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3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CRIPCIÓN DE GASTOS REALIZADOS DURANTE EL MES">
  <location ref="A7:D875" firstHeaderRow="0" firstDataRow="1" firstDataCol="1" rowPageCount="2" colPageCount="1"/>
  <pivotFields count="11">
    <pivotField axis="axisRow" showAll="0" sortType="descending">
      <items count="5">
        <item x="1"/>
        <item m="1" x="3"/>
        <item x="0"/>
        <item m="1" x="2"/>
        <item t="default"/>
      </items>
    </pivotField>
    <pivotField name="Fecha:" axis="axisPage" numFmtId="15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85">
        <item m="1" x="75"/>
        <item m="1" x="42"/>
        <item m="1" x="41"/>
        <item m="1" x="12"/>
        <item m="1" x="20"/>
        <item m="1" x="23"/>
        <item m="1" x="78"/>
        <item m="1" x="59"/>
        <item m="1" x="69"/>
        <item m="1" x="22"/>
        <item x="6"/>
        <item m="1" x="55"/>
        <item m="1" x="65"/>
        <item m="1" x="52"/>
        <item m="1" x="48"/>
        <item m="1" x="62"/>
        <item m="1" x="37"/>
        <item m="1" x="45"/>
        <item m="1" x="16"/>
        <item m="1" x="68"/>
        <item m="1" x="72"/>
        <item m="1" x="43"/>
        <item m="1" x="32"/>
        <item m="1" x="57"/>
        <item m="1" x="44"/>
        <item m="1" x="63"/>
        <item m="1" x="33"/>
        <item m="1" x="24"/>
        <item m="1" x="35"/>
        <item m="1" x="80"/>
        <item m="1" x="17"/>
        <item m="1" x="74"/>
        <item m="1" x="83"/>
        <item m="1" x="76"/>
        <item m="1" x="15"/>
        <item m="1" x="38"/>
        <item m="1" x="50"/>
        <item m="1" x="46"/>
        <item m="1" x="60"/>
        <item m="1" x="58"/>
        <item m="1" x="39"/>
        <item m="1" x="30"/>
        <item m="1" x="19"/>
        <item m="1" x="66"/>
        <item x="7"/>
        <item m="1" x="56"/>
        <item m="1" x="14"/>
        <item m="1" x="73"/>
        <item m="1" x="26"/>
        <item m="1" x="49"/>
        <item m="1" x="70"/>
        <item m="1" x="29"/>
        <item m="1" x="81"/>
        <item m="1" x="61"/>
        <item m="1" x="31"/>
        <item x="5"/>
        <item m="1" x="25"/>
        <item m="1" x="67"/>
        <item m="1" x="54"/>
        <item m="1" x="27"/>
        <item x="1"/>
        <item m="1" x="47"/>
        <item m="1" x="71"/>
        <item m="1" x="21"/>
        <item m="1" x="79"/>
        <item m="1" x="77"/>
        <item x="4"/>
        <item m="1" x="82"/>
        <item m="1" x="34"/>
        <item m="1" x="18"/>
        <item m="1" x="53"/>
        <item m="1" x="13"/>
        <item m="1" x="40"/>
        <item m="1" x="36"/>
        <item m="1" x="28"/>
        <item m="1" x="51"/>
        <item m="1" x="64"/>
        <item x="0"/>
        <item x="2"/>
        <item x="3"/>
        <item x="8"/>
        <item x="9"/>
        <item x="10"/>
        <item x="11"/>
        <item t="default"/>
      </items>
    </pivotField>
    <pivotField axis="axisRow" showAll="0">
      <items count="2798">
        <item m="1" x="2224"/>
        <item m="1" x="2260"/>
        <item m="1" x="2015"/>
        <item m="1" x="2526"/>
        <item m="1" x="2216"/>
        <item m="1" x="2104"/>
        <item m="1" x="2787"/>
        <item m="1" x="2325"/>
        <item m="1" x="1160"/>
        <item m="1" x="946"/>
        <item m="1" x="2315"/>
        <item m="1" x="895"/>
        <item m="1" x="1016"/>
        <item m="1" x="2482"/>
        <item m="1" x="2087"/>
        <item m="1" x="1485"/>
        <item m="1" x="2019"/>
        <item m="1" x="2390"/>
        <item m="1" x="2289"/>
        <item m="1" x="2510"/>
        <item m="1" x="2598"/>
        <item m="1" x="1110"/>
        <item m="1" x="941"/>
        <item m="1" x="2058"/>
        <item m="1" x="2419"/>
        <item m="1" x="1471"/>
        <item m="1" x="2722"/>
        <item m="1" x="857"/>
        <item m="1" x="1949"/>
        <item m="1" x="2518"/>
        <item m="1" x="1348"/>
        <item m="1" x="2097"/>
        <item m="1" x="2308"/>
        <item m="1" x="2244"/>
        <item m="1" x="2774"/>
        <item m="1" x="998"/>
        <item m="1" x="1187"/>
        <item m="1" x="2634"/>
        <item m="1" x="1239"/>
        <item m="1" x="2437"/>
        <item m="1" x="1008"/>
        <item m="1" x="2052"/>
        <item m="1" x="2235"/>
        <item m="1" x="1902"/>
        <item m="1" x="1298"/>
        <item m="1" x="870"/>
        <item m="1" x="1202"/>
        <item m="1" x="866"/>
        <item m="1" x="2016"/>
        <item m="1" x="2710"/>
        <item m="1" x="1335"/>
        <item m="1" x="1935"/>
        <item m="1" x="2681"/>
        <item m="1" x="894"/>
        <item m="1" x="1120"/>
        <item m="1" x="1529"/>
        <item m="1" x="936"/>
        <item m="1" x="1937"/>
        <item m="1" x="1328"/>
        <item m="1" x="1103"/>
        <item m="1" x="2192"/>
        <item m="1" x="2632"/>
        <item m="1" x="896"/>
        <item m="1" x="910"/>
        <item m="1" x="1121"/>
        <item m="1" x="2305"/>
        <item m="1" x="1437"/>
        <item m="1" x="1913"/>
        <item m="1" x="1718"/>
        <item m="1" x="1668"/>
        <item m="1" x="2481"/>
        <item m="1" x="1550"/>
        <item m="1" x="2778"/>
        <item m="1" x="2360"/>
        <item m="1" x="1000"/>
        <item m="1" x="1852"/>
        <item m="1" x="2781"/>
        <item m="1" x="1743"/>
        <item m="1" x="1698"/>
        <item m="1" x="1502"/>
        <item m="1" x="872"/>
        <item m="1" x="1154"/>
        <item m="1" x="1165"/>
        <item m="1" x="1070"/>
        <item m="1" x="979"/>
        <item m="1" x="953"/>
        <item m="1" x="1860"/>
        <item m="1" x="1857"/>
        <item m="1" x="1341"/>
        <item m="1" x="928"/>
        <item m="1" x="2614"/>
        <item m="1" x="922"/>
        <item m="1" x="855"/>
        <item m="1" x="2038"/>
        <item m="1" x="1850"/>
        <item m="1" x="2116"/>
        <item m="1" x="2009"/>
        <item m="1" x="989"/>
        <item m="1" x="954"/>
        <item m="1" x="1150"/>
        <item m="1" x="1838"/>
        <item m="1" x="948"/>
        <item m="1" x="2443"/>
        <item m="1" x="907"/>
        <item m="1" x="999"/>
        <item m="1" x="2193"/>
        <item m="1" x="1501"/>
        <item m="1" x="1329"/>
        <item m="1" x="1063"/>
        <item m="1" x="2040"/>
        <item m="1" x="1629"/>
        <item m="1" x="2067"/>
        <item m="1" x="2507"/>
        <item m="1" x="1985"/>
        <item m="1" x="2139"/>
        <item m="1" x="1223"/>
        <item m="1" x="980"/>
        <item m="1" x="1509"/>
        <item m="1" x="918"/>
        <item m="1" x="1977"/>
        <item m="1" x="2223"/>
        <item m="1" x="2083"/>
        <item m="1" x="2442"/>
        <item m="1" x="1015"/>
        <item m="1" x="2177"/>
        <item m="1" x="1054"/>
        <item m="1" x="929"/>
        <item m="1" x="1245"/>
        <item m="1" x="1683"/>
        <item m="1" x="1350"/>
        <item m="1" x="920"/>
        <item m="1" x="1808"/>
        <item m="1" x="1559"/>
        <item m="1" x="1055"/>
        <item m="1" x="2080"/>
        <item m="1" x="949"/>
        <item m="1" x="1017"/>
        <item m="1" x="1711"/>
        <item m="1" x="1968"/>
        <item m="1" x="1311"/>
        <item m="1" x="2255"/>
        <item m="1" x="2288"/>
        <item m="1" x="970"/>
        <item m="1" x="1127"/>
        <item m="1" x="959"/>
        <item m="1" x="2280"/>
        <item m="1" x="2030"/>
        <item m="1" x="1930"/>
        <item m="1" x="2115"/>
        <item m="1" x="2165"/>
        <item m="1" x="2128"/>
        <item m="1" x="1674"/>
        <item m="1" x="977"/>
        <item m="1" x="1744"/>
        <item m="1" x="1047"/>
        <item m="1" x="2573"/>
        <item m="1" x="1395"/>
        <item m="1" x="2032"/>
        <item m="1" x="2105"/>
        <item m="1" x="2741"/>
        <item m="1" x="1639"/>
        <item m="1" x="1928"/>
        <item m="1" x="2612"/>
        <item m="1" x="2417"/>
        <item m="1" x="2454"/>
        <item m="1" x="1098"/>
        <item m="1" x="2743"/>
        <item m="1" x="2726"/>
        <item m="1" x="971"/>
        <item m="1" x="2273"/>
        <item m="1" x="2500"/>
        <item m="1" x="960"/>
        <item m="1" x="1843"/>
        <item m="1" x="1267"/>
        <item m="1" x="1932"/>
        <item m="1" x="1858"/>
        <item m="1" x="1784"/>
        <item m="1" x="1785"/>
        <item m="1" x="1724"/>
        <item m="1" x="1732"/>
        <item m="1" x="1873"/>
        <item m="1" x="2230"/>
        <item m="1" x="1842"/>
        <item m="1" x="2011"/>
        <item m="1" x="2371"/>
        <item m="1" x="2647"/>
        <item m="1" x="2361"/>
        <item m="1" x="2578"/>
        <item m="1" x="1959"/>
        <item m="1" x="2175"/>
        <item m="1" x="2410"/>
        <item m="1" x="2013"/>
        <item m="1" x="2630"/>
        <item m="1" x="1957"/>
        <item m="1" x="2292"/>
        <item m="1" x="1779"/>
        <item m="1" x="1630"/>
        <item m="1" x="925"/>
        <item m="1" x="2007"/>
        <item m="1" x="1940"/>
        <item m="1" x="2393"/>
        <item m="1" x="1383"/>
        <item m="1" x="2562"/>
        <item m="1" x="2698"/>
        <item m="1" x="2685"/>
        <item m="1" x="2740"/>
        <item m="1" x="1834"/>
        <item m="1" x="1614"/>
        <item m="1" x="1634"/>
        <item m="1" x="1794"/>
        <item m="1" x="882"/>
        <item m="1" x="1715"/>
        <item m="1" x="1385"/>
        <item m="1" x="1506"/>
        <item m="1" x="1504"/>
        <item m="1" x="2694"/>
        <item m="1" x="2059"/>
        <item m="1" x="2259"/>
        <item m="1" x="1520"/>
        <item m="1" x="1787"/>
        <item m="1" x="1375"/>
        <item m="1" x="1970"/>
        <item m="1" x="1875"/>
        <item m="1" x="1773"/>
        <item m="1" x="1050"/>
        <item m="1" x="2413"/>
        <item m="1" x="1056"/>
        <item m="1" x="1057"/>
        <item m="1" x="1208"/>
        <item m="1" x="1637"/>
        <item m="1" x="1741"/>
        <item m="1" x="2313"/>
        <item m="1" x="1657"/>
        <item m="1" x="1837"/>
        <item m="1" x="2767"/>
        <item m="1" x="2467"/>
        <item m="1" x="2079"/>
        <item m="1" x="1119"/>
        <item m="1" x="2185"/>
        <item m="1" x="890"/>
        <item m="1" x="1303"/>
        <item m="1" x="1238"/>
        <item m="1" x="1661"/>
        <item m="1" x="1465"/>
        <item m="1" x="2284"/>
        <item m="1" x="2458"/>
        <item m="1" x="1621"/>
        <item m="1" x="2326"/>
        <item m="1" x="2436"/>
        <item m="1" x="2545"/>
        <item m="1" x="1537"/>
        <item m="1" x="2516"/>
        <item m="1" x="2363"/>
        <item m="1" x="1463"/>
        <item m="1" x="1422"/>
        <item m="1" x="2302"/>
        <item m="1" x="2240"/>
        <item m="1" x="900"/>
        <item m="1" x="1986"/>
        <item m="1" x="1410"/>
        <item m="1" x="1418"/>
        <item m="1" x="1182"/>
        <item m="1" x="1943"/>
        <item m="1" x="1510"/>
        <item m="1" x="1290"/>
        <item m="1" x="1297"/>
        <item m="1" x="1601"/>
        <item m="1" x="2327"/>
        <item m="1" x="1648"/>
        <item m="1" x="1679"/>
        <item m="1" x="1371"/>
        <item m="1" x="1735"/>
        <item m="1" x="1438"/>
        <item m="1" x="2211"/>
        <item m="1" x="1498"/>
        <item m="1" x="1827"/>
        <item m="1" x="2478"/>
        <item m="1" x="1571"/>
        <item m="1" x="1878"/>
        <item m="1" x="1602"/>
        <item m="1" x="1673"/>
        <item m="1" x="2383"/>
        <item m="1" x="1973"/>
        <item m="1" x="1100"/>
        <item m="1" x="1116"/>
        <item m="1" x="1125"/>
        <item m="1" x="1372"/>
        <item m="1" x="1439"/>
        <item m="1" x="1206"/>
        <item m="1" x="1941"/>
        <item m="1" x="2212"/>
        <item m="1" x="1252"/>
        <item m="1" x="1294"/>
        <item m="1" x="1641"/>
        <item m="1" x="1352"/>
        <item m="1" x="1369"/>
        <item m="1" x="1729"/>
        <item m="1" x="1434"/>
        <item m="1" x="2674"/>
        <item m="1" x="2207"/>
        <item m="1" x="1813"/>
        <item m="1" x="1822"/>
        <item m="1" x="1568"/>
        <item m="1" x="1582"/>
        <item m="1" x="1598"/>
        <item m="1" x="2171"/>
        <item m="1" x="1694"/>
        <item m="1" x="2379"/>
        <item m="1" x="1974"/>
        <item m="1" x="1980"/>
        <item m="1" x="1752"/>
        <item m="1" x="927"/>
        <item m="1" x="1109"/>
        <item m="1" x="2123"/>
        <item m="1" x="1411"/>
        <item m="1" x="1169"/>
        <item m="1" x="1250"/>
        <item m="1" x="2476"/>
        <item m="1" x="2005"/>
        <item m="1" x="1599"/>
        <item m="1" x="2321"/>
        <item m="1" x="1349"/>
        <item m="1" x="1358"/>
        <item m="1" x="1365"/>
        <item m="1" x="1695"/>
        <item m="1" x="1975"/>
        <item m="1" x="1753"/>
        <item m="1" x="2203"/>
        <item m="1" x="2431"/>
        <item m="1" x="1491"/>
        <item m="1" x="1805"/>
        <item m="1" x="1811"/>
        <item m="1" x="1505"/>
        <item m="1" x="2731"/>
        <item m="1" x="1579"/>
        <item m="1" x="2322"/>
        <item m="1" x="2537"/>
        <item m="1" x="2328"/>
        <item m="1" x="1649"/>
        <item m="1" x="1730"/>
        <item m="1" x="1750"/>
        <item m="1" x="2427"/>
        <item m="1" x="1889"/>
        <item m="1" x="1166"/>
        <item m="1" x="2702"/>
        <item m="1" x="1175"/>
        <item m="1" x="1725"/>
        <item m="1" x="1167"/>
        <item m="1" x="2705"/>
        <item m="1" x="2236"/>
        <item m="1" x="1176"/>
        <item m="1" x="2231"/>
        <item m="1" x="2077"/>
        <item m="1" x="1142"/>
        <item m="1" x="1300"/>
        <item m="1" x="2734"/>
        <item m="1" x="1499"/>
        <item m="1" x="1565"/>
        <item m="1" x="2551"/>
        <item m="1" x="2226"/>
        <item m="1" x="1141"/>
        <item m="1" x="1745"/>
        <item m="1" x="2426"/>
        <item m="1" x="2017"/>
        <item m="1" x="1786"/>
        <item m="1" x="1751"/>
        <item m="1" x="1610"/>
        <item m="1" x="1394"/>
        <item m="1" x="1690"/>
        <item m="1" x="1401"/>
        <item m="1" x="2524"/>
        <item m="1" x="1374"/>
        <item m="1" x="1108"/>
        <item m="1" x="1660"/>
        <item m="1" x="1247"/>
        <item m="1" x="1854"/>
        <item m="1" x="2157"/>
        <item m="1" x="1644"/>
        <item m="1" x="2688"/>
        <item m="1" x="2433"/>
        <item m="1" x="1085"/>
        <item m="1" x="1231"/>
        <item m="1" x="2366"/>
        <item m="1" x="1338"/>
        <item m="1" x="1409"/>
        <item m="1" x="2134"/>
        <item m="1" x="1001"/>
        <item m="1" x="2550"/>
        <item m="1" x="2051"/>
        <item m="1" x="1797"/>
        <item m="1" x="1400"/>
        <item m="1" x="885"/>
        <item m="1" x="2750"/>
        <item m="1" x="1337"/>
        <item m="1" x="1157"/>
        <item m="1" x="1212"/>
        <item m="1" x="2350"/>
        <item m="1" x="1203"/>
        <item m="1" x="1382"/>
        <item m="1" x="1146"/>
        <item m="1" x="1684"/>
        <item m="1" x="937"/>
        <item m="1" x="2506"/>
        <item m="1" x="1590"/>
        <item m="1" x="1364"/>
        <item m="1" x="1367"/>
        <item m="1" x="2346"/>
        <item m="1" x="1211"/>
        <item m="1" x="2159"/>
        <item m="1" x="2641"/>
        <item m="1" x="1886"/>
        <item m="1" x="2370"/>
        <item m="1" x="2657"/>
        <item m="1" x="905"/>
        <item m="1" x="2385"/>
        <item m="1" x="1312"/>
        <item m="1" x="2307"/>
        <item m="1" x="1758"/>
        <item m="1" x="2341"/>
        <item m="1" x="935"/>
        <item m="1" x="2600"/>
        <item m="1" x="1225"/>
        <item m="1" x="2671"/>
        <item m="1" x="1005"/>
        <item m="1" x="2477"/>
        <item m="1" x="891"/>
        <item m="1" x="1481"/>
        <item m="1" x="1378"/>
        <item m="1" x="2188"/>
        <item m="1" x="2529"/>
        <item m="1" x="1592"/>
        <item m="1" x="887"/>
        <item m="1" x="1890"/>
        <item m="1" x="2608"/>
        <item m="1" x="2690"/>
        <item m="1" x="2633"/>
        <item m="1" x="2411"/>
        <item m="1" x="1872"/>
        <item m="1" x="1626"/>
        <item m="1" x="2501"/>
        <item m="1" x="2438"/>
        <item m="1" x="2135"/>
        <item m="1" x="869"/>
        <item m="1" x="1895"/>
        <item m="1" x="2389"/>
        <item m="1" x="1172"/>
        <item m="1" x="1771"/>
        <item m="1" x="950"/>
        <item m="1" x="2338"/>
        <item m="1" x="1240"/>
        <item m="1" x="2441"/>
        <item m="1" x="1939"/>
        <item m="1" x="2317"/>
        <item m="1" x="1426"/>
        <item m="1" x="1427"/>
        <item m="1" x="1428"/>
        <item m="1" x="1429"/>
        <item m="1" x="1430"/>
        <item m="1" x="1431"/>
        <item m="1" x="1432"/>
        <item m="1" x="1360"/>
        <item m="1" x="969"/>
        <item m="1" x="1989"/>
        <item m="1" x="2376"/>
        <item m="1" x="2359"/>
        <item m="1" x="2625"/>
        <item m="1" x="1268"/>
        <item m="1" x="2585"/>
        <item m="1" x="2684"/>
        <item m="1" x="2061"/>
        <item m="1" x="2421"/>
        <item m="1" x="2088"/>
        <item m="1" x="2703"/>
        <item m="1" x="2112"/>
        <item m="1" x="2564"/>
        <item m="1" x="1082"/>
        <item m="1" x="1801"/>
        <item m="1" x="2299"/>
        <item m="1" x="1472"/>
        <item m="1" x="1376"/>
        <item m="1" x="2471"/>
        <item m="1" x="1173"/>
        <item m="1" x="1399"/>
        <item m="1" x="2449"/>
        <item m="1" x="1407"/>
        <item m="1" x="1747"/>
        <item m="1" x="2351"/>
        <item m="1" x="1965"/>
        <item m="1" x="2434"/>
        <item m="1" x="1548"/>
        <item m="1" x="1984"/>
        <item m="1" x="2491"/>
        <item m="1" x="2779"/>
        <item m="1" x="2611"/>
        <item m="1" x="2576"/>
        <item m="1" x="858"/>
        <item m="1" x="1844"/>
        <item m="1" x="2735"/>
        <item m="1" x="1845"/>
        <item m="1" x="1228"/>
        <item m="1" x="1229"/>
        <item m="1" x="965"/>
        <item m="1" x="2700"/>
        <item m="1" x="1257"/>
        <item m="1" x="2201"/>
        <item m="1" x="2627"/>
        <item m="1" x="2160"/>
        <item m="1" x="1887"/>
        <item m="1" x="2522"/>
        <item m="1" x="2760"/>
        <item m="1" x="1856"/>
        <item m="1" x="2084"/>
        <item m="1" x="1846"/>
        <item m="1" x="2282"/>
        <item m="1" x="2306"/>
        <item m="1" x="867"/>
        <item m="1" x="1249"/>
        <item m="1" x="2012"/>
        <item m="1" x="2757"/>
        <item m="1" x="1738"/>
        <item m="1" x="2794"/>
        <item m="1" x="881"/>
        <item m="1" x="2252"/>
        <item m="1" x="1549"/>
        <item m="1" x="1573"/>
        <item m="1" x="1458"/>
        <item m="1" x="1343"/>
        <item m="1" x="1420"/>
        <item m="1" x="1124"/>
        <item m="1" x="1883"/>
        <item m="1" x="2253"/>
        <item m="1" x="1076"/>
        <item m="1" x="1171"/>
        <item m="1" x="1671"/>
        <item m="1" x="2440"/>
        <item m="1" x="2519"/>
        <item m="1" x="1926"/>
        <item m="1" x="1391"/>
        <item m="1" x="2027"/>
        <item m="1" x="2066"/>
        <item m="1" x="2205"/>
        <item m="1" x="1355"/>
        <item m="1" x="2089"/>
        <item m="1" x="1359"/>
        <item m="1" x="2010"/>
        <item m="1" x="1444"/>
        <item m="1" x="1377"/>
        <item m="1" x="1709"/>
        <item m="1" x="1894"/>
        <item m="1" x="1701"/>
        <item m="1" x="1455"/>
        <item m="1" x="1266"/>
        <item m="1" x="2405"/>
        <item m="1" x="2687"/>
        <item m="1" x="1051"/>
        <item m="1" x="1793"/>
        <item m="1" x="1525"/>
        <item m="1" x="1766"/>
        <item m="1" x="877"/>
        <item m="1" x="1101"/>
        <item m="1" x="1816"/>
        <item m="1" x="2053"/>
        <item m="1" x="2285"/>
        <item m="1" x="2069"/>
        <item m="1" x="1009"/>
        <item m="1" x="1812"/>
        <item m="1" x="1513"/>
        <item m="1" x="2127"/>
        <item m="1" x="1561"/>
        <item m="1" x="2148"/>
        <item m="1" x="2078"/>
        <item m="1" x="2247"/>
        <item m="1" x="2661"/>
        <item m="1" x="993"/>
        <item m="1" x="1065"/>
        <item m="1" x="2580"/>
        <item m="1" x="1068"/>
        <item m="1" x="2034"/>
        <item m="1" x="1093"/>
        <item m="1" x="2347"/>
        <item m="1" x="2348"/>
        <item m="1" x="1306"/>
        <item m="1" x="2167"/>
        <item m="1" x="2796"/>
        <item m="1" x="2168"/>
        <item m="1" x="1958"/>
        <item m="1" x="899"/>
        <item m="1" x="2156"/>
        <item m="1" x="1145"/>
        <item m="1" x="2374"/>
        <item m="1" x="1687"/>
        <item m="1" x="1983"/>
        <item m="1" x="2155"/>
        <item m="1" x="1037"/>
        <item m="1" x="1781"/>
        <item m="1" x="2232"/>
        <item m="1" x="2187"/>
        <item m="1" x="2146"/>
        <item m="1" x="1908"/>
        <item m="1" x="1275"/>
        <item m="1" x="2055"/>
        <item m="1" x="1589"/>
        <item m="1" x="1196"/>
        <item m="1" x="1361"/>
        <item m="1" x="2310"/>
        <item m="1" x="1042"/>
        <item m="1" x="2589"/>
        <item m="1" x="1960"/>
        <item m="1" x="2590"/>
        <item m="1" x="1282"/>
        <item m="1" x="1086"/>
        <item m="1" x="2563"/>
        <item m="1" x="2631"/>
        <item m="1" x="1071"/>
        <item m="1" x="1149"/>
        <item m="1" x="2174"/>
        <item m="1" x="2693"/>
        <item m="1" x="1533"/>
        <item m="1" x="2358"/>
        <item m="1" x="2154"/>
        <item m="1" x="1284"/>
        <item m="1" x="2143"/>
        <item m="1" x="1134"/>
        <item m="1" x="2396"/>
        <item m="1" x="1950"/>
        <item m="1" x="1280"/>
        <item m="1" x="2597"/>
        <item m="1" x="967"/>
        <item m="1" x="2340"/>
        <item m="1" x="944"/>
        <item m="1" x="2704"/>
        <item m="1" x="2365"/>
        <item m="1" x="1903"/>
        <item m="1" x="2064"/>
        <item m="1" x="1615"/>
        <item m="1" x="1078"/>
        <item m="1" x="2594"/>
        <item m="1" x="1044"/>
        <item m="1" x="2723"/>
        <item m="1" x="2461"/>
        <item m="1" x="2488"/>
        <item m="1" x="2464"/>
        <item m="1" x="1477"/>
        <item m="1" x="1445"/>
        <item m="1" x="1089"/>
        <item m="1" x="1580"/>
        <item m="1" x="1090"/>
        <item m="1" x="1259"/>
        <item m="1" x="2024"/>
        <item m="1" x="955"/>
        <item m="1" x="1881"/>
        <item m="1" x="2555"/>
        <item m="1" x="2755"/>
        <item m="1" x="2033"/>
        <item m="1" x="1200"/>
        <item m="1" x="2082"/>
        <item m="1" x="2713"/>
        <item m="1" x="1457"/>
        <item m="1" x="2001"/>
        <item m="1" x="902"/>
        <item m="1" x="2281"/>
        <item m="1" x="1880"/>
        <item m="1" x="1534"/>
        <item m="1" x="1441"/>
        <item m="1" x="2515"/>
        <item m="1" x="2103"/>
        <item m="1" x="2615"/>
        <item m="1" x="2567"/>
        <item m="1" x="2042"/>
        <item m="1" x="2070"/>
        <item m="1" x="1224"/>
        <item m="1" x="2056"/>
        <item m="1" x="1538"/>
        <item m="1" x="974"/>
        <item m="1" x="2636"/>
        <item m="1" x="952"/>
        <item m="1" x="2186"/>
        <item m="1" x="1737"/>
        <item m="1" x="1897"/>
        <item m="1" x="1302"/>
        <item m="1" x="1088"/>
        <item m="1" x="1705"/>
        <item m="1" x="1611"/>
        <item m="1" x="1246"/>
        <item m="1" x="1576"/>
        <item m="1" x="1492"/>
        <item m="1" x="1456"/>
        <item m="1" x="1836"/>
        <item m="1" x="1388"/>
        <item m="1" x="1353"/>
        <item m="1" x="1734"/>
        <item m="1" x="1643"/>
        <item m="1" x="1271"/>
        <item m="1" x="1706"/>
        <item m="1" x="1869"/>
        <item m="1" x="2220"/>
        <item m="1" x="1892"/>
        <item m="1" x="2692"/>
        <item m="1" x="1669"/>
        <item m="1" x="2584"/>
        <item m="1" x="909"/>
        <item m="1" x="2099"/>
        <item m="1" x="2136"/>
        <item m="1" x="1138"/>
        <item m="1" x="2447"/>
        <item m="1" x="986"/>
        <item m="1" x="1010"/>
        <item m="1" x="1139"/>
        <item m="1" x="1380"/>
        <item m="1" x="1696"/>
        <item m="1" x="2775"/>
        <item m="1" x="1862"/>
        <item m="1" x="1324"/>
        <item m="1" x="1776"/>
        <item m="1" x="2003"/>
        <item m="1" x="1074"/>
        <item m="1" x="1232"/>
        <item m="1" x="1798"/>
        <item m="1" x="2022"/>
        <item m="1" x="1261"/>
        <item m="1" x="1697"/>
        <item m="1" x="1019"/>
        <item m="1" x="1287"/>
        <item m="1" x="2075"/>
        <item m="1" x="1040"/>
        <item m="1" x="2004"/>
        <item m="1" x="2261"/>
        <item m="1" x="1095"/>
        <item m="1" x="1640"/>
        <item m="1" x="1096"/>
        <item m="1" x="985"/>
        <item m="1" x="1685"/>
        <item m="1" x="1011"/>
        <item m="1" x="878"/>
        <item m="1" x="1242"/>
        <item m="1" x="1652"/>
        <item m="1" x="2023"/>
        <item m="1" x="1262"/>
        <item m="1" x="1947"/>
        <item m="1" x="2658"/>
        <item m="1" x="1020"/>
        <item m="1" x="1161"/>
        <item m="1" x="1288"/>
        <item m="1" x="1570"/>
        <item m="1" x="1072"/>
        <item m="1" x="1209"/>
        <item m="1" x="966"/>
        <item m="1" x="1097"/>
        <item m="1" x="1102"/>
        <item m="1" x="1131"/>
        <item m="1" x="1523"/>
        <item m="1" x="1012"/>
        <item m="1" x="914"/>
        <item m="1" x="1558"/>
        <item m="1" x="1962"/>
        <item m="1" x="1069"/>
        <item m="1" x="1449"/>
        <item m="1" x="1473"/>
        <item m="1" x="1909"/>
        <item m="1" x="2161"/>
        <item m="1" x="879"/>
        <item m="1" x="1236"/>
        <item m="1" x="1366"/>
        <item m="1" x="1512"/>
        <item m="1" x="1829"/>
        <item m="1" x="1105"/>
        <item m="1" x="884"/>
        <item m="1" x="1013"/>
        <item m="1" x="1839"/>
        <item m="1" x="1417"/>
        <item m="1" x="931"/>
        <item m="1" x="2788"/>
        <item m="1" x="1893"/>
        <item m="1" x="862"/>
        <item m="1" x="982"/>
        <item m="1" x="1351"/>
        <item m="1" x="1802"/>
        <item m="1" x="2162"/>
        <item m="1" x="1830"/>
        <item m="1" x="2049"/>
        <item m="1" x="2771"/>
        <item m="1" x="1143"/>
        <item m="1" x="1162"/>
        <item m="1" x="1285"/>
        <item m="1" x="1403"/>
        <item m="1" x="1728"/>
        <item m="1" x="1163"/>
        <item m="1" x="1319"/>
        <item m="1" x="1998"/>
        <item m="1" x="963"/>
        <item m="1" x="1073"/>
        <item m="1" x="1075"/>
        <item m="1" x="1234"/>
        <item m="1" x="2020"/>
        <item m="1" x="1132"/>
        <item m="1" x="1689"/>
        <item m="1" x="1018"/>
        <item m="1" x="2745"/>
        <item m="1" x="1281"/>
        <item m="1" x="1739"/>
        <item m="1" x="2050"/>
        <item m="1" x="1033"/>
        <item m="1" x="1156"/>
        <item m="1" x="1034"/>
        <item m="1" x="2622"/>
        <item m="1" x="1340"/>
        <item m="1" x="2270"/>
        <item m="1" x="2544"/>
        <item m="1" x="2113"/>
        <item m="1" x="2046"/>
        <item m="1" x="1915"/>
        <item m="1" x="992"/>
        <item m="1" x="1867"/>
        <item m="1" x="2195"/>
        <item m="1" x="1855"/>
        <item m="1" x="2183"/>
        <item m="1" x="2202"/>
        <item m="1" x="2511"/>
        <item m="1" x="2184"/>
        <item m="1" x="2403"/>
        <item m="1" x="2448"/>
        <item m="1" x="932"/>
        <item m="1" x="2776"/>
        <item m="1" x="2275"/>
        <item m="1" x="2714"/>
        <item m="1" x="2451"/>
        <item m="1" x="1905"/>
        <item m="1" x="1927"/>
        <item m="1" x="2626"/>
        <item m="1" x="1551"/>
        <item m="1" x="2648"/>
        <item m="1" x="1593"/>
        <item m="1" x="1884"/>
        <item m="1" x="1526"/>
        <item m="1" x="2644"/>
        <item m="1" x="1136"/>
        <item m="1" x="1185"/>
        <item m="1" x="1976"/>
        <item m="1" x="1782"/>
        <item m="1" x="1201"/>
        <item m="1" x="1993"/>
        <item m="1" x="1028"/>
        <item m="1" x="1542"/>
        <item m="1" x="2357"/>
        <item m="1" x="2108"/>
        <item m="1" x="1327"/>
        <item m="1" x="1722"/>
        <item m="1" x="2536"/>
        <item m="1" x="1289"/>
        <item m="1" x="1783"/>
        <item m="1" x="2499"/>
        <item m="1" x="2786"/>
        <item m="1" x="1379"/>
        <item m="1" x="2752"/>
        <item m="1" x="2331"/>
        <item m="1" x="1333"/>
        <item m="1" x="1038"/>
        <item m="1" x="2709"/>
        <item m="1" x="1459"/>
        <item m="1" x="1064"/>
        <item m="1" x="2332"/>
        <item m="1" x="933"/>
        <item m="1" x="1158"/>
        <item m="1" x="1597"/>
        <item m="1" x="1241"/>
        <item m="1" x="1397"/>
        <item m="1" x="2272"/>
        <item m="1" x="2599"/>
        <item m="1" x="1331"/>
        <item m="1" x="938"/>
        <item m="1" x="2210"/>
        <item m="1" x="1025"/>
        <item m="1" x="1767"/>
        <item m="1" x="2607"/>
        <item m="1" x="1362"/>
        <item m="1" x="1104"/>
        <item m="1" x="1955"/>
        <item m="1" x="2696"/>
        <item m="1" x="1817"/>
        <item m="1" x="1814"/>
        <item m="1" x="2000"/>
        <item m="1" x="2008"/>
        <item m="1" x="1151"/>
        <item m="1" x="2646"/>
        <item m="1" x="1316"/>
        <item m="1" x="2309"/>
        <item m="1" x="2748"/>
        <item m="1" x="1194"/>
        <item m="1" x="2298"/>
        <item m="1" x="2566"/>
        <item m="1" x="2303"/>
        <item m="1" x="2044"/>
        <item m="1" x="917"/>
        <item m="1" x="994"/>
        <item m="1" x="1024"/>
        <item m="1" x="1114"/>
        <item m="1" x="915"/>
        <item m="1" x="947"/>
        <item m="1" x="964"/>
        <item m="1" x="1022"/>
        <item m="1" x="1043"/>
        <item m="1" x="1112"/>
        <item m="1" x="883"/>
        <item m="1" x="945"/>
        <item m="1" x="961"/>
        <item m="1" x="1021"/>
        <item m="1" x="1079"/>
        <item m="1" x="865"/>
        <item m="1" x="880"/>
        <item m="1" x="2724"/>
        <item m="1" x="1447"/>
        <item m="1" x="2773"/>
        <item m="1" x="1990"/>
        <item m="1" x="1347"/>
        <item m="1" x="1036"/>
        <item m="1" x="1603"/>
        <item m="1" x="1891"/>
        <item m="1" x="1003"/>
        <item m="1" x="2650"/>
        <item m="1" x="2439"/>
        <item m="1" x="2435"/>
        <item m="1" x="1060"/>
        <item m="1" x="1546"/>
        <item m="1" x="1421"/>
        <item m="1" x="1186"/>
        <item m="1" x="2141"/>
        <item m="1" x="1901"/>
        <item m="1" x="1763"/>
        <item m="1" x="1115"/>
        <item m="1" x="2404"/>
        <item m="1" x="1578"/>
        <item m="1" x="2569"/>
        <item m="1" x="2613"/>
        <item m="1" x="981"/>
        <item m="1" x="1083"/>
        <item m="1" x="1702"/>
        <item m="1" x="1826"/>
        <item m="1" x="2208"/>
        <item m="1" x="2769"/>
        <item m="1" x="1222"/>
        <item m="1" x="1363"/>
        <item m="1" x="2474"/>
        <item m="1" x="2071"/>
        <item m="1" x="962"/>
        <item m="1" x="889"/>
        <item m="1" x="906"/>
        <item m="1" x="1951"/>
        <item m="1" x="983"/>
        <item m="1" x="1871"/>
        <item m="1" x="2107"/>
        <item m="1" x="1796"/>
        <item m="1" x="2092"/>
        <item m="1" x="1320"/>
        <item m="1" x="2559"/>
        <item m="1" x="2733"/>
        <item m="1" x="1219"/>
        <item m="1" x="2409"/>
        <item m="1" x="1635"/>
        <item m="1" x="2663"/>
        <item m="1" x="1084"/>
        <item m="1" x="2512"/>
        <item m="1" x="1912"/>
        <item m="1" x="1474"/>
        <item m="1" x="1556"/>
        <item m="1" x="1436"/>
        <item m="1" x="1636"/>
        <item m="1" x="1954"/>
        <item m="1" x="1190"/>
        <item m="1" x="1528"/>
        <item m="1" x="2073"/>
        <item m="1" x="1191"/>
        <item m="1" x="997"/>
        <item m="1" x="2715"/>
        <item m="1" x="968"/>
        <item m="1" x="1326"/>
        <item m="1" x="1494"/>
        <item m="1" x="2225"/>
        <item m="1" x="2126"/>
        <item m="1" x="1633"/>
        <item m="1" x="1584"/>
        <item m="1" x="2503"/>
        <item m="1" x="1260"/>
        <item m="1" x="1334"/>
        <item m="1" x="1749"/>
        <item m="1" x="1307"/>
        <item m="1" x="1931"/>
        <item m="1" x="1006"/>
        <item m="1" x="1972"/>
        <item m="1" x="1466"/>
        <item m="1" x="2400"/>
        <item m="1" x="2243"/>
        <item m="1" x="1144"/>
        <item m="1" x="1317"/>
        <item m="1" x="1713"/>
        <item m="1" x="2169"/>
        <item m="1" x="1220"/>
        <item m="1" x="1543"/>
        <item m="1" x="919"/>
        <item m="1" x="1393"/>
        <item m="1" x="1254"/>
        <item m="1" x="1308"/>
        <item m="1" x="2479"/>
        <item m="1" x="1235"/>
        <item m="1" x="1251"/>
        <item m="1" x="1922"/>
        <item m="1" x="2653"/>
        <item m="1" x="2189"/>
        <item m="1" x="2457"/>
        <item m="1" x="2620"/>
        <item m="1" x="2616"/>
        <item m="1" x="2430"/>
        <item m="1" x="1314"/>
        <item m="1" x="2618"/>
        <item m="1" x="2085"/>
        <item m="1" x="1495"/>
        <item m="1" x="1496"/>
        <item m="1" x="1704"/>
        <item m="1" x="1478"/>
        <item m="1" x="1099"/>
        <item m="1" x="2380"/>
        <item m="1" x="1664"/>
        <item m="1" x="2581"/>
        <item m="1" x="2754"/>
        <item m="1" x="1519"/>
        <item m="1" x="1446"/>
        <item m="1" x="1727"/>
        <item m="1" x="2789"/>
        <item m="1" x="1493"/>
        <item m="1" x="1628"/>
        <item m="1" x="1647"/>
        <item m="1" x="1651"/>
        <item m="1" x="1670"/>
        <item m="1" x="1906"/>
        <item m="1" x="1030"/>
        <item m="1" x="2074"/>
        <item m="1" x="1721"/>
        <item m="1" x="1755"/>
        <item m="1" x="1423"/>
        <item m="1" x="2579"/>
        <item m="1" x="1412"/>
        <item m="1" x="1841"/>
        <item m="1" x="2373"/>
        <item m="1" x="2720"/>
        <item m="1" x="1789"/>
        <item m="1" x="1606"/>
        <item m="1" x="1541"/>
        <item m="1" x="1544"/>
        <item m="1" x="1482"/>
        <item m="1" x="1256"/>
        <item m="1" x="2330"/>
        <item m="1" x="2624"/>
        <item m="1" x="1804"/>
        <item m="1" x="2387"/>
        <item m="1" x="2238"/>
        <item m="1" x="1756"/>
        <item m="1" x="1815"/>
        <item m="1" x="1900"/>
        <item m="1" x="2673"/>
        <item m="1" x="2466"/>
        <item m="1" x="2300"/>
        <item m="1" x="1354"/>
        <item m="1" x="2605"/>
        <item m="1" x="2120"/>
        <item m="1" x="923"/>
        <item m="1" x="2268"/>
        <item m="1" x="2539"/>
        <item m="1" x="2248"/>
        <item m="1" x="1545"/>
        <item m="1" x="1874"/>
        <item m="1" x="903"/>
        <item m="1" x="1859"/>
        <item m="1" x="1658"/>
        <item m="1" x="2170"/>
        <item m="1" x="1583"/>
        <item m="1" x="1795"/>
        <item m="1" x="1600"/>
        <item m="1" x="1676"/>
        <item m="1" x="2109"/>
        <item m="1" x="1560"/>
        <item m="1" x="1153"/>
        <item m="1" x="1130"/>
        <item m="1" x="1992"/>
        <item m="1" x="1002"/>
        <item m="1" x="861"/>
        <item m="1" x="1217"/>
        <item m="1" x="1443"/>
        <item m="1" x="988"/>
        <item m="1" x="2785"/>
        <item m="1" x="2790"/>
        <item m="1" x="1539"/>
        <item m="1" x="1345"/>
        <item m="1" x="1876"/>
        <item m="1" x="1277"/>
        <item m="1" x="1048"/>
        <item m="1" x="1467"/>
        <item m="1" x="2287"/>
        <item m="1" x="2276"/>
        <item m="1" x="1967"/>
        <item m="1" x="2209"/>
        <item m="1" x="1301"/>
        <item m="1" x="1877"/>
        <item m="1" x="1278"/>
        <item m="1" x="2582"/>
        <item m="1" x="854"/>
        <item m="1" x="2138"/>
        <item m="1" x="2375"/>
        <item m="1" x="924"/>
        <item m="1" x="2475"/>
        <item m="1" x="873"/>
        <item m="1" x="1514"/>
        <item m="1" x="2295"/>
        <item m="1" x="2795"/>
        <item m="1" x="2565"/>
        <item m="1" x="2725"/>
        <item m="1" x="1122"/>
        <item m="1" x="2505"/>
        <item m="1" x="2401"/>
        <item m="1" x="2758"/>
        <item m="1" x="1135"/>
        <item m="1" x="1405"/>
        <item m="1" x="2213"/>
        <item m="1" x="2727"/>
        <item m="1" x="2480"/>
        <item m="1" x="2640"/>
        <item m="1" x="1035"/>
        <item m="1" x="2429"/>
        <item m="1" x="1342"/>
        <item m="1" x="1682"/>
        <item m="1" x="2402"/>
        <item m="1" x="2643"/>
        <item m="1" x="2407"/>
        <item m="1" x="2532"/>
        <item m="1" x="958"/>
        <item m="1" x="2354"/>
        <item m="1" x="2382"/>
        <item m="1" x="2502"/>
        <item m="1" x="1255"/>
        <item m="1" x="871"/>
        <item m="1" x="2606"/>
        <item m="1" x="2751"/>
        <item m="1" x="1155"/>
        <item m="1" x="2533"/>
        <item m="1" x="2423"/>
        <item m="1" x="1625"/>
        <item m="1" x="2459"/>
        <item m="1" x="2217"/>
        <item m="1" x="2460"/>
        <item m="1" x="1924"/>
        <item m="1" x="1453"/>
        <item m="1" x="2036"/>
        <item m="1" x="1847"/>
        <item m="1" x="1864"/>
        <item m="1" x="1831"/>
        <item m="1" x="1454"/>
        <item m="1" x="2228"/>
        <item m="1" x="1719"/>
        <item m="1" x="2333"/>
        <item m="1" x="2278"/>
        <item m="1" x="2591"/>
        <item m="1" x="1531"/>
        <item m="1" x="2060"/>
        <item m="1" x="2548"/>
        <item m="1" x="888"/>
        <item m="1" x="2691"/>
        <item m="1" x="1591"/>
        <item m="1" x="1885"/>
        <item m="1" x="1046"/>
        <item m="1" x="2552"/>
        <item m="1" x="1662"/>
        <item m="1" x="2432"/>
        <item m="1" x="2378"/>
        <item m="1" x="2291"/>
        <item m="1" x="2535"/>
        <item m="1" x="2096"/>
        <item m="1" x="1118"/>
        <item m="1" x="2695"/>
        <item m="1" x="904"/>
        <item m="1" x="2026"/>
        <item m="1" x="2318"/>
        <item m="1" x="1535"/>
        <item m="1" x="1554"/>
        <item m="1" x="1180"/>
        <item m="1" x="973"/>
        <item m="1" x="2158"/>
        <item m="1" x="1181"/>
        <item m="1" x="1077"/>
        <item m="1" x="1666"/>
        <item m="1" x="1888"/>
        <item m="1" x="2525"/>
        <item m="1" x="2420"/>
        <item m="1" x="1632"/>
        <item m="1" x="1198"/>
        <item m="1" x="2701"/>
        <item m="1" x="1339"/>
        <item m="1" x="2603"/>
        <item m="1" x="1942"/>
        <item m="1" x="2006"/>
        <item m="1" x="1092"/>
        <item m="1" x="1344"/>
        <item m="1" x="1994"/>
        <item m="1" x="1700"/>
        <item m="1" x="2149"/>
        <item m="1" x="1865"/>
        <item m="1" x="1414"/>
        <item m="1" x="1995"/>
        <item m="1" x="2206"/>
        <item m="1" x="2364"/>
        <item m="1" x="2176"/>
        <item m="1" x="1672"/>
        <item m="1" x="1522"/>
        <item m="1" x="1991"/>
        <item m="1" x="2718"/>
        <item m="1" x="1848"/>
        <item m="1" x="1849"/>
        <item m="1" x="1622"/>
        <item m="1" x="1031"/>
        <item m="1" x="2753"/>
        <item m="1" x="2483"/>
        <item m="1" x="930"/>
        <item m="1" x="1195"/>
        <item m="1" x="2239"/>
        <item m="1" x="2316"/>
        <item m="1" x="1415"/>
        <item m="1" x="1265"/>
        <item m="1" x="1914"/>
        <item m="1" x="2142"/>
        <item m="1" x="1896"/>
        <item m="1" x="1424"/>
        <item m="1" x="853"/>
        <item m="1" x="1356"/>
        <item m="1" x="1094"/>
        <item m="1" x="1450"/>
        <item m="1" x="1792"/>
        <item m="1" x="1566"/>
        <item m="1" x="2132"/>
        <item m="1" x="1053"/>
        <item m="1" x="1448"/>
        <item m="1" x="1368"/>
        <item m="1" x="1462"/>
        <item m="1" x="1572"/>
        <item m="1" x="1620"/>
        <item m="1" x="1646"/>
        <item m="1" x="1740"/>
        <item m="1" x="1460"/>
        <item m="1" x="1500"/>
        <item m="1" x="1530"/>
        <item m="1" x="1618"/>
        <item m="1" x="1642"/>
        <item m="1" x="1736"/>
        <item m="1" x="1389"/>
        <item m="1" x="1416"/>
        <item m="1" x="1497"/>
        <item m="1" x="1524"/>
        <item m="1" x="1612"/>
        <item m="1" x="1659"/>
        <item m="1" x="1703"/>
        <item m="1" x="1387"/>
        <item m="1" x="1413"/>
        <item m="1" x="2293"/>
        <item m="1" x="1313"/>
        <item m="1" x="2672"/>
        <item m="1" x="1081"/>
        <item m="1" x="2218"/>
        <item m="1" x="1780"/>
        <item m="1" x="2729"/>
        <item m="1" x="1373"/>
        <item m="1" x="1716"/>
        <item m="1" x="1774"/>
        <item m="1" x="2699"/>
        <item m="1" x="1489"/>
        <item m="1" x="1920"/>
        <item m="1" x="1408"/>
        <item m="1" x="2062"/>
        <item m="1" x="1938"/>
        <item m="1" x="2355"/>
        <item m="1" x="2730"/>
        <item m="1" x="2571"/>
        <item m="1" x="2110"/>
        <item m="1" x="951"/>
        <item m="1" x="2152"/>
        <item m="1" x="2601"/>
        <item m="1" x="1791"/>
        <item m="1" x="2098"/>
        <item m="1" x="2595"/>
        <item m="1" x="2592"/>
        <item m="1" x="1686"/>
        <item m="1" x="2356"/>
        <item m="1" x="1969"/>
        <item m="1" x="1521"/>
        <item m="1" x="1945"/>
        <item m="1" x="2319"/>
        <item m="1" x="897"/>
        <item m="1" x="2352"/>
        <item m="1" x="1323"/>
        <item m="1" x="1712"/>
        <item m="1" x="2772"/>
        <item m="1" x="1981"/>
        <item m="1" x="2739"/>
        <item m="1" x="2485"/>
        <item m="1" x="2381"/>
        <item m="1" x="1953"/>
        <item m="1" x="2557"/>
        <item m="1" x="2362"/>
        <item m="1" x="1882"/>
        <item m="1" x="2664"/>
        <item m="1" x="2204"/>
        <item m="1" x="1218"/>
        <item m="1" x="1567"/>
        <item m="1" x="2294"/>
        <item m="1" x="2768"/>
        <item m="1" x="2369"/>
        <item m="1" x="2145"/>
        <item m="1" x="2025"/>
        <item m="1" x="2181"/>
        <item m="1" x="892"/>
        <item m="1" x="1997"/>
        <item m="1" x="2219"/>
        <item m="1" x="2572"/>
        <item m="1" x="2388"/>
        <item m="1" x="1971"/>
        <item m="1" x="1517"/>
        <item m="1" x="1746"/>
        <item m="1" x="1607"/>
        <item m="1" x="901"/>
        <item m="1" x="1468"/>
        <item m="1" x="957"/>
        <item m="1" x="1484"/>
        <item m="1" x="1184"/>
        <item m="1" x="2249"/>
        <item m="1" x="1861"/>
        <item m="1" x="2707"/>
        <item m="1" x="2196"/>
        <item m="1" x="1029"/>
        <item m="1" x="2651"/>
        <item m="1" x="2686"/>
        <item m="1" x="1596"/>
        <item m="1" x="2452"/>
        <item m="1" x="1868"/>
        <item m="1" x="2534"/>
        <item m="1" x="2453"/>
        <item m="1" x="1623"/>
        <item m="1" x="1061"/>
        <item m="1" x="1675"/>
        <item m="1" x="1656"/>
        <item m="1" x="2568"/>
        <item m="1" x="1870"/>
        <item m="1" x="1853"/>
        <item m="1" x="2490"/>
        <item m="1" x="2125"/>
        <item m="1" x="1148"/>
        <item m="1" x="2744"/>
        <item m="1" x="2222"/>
        <item m="1" x="2654"/>
        <item m="1" x="1818"/>
        <item m="1" x="2763"/>
        <item m="1" x="1979"/>
        <item m="1" x="1487"/>
        <item m="1" x="2504"/>
        <item m="1" x="2114"/>
        <item m="1" x="2408"/>
        <item m="1" x="2271"/>
        <item m="1" x="996"/>
        <item m="1" x="995"/>
        <item m="1" x="1899"/>
        <item m="1" x="2353"/>
        <item m="1" x="1952"/>
        <item m="1" x="856"/>
        <item m="1" x="2486"/>
        <item m="1" x="1475"/>
        <item m="1" x="1803"/>
        <item m="1" x="1476"/>
        <item m="1" x="2039"/>
        <item m="1" x="1488"/>
        <item m="1" x="2021"/>
        <item m="1" x="1835"/>
        <item m="1" x="2619"/>
        <item m="1" x="1470"/>
        <item m="1" x="2047"/>
        <item m="1" x="1279"/>
        <item m="1" x="1205"/>
        <item m="1" x="1777"/>
        <item m="1" x="2063"/>
        <item m="1" x="1062"/>
        <item m="1" x="1918"/>
        <item m="1" x="1645"/>
        <item m="1" x="2497"/>
        <item m="1" x="1585"/>
        <item m="1" x="2018"/>
        <item m="1" x="1574"/>
        <item m="1" x="2334"/>
        <item m="1" x="2680"/>
        <item m="1" x="2406"/>
        <item m="1" x="1956"/>
        <item m="1" x="1315"/>
        <item m="1" x="1461"/>
        <item m="1" x="1552"/>
        <item m="1" x="1809"/>
        <item m="1" x="1553"/>
        <item m="1" x="1627"/>
        <item m="1" x="1608"/>
        <item m="1" x="2520"/>
        <item m="1" x="1137"/>
        <item m="1" x="1305"/>
        <item m="1" x="2392"/>
        <item m="1" x="1152"/>
        <item m="1" x="2180"/>
        <item m="1" x="2118"/>
        <item m="1" x="1761"/>
        <item m="1" x="875"/>
        <item m="1" x="1214"/>
        <item m="1" x="1066"/>
        <item m="1" x="1293"/>
        <item m="1" x="1199"/>
        <item m="1" x="1004"/>
        <item m="1" x="1765"/>
        <item m="1" x="1304"/>
        <item m="1" x="2320"/>
        <item m="1" x="2670"/>
        <item m="1" x="2367"/>
        <item m="1" x="2669"/>
        <item m="1" x="2560"/>
        <item m="1" x="1604"/>
        <item m="1" x="2791"/>
        <item m="1" x="1594"/>
        <item m="1" x="1824"/>
        <item m="1" x="2133"/>
        <item m="1" x="1107"/>
        <item m="1" x="1819"/>
        <item m="1" x="911"/>
        <item m="1" x="893"/>
        <item m="1" x="1189"/>
        <item m="1" x="2492"/>
        <item m="1" x="2493"/>
        <item m="1" x="2756"/>
        <item m="1" x="2227"/>
        <item m="1" x="1677"/>
        <item m="1" x="987"/>
        <item m="1" x="1742"/>
        <item m="1" x="1357"/>
        <item m="1" x="1562"/>
        <item m="1" x="1948"/>
        <item m="1" x="1023"/>
        <item m="1" x="1330"/>
        <item m="1" x="2422"/>
        <item m="1" x="860"/>
        <item m="1" x="1210"/>
        <item m="1" x="1904"/>
        <item m="1" x="2290"/>
        <item m="1" x="2102"/>
        <item m="1" x="1310"/>
        <item m="1" x="1759"/>
        <item m="1" x="2762"/>
        <item m="1" x="1681"/>
        <item m="1" x="2266"/>
        <item m="1" x="2095"/>
        <item m="1" x="2556"/>
        <item m="1" x="1595"/>
        <item m="1" x="1216"/>
        <item m="1" x="1772"/>
        <item m="1" x="2662"/>
        <item m="1" x="1617"/>
        <item m="1" x="1325"/>
        <item m="1" x="1693"/>
        <item m="1" x="1555"/>
        <item m="1" x="1764"/>
        <item m="1" x="1087"/>
        <item m="1" x="1435"/>
        <item m="1" x="1425"/>
        <item m="1" x="1133"/>
        <item m="1" x="2649"/>
        <item m="1" x="1966"/>
        <item m="1" x="2384"/>
        <item m="1" x="1799"/>
        <item m="1" x="1680"/>
        <item m="1" x="1547"/>
        <item m="1" x="1820"/>
        <item m="1" x="1370"/>
        <item m="1" x="1921"/>
        <item m="1" x="1581"/>
        <item m="1" x="1248"/>
        <item m="1" x="2737"/>
        <item m="1" x="2106"/>
        <item m="1" x="1723"/>
        <item m="1" x="1332"/>
        <item m="1" x="2304"/>
        <item m="1" x="1451"/>
        <item m="1" x="2137"/>
        <item m="1" x="2323"/>
        <item m="1" x="2418"/>
        <item m="1" x="1653"/>
        <item m="1" x="1616"/>
        <item m="1" x="2131"/>
        <item m="1" x="1910"/>
        <item m="1" x="1934"/>
        <item m="1" x="1778"/>
        <item m="1" x="1381"/>
        <item m="1" x="1911"/>
        <item m="1" x="1106"/>
        <item m="1" x="1988"/>
        <item m="1" x="1557"/>
        <item m="1" x="1126"/>
        <item m="1" x="1503"/>
        <item m="1" x="1569"/>
        <item m="1" x="1929"/>
        <item m="1" x="1999"/>
        <item m="1" x="2164"/>
        <item m="1" x="2014"/>
        <item m="1" x="2541"/>
        <item m="1" x="1192"/>
        <item m="1" x="1577"/>
        <item m="1" x="2777"/>
        <item m="1" x="2172"/>
        <item m="1" x="972"/>
        <item m="1" x="2173"/>
        <item m="1" x="2335"/>
        <item m="1" x="2761"/>
        <item m="1" x="1243"/>
        <item m="1" x="2283"/>
        <item m="1" x="1213"/>
        <item m="1" x="2215"/>
        <item m="1" x="1609"/>
        <item m="1" x="1296"/>
        <item m="1" x="1961"/>
        <item m="1" x="1821"/>
        <item m="1" x="1197"/>
        <item m="1" x="2593"/>
        <item m="1" x="2086"/>
        <item m="1" x="2028"/>
        <item m="1" x="2728"/>
        <item m="1" x="1490"/>
        <item m="1" x="908"/>
        <item m="1" x="2242"/>
        <item m="1" x="2199"/>
        <item m="1" x="1678"/>
        <item m="1" x="886"/>
        <item m="1" x="2538"/>
        <item m="1" x="1390"/>
        <item m="1" x="1026"/>
        <item m="1" x="1923"/>
        <item m="1" x="1041"/>
        <item m="1" x="1840"/>
        <item m="1" x="1291"/>
        <item m="1" x="1170"/>
        <item m="1" x="2256"/>
        <item m="1" x="1113"/>
        <item m="1" x="1588"/>
        <item m="1" x="2574"/>
        <item m="1" x="2683"/>
        <item m="1" x="2689"/>
        <item m="1" x="1386"/>
        <item m="1" x="1619"/>
        <item m="1" x="1714"/>
        <item m="1" x="1515"/>
        <item m="1" x="1059"/>
        <item m="1" x="2377"/>
        <item m="1" x="2463"/>
        <item m="1" x="1419"/>
        <item m="1" x="1392"/>
        <item m="1" x="1178"/>
        <item m="1" x="976"/>
        <item m="1" x="2742"/>
        <item m="1" x="1775"/>
        <item m="1" x="2665"/>
        <item m="1" x="940"/>
        <item m="1" x="2780"/>
        <item m="1" x="2117"/>
        <item m="1" x="1964"/>
        <item m="1" x="1936"/>
        <item m="1" x="2265"/>
        <item m="1" x="1159"/>
        <item m="1" x="2345"/>
        <item m="1" x="2191"/>
        <item m="1" x="1080"/>
        <item m="1" x="2178"/>
        <item m="1" x="2528"/>
        <item m="1" x="2554"/>
        <item m="1" x="2494"/>
        <item m="1" x="2251"/>
        <item m="1" x="2111"/>
        <item m="1" x="1879"/>
        <item m="1" x="2043"/>
        <item m="1" x="1996"/>
        <item m="1" x="2531"/>
        <item m="1" x="2465"/>
        <item m="1" x="1963"/>
        <item m="1" x="1823"/>
        <item m="1" x="2527"/>
        <item m="1" x="2311"/>
        <item m="1" x="2190"/>
        <item m="1" x="2257"/>
        <item m="1" x="2540"/>
        <item m="1" x="1770"/>
        <item m="1" x="2660"/>
        <item m="1" x="2057"/>
        <item m="1" x="1760"/>
        <item m="1" x="1442"/>
        <item m="1" x="2391"/>
        <item m="1" x="1768"/>
        <item m="1" x="2200"/>
        <item m="1" x="1613"/>
        <item m="1" x="1516"/>
        <item m="1" x="978"/>
        <item m="1" x="2279"/>
        <item m="1" x="1215"/>
        <item m="1" x="2119"/>
        <item m="1" x="1221"/>
        <item m="1" x="1925"/>
        <item m="1" x="1283"/>
        <item m="1" x="1667"/>
        <item m="1" x="2254"/>
        <item m="1" x="2349"/>
        <item m="1" x="2642"/>
        <item m="1" x="1309"/>
        <item m="1" x="2667"/>
        <item m="1" x="2076"/>
        <item m="1" x="1828"/>
        <item m="1" x="1147"/>
        <item m="1" x="1295"/>
        <item m="1" x="2269"/>
        <item m="1" x="2639"/>
        <item m="1" x="1507"/>
        <item m="1" x="1898"/>
        <item m="1" x="1518"/>
        <item m="1" x="2312"/>
        <item m="1" x="2267"/>
        <item m="1" x="1532"/>
        <item m="1" x="1322"/>
        <item m="1" x="1748"/>
        <item m="1" x="2166"/>
        <item m="1" x="2635"/>
        <item m="1" x="2542"/>
        <item m="1" x="2221"/>
        <item m="1" x="2045"/>
        <item m="1" x="1987"/>
        <item m="1" x="2489"/>
        <item m="1" x="2676"/>
        <item m="1" x="2472"/>
        <item m="1" x="2793"/>
        <item m="1" x="2473"/>
        <item m="1" x="2140"/>
        <item m="1" x="2546"/>
        <item m="1" x="2314"/>
        <item m="1" x="2530"/>
        <item m="1" x="2100"/>
        <item m="1" x="2068"/>
        <item m="1" x="2415"/>
        <item m="1" x="2617"/>
        <item m="1" x="2596"/>
        <item m="1" x="2214"/>
        <item m="1" x="2386"/>
        <item m="1" x="1832"/>
        <item m="1" x="2031"/>
        <item m="1" x="1726"/>
        <item m="1" x="2130"/>
        <item m="1" x="2072"/>
        <item m="1" x="1045"/>
        <item m="1" x="2416"/>
        <item m="1" x="1833"/>
        <item m="1" x="2513"/>
        <item m="1" x="1469"/>
        <item m="1" x="2394"/>
        <item m="1" x="1007"/>
        <item m="1" x="2629"/>
        <item m="1" x="2337"/>
        <item m="1" x="916"/>
        <item m="1" x="912"/>
        <item m="1" x="1483"/>
        <item m="1" x="2029"/>
        <item m="1" x="2343"/>
        <item m="1" x="1111"/>
        <item m="1" x="2621"/>
        <item m="1" x="2274"/>
        <item m="1" x="1346"/>
        <item m="1" x="1244"/>
        <item m="1" x="1032"/>
        <item m="1" x="2344"/>
        <item m="1" x="2048"/>
        <item m="1" x="1129"/>
        <item m="1" x="2339"/>
        <item m="1" x="2395"/>
        <item m="1" x="2628"/>
        <item m="1" x="2398"/>
        <item m="1" x="2446"/>
        <item m="1" x="1790"/>
        <item m="1" x="2264"/>
        <item m="1" x="1540"/>
        <item m="1" x="2495"/>
        <item m="1" x="1433"/>
        <item m="1" x="2091"/>
        <item m="1" x="2372"/>
        <item m="1" x="2122"/>
        <item m="1" x="2746"/>
        <item m="1" x="2197"/>
        <item m="1" x="1692"/>
        <item m="1" x="1710"/>
        <item m="1" x="2163"/>
        <item m="1" x="2424"/>
        <item m="1" x="2712"/>
        <item m="1" x="2711"/>
        <item m="1" x="1452"/>
        <item m="1" x="2425"/>
        <item m="1" x="1536"/>
        <item m="1" x="2144"/>
        <item m="1" x="1563"/>
        <item m="1" x="2496"/>
        <item m="1" x="2262"/>
        <item m="1" x="1866"/>
        <item m="1" x="2297"/>
        <item m="1" x="1188"/>
        <item m="1" x="2397"/>
        <item m="1" x="1825"/>
        <item m="1" x="1123"/>
        <item m="1" x="1733"/>
        <item m="1" x="1806"/>
        <item m="1" x="1982"/>
        <item m="1" x="2445"/>
        <item m="1" x="1638"/>
        <item m="1" x="943"/>
        <item m="1" x="2659"/>
        <item m="1" x="1174"/>
        <item m="1" x="2602"/>
        <item m="1" x="2719"/>
        <item m="1" x="1404"/>
        <item m="1" x="868"/>
        <item m="1" x="2198"/>
        <item m="1" x="2035"/>
        <item m="1" x="2561"/>
        <item m="1" x="2587"/>
        <item m="1" x="2609"/>
        <item m="1" x="2610"/>
        <item m="1" x="1014"/>
        <item m="1" x="2462"/>
        <item m="1" x="2637"/>
        <item m="1" x="1273"/>
        <item m="1" x="934"/>
        <item m="1" x="1440"/>
        <item m="1" x="2179"/>
        <item m="1" x="1227"/>
        <item m="1" x="1091"/>
        <item m="1" x="2296"/>
        <item m="1" x="2081"/>
        <item m="1" x="1226"/>
        <item m="1" x="1233"/>
        <item m="1" x="876"/>
        <item m="1" x="2675"/>
        <item m="1" x="1480"/>
        <item m="1" x="2770"/>
        <item m="1" x="2547"/>
        <item m="1" x="2487"/>
        <item m="1" x="2764"/>
        <item m="1" x="2782"/>
        <item m="1" x="942"/>
        <item m="1" x="2444"/>
        <item m="1" x="2588"/>
        <item m="1" x="1757"/>
        <item m="1" x="1720"/>
        <item m="1" x="2558"/>
        <item m="1" x="1039"/>
        <item m="1" x="1140"/>
        <item m="1" x="2682"/>
        <item m="1" x="1406"/>
        <item m="1" x="2668"/>
        <item m="1" x="1052"/>
        <item m="1" x="1058"/>
        <item m="1" x="859"/>
        <item m="1" x="1230"/>
        <item m="1" x="2470"/>
        <item m="1" x="2553"/>
        <item m="1" x="1321"/>
        <item m="1" x="2147"/>
        <item m="1" x="1263"/>
        <item m="1" x="926"/>
        <item m="1" x="1654"/>
        <item m="1" x="2677"/>
        <item m="1" x="2301"/>
        <item m="1" x="2241"/>
        <item m="1" x="2153"/>
        <item m="1" x="2469"/>
        <item m="1" x="2277"/>
        <item m="1" x="1269"/>
        <item m="1" x="2002"/>
        <item m="1" x="2716"/>
        <item m="1" x="2237"/>
        <item m="1" x="2054"/>
        <item m="1" x="1919"/>
        <item m="1" x="1117"/>
        <item m="1" x="1336"/>
        <item m="1" x="1264"/>
        <item m="1" x="2037"/>
        <item m="1" x="1486"/>
        <item m="1" x="1655"/>
        <item m="1" x="2678"/>
        <item m="1" x="2065"/>
        <item m="1" x="2623"/>
        <item m="1" x="874"/>
        <item m="1" x="2784"/>
        <item m="1" x="2577"/>
        <item m="1" x="2233"/>
        <item m="1" x="1164"/>
        <item m="1" x="1286"/>
        <item m="1" x="2738"/>
        <item m="1" x="2749"/>
        <item m="1" x="1272"/>
        <item m="1" x="1731"/>
        <item m="1" x="2570"/>
        <item m="1" x="2234"/>
        <item m="1" x="2498"/>
        <item m="1" x="2666"/>
        <item m="1" x="2586"/>
        <item m="1" x="1049"/>
        <item m="1" x="2414"/>
        <item m="1" x="1511"/>
        <item m="1" x="1168"/>
        <item m="1" x="1708"/>
        <item m="1" x="1650"/>
        <item m="1" x="2090"/>
        <item m="1" x="2258"/>
        <item m="1" x="2679"/>
        <item m="1" x="2792"/>
        <item m="1" x="1299"/>
        <item m="1" x="2583"/>
        <item m="1" x="1402"/>
        <item m="1" x="984"/>
        <item m="1" x="2521"/>
        <item m="1" x="1586"/>
        <item m="1" x="2194"/>
        <item m="1" x="2245"/>
        <item m="1" x="1177"/>
        <item m="1" x="2229"/>
        <item m="1" x="956"/>
        <item m="1" x="1318"/>
        <item m="1" x="2783"/>
        <item m="1" x="2736"/>
        <item m="1" x="2708"/>
        <item m="1" x="2456"/>
        <item m="1" x="2656"/>
        <item m="1" x="1699"/>
        <item m="1" x="2765"/>
        <item m="1" x="2549"/>
        <item m="1" x="1237"/>
        <item m="1" x="1788"/>
        <item m="1" x="2342"/>
        <item m="1" x="2286"/>
        <item m="1" x="1179"/>
        <item m="1" x="2523"/>
        <item m="1" x="1193"/>
        <item m="1" x="991"/>
        <item m="1" x="1916"/>
        <item m="1" x="1396"/>
        <item m="1" x="2747"/>
        <item m="1" x="2652"/>
        <item m="1" x="2041"/>
        <item m="1" x="1564"/>
        <item m="1" x="2638"/>
        <item m="1" x="2717"/>
        <item m="1" x="1624"/>
        <item m="1" x="990"/>
        <item m="1" x="2766"/>
        <item m="1" x="1946"/>
        <item m="1" x="2732"/>
        <item m="1" x="2706"/>
        <item m="1" x="1207"/>
        <item m="1" x="1587"/>
        <item m="1" x="2604"/>
        <item m="1" x="2129"/>
        <item m="1" x="1917"/>
        <item m="1" x="2412"/>
        <item m="1" x="1183"/>
        <item m="1" x="1464"/>
        <item m="1" x="1292"/>
        <item m="1" x="1663"/>
        <item m="1" x="2428"/>
        <item m="1" x="2455"/>
        <item m="1" x="1204"/>
        <item m="1" x="975"/>
        <item m="1" x="2543"/>
        <item m="1" x="1027"/>
        <item m="1" x="1527"/>
        <item m="1" x="864"/>
        <item m="1" x="2336"/>
        <item m="1" x="1810"/>
        <item m="1" x="1479"/>
        <item m="1" x="1605"/>
        <item m="1" x="1754"/>
        <item m="1" x="2759"/>
        <item m="1" x="2101"/>
        <item m="1" x="1851"/>
        <item m="1" x="2151"/>
        <item m="1" x="2329"/>
        <item m="1" x="2645"/>
        <item m="1" x="2508"/>
        <item m="1" x="2150"/>
        <item m="1" x="1575"/>
        <item m="1" x="2399"/>
        <item m="1" x="1863"/>
        <item m="1" x="1707"/>
        <item m="1" x="1128"/>
        <item m="1" x="2250"/>
        <item m="1" x="2368"/>
        <item m="1" x="1665"/>
        <item m="1" x="2182"/>
        <item m="1" x="1258"/>
        <item m="1" x="2484"/>
        <item m="1" x="2246"/>
        <item m="1" x="1398"/>
        <item m="1" x="1762"/>
        <item m="1" x="2721"/>
        <item m="1" x="2517"/>
        <item m="1" x="913"/>
        <item m="1" x="1274"/>
        <item m="1" x="1688"/>
        <item m="1" x="2514"/>
        <item m="1" x="1944"/>
        <item m="1" x="1978"/>
        <item m="1" x="2509"/>
        <item m="1" x="2263"/>
        <item m="1" x="1691"/>
        <item m="1" x="1717"/>
        <item m="1" x="1067"/>
        <item m="1" x="1769"/>
        <item m="1" x="1384"/>
        <item m="1" x="1800"/>
        <item m="1" x="2324"/>
        <item m="1" x="2468"/>
        <item m="1" x="1907"/>
        <item m="1" x="898"/>
        <item m="1" x="1270"/>
        <item m="1" x="863"/>
        <item m="1" x="939"/>
        <item m="1" x="2121"/>
        <item m="1" x="1807"/>
        <item m="1" x="1933"/>
        <item m="1" x="921"/>
        <item m="1" x="1631"/>
        <item m="1" x="2450"/>
        <item m="1" x="2575"/>
        <item m="1" x="1276"/>
        <item m="1" x="1253"/>
        <item m="1" x="2094"/>
        <item m="1" x="2093"/>
        <item m="1" x="2124"/>
        <item m="1" x="2655"/>
        <item m="1" x="1508"/>
        <item m="1" x="26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t="default"/>
      </items>
    </pivotField>
    <pivotField dataField="1" showAll="0"/>
    <pivotField dataField="1" numFmtId="44" showAll="0"/>
    <pivotField showAll="0">
      <items count="13">
        <item x="5"/>
        <item x="4"/>
        <item x="6"/>
        <item m="1" x="7"/>
        <item m="1" x="8"/>
        <item m="1" x="9"/>
        <item m="1" x="10"/>
        <item m="1" x="11"/>
        <item x="0"/>
        <item x="1"/>
        <item x="2"/>
        <item x="3"/>
        <item t="default"/>
      </items>
    </pivotField>
    <pivotField name="AÑO:" axis="axisPage" showAll="0">
      <items count="9">
        <item m="1" x="1"/>
        <item m="1" x="4"/>
        <item m="1" x="7"/>
        <item m="1" x="3"/>
        <item m="1" x="6"/>
        <item m="1" x="2"/>
        <item m="1" x="5"/>
        <item x="0"/>
        <item t="default"/>
      </items>
    </pivotField>
    <pivotField dragToRow="0" dragToCol="0" dragToPage="0" showAll="0" defaultSubtotal="0"/>
    <pivotField showAll="0" defaultSubtotal="0">
      <items count="3">
        <item x="0"/>
        <item x="1"/>
        <item x="2"/>
      </items>
    </pivotField>
    <pivotField dataField="1" dragToRow="0" dragToCol="0" dragToPage="0" showAll="0" defaultSubtotal="0"/>
  </pivotFields>
  <rowFields count="3">
    <field x="0"/>
    <field x="2"/>
    <field x="3"/>
  </rowFields>
  <rowItems count="868">
    <i>
      <x/>
    </i>
    <i r="1">
      <x v="55"/>
    </i>
    <i r="2">
      <x v="1978"/>
    </i>
    <i r="2">
      <x v="2083"/>
    </i>
    <i r="2">
      <x v="2182"/>
    </i>
    <i r="2">
      <x v="2297"/>
    </i>
    <i r="2">
      <x v="2424"/>
    </i>
    <i r="2">
      <x v="2562"/>
    </i>
    <i r="2">
      <x v="2704"/>
    </i>
    <i r="1">
      <x v="81"/>
    </i>
    <i r="2">
      <x v="2183"/>
    </i>
    <i r="2">
      <x v="2298"/>
    </i>
    <i r="2">
      <x v="2425"/>
    </i>
    <i r="2">
      <x v="2563"/>
    </i>
    <i r="2">
      <x v="2705"/>
    </i>
    <i>
      <x v="2"/>
    </i>
    <i r="1">
      <x v="10"/>
    </i>
    <i r="2">
      <x v="2045"/>
    </i>
    <i r="2">
      <x v="2087"/>
    </i>
    <i r="2">
      <x v="2264"/>
    </i>
    <i r="2">
      <x v="2300"/>
    </i>
    <i r="2">
      <x v="2427"/>
    </i>
    <i r="2">
      <x v="2565"/>
    </i>
    <i r="2">
      <x v="2707"/>
    </i>
    <i r="1">
      <x v="44"/>
    </i>
    <i r="2">
      <x v="2085"/>
    </i>
    <i r="1">
      <x v="60"/>
    </i>
    <i r="2">
      <x v="1956"/>
    </i>
    <i r="2">
      <x v="2014"/>
    </i>
    <i r="2">
      <x v="2015"/>
    </i>
    <i r="2">
      <x v="2047"/>
    </i>
    <i r="2">
      <x v="2084"/>
    </i>
    <i r="2">
      <x v="2426"/>
    </i>
    <i r="2">
      <x v="2664"/>
    </i>
    <i r="2">
      <x v="2706"/>
    </i>
    <i r="1">
      <x v="66"/>
    </i>
    <i r="2">
      <x v="1961"/>
    </i>
    <i r="2">
      <x v="2082"/>
    </i>
    <i r="2">
      <x v="2151"/>
    </i>
    <i r="2">
      <x v="2181"/>
    </i>
    <i r="2">
      <x v="2265"/>
    </i>
    <i r="2">
      <x v="2296"/>
    </i>
    <i r="2">
      <x v="2299"/>
    </i>
    <i r="2">
      <x v="2423"/>
    </i>
    <i r="2">
      <x v="2561"/>
    </i>
    <i r="1">
      <x v="77"/>
    </i>
    <i r="2">
      <x v="1944"/>
    </i>
    <i r="2">
      <x v="1945"/>
    </i>
    <i r="2">
      <x v="1946"/>
    </i>
    <i r="2">
      <x v="1947"/>
    </i>
    <i r="2">
      <x v="1948"/>
    </i>
    <i r="2">
      <x v="1949"/>
    </i>
    <i r="2">
      <x v="1950"/>
    </i>
    <i r="2">
      <x v="1951"/>
    </i>
    <i r="2">
      <x v="1952"/>
    </i>
    <i r="2">
      <x v="1953"/>
    </i>
    <i r="2">
      <x v="1954"/>
    </i>
    <i r="2">
      <x v="1955"/>
    </i>
    <i r="2">
      <x v="1957"/>
    </i>
    <i r="2">
      <x v="1958"/>
    </i>
    <i r="2">
      <x v="1962"/>
    </i>
    <i r="2">
      <x v="1963"/>
    </i>
    <i r="2">
      <x v="1964"/>
    </i>
    <i r="2">
      <x v="1965"/>
    </i>
    <i r="2">
      <x v="1966"/>
    </i>
    <i r="2">
      <x v="1967"/>
    </i>
    <i r="2">
      <x v="1968"/>
    </i>
    <i r="2">
      <x v="1969"/>
    </i>
    <i r="2">
      <x v="1970"/>
    </i>
    <i r="2">
      <x v="1971"/>
    </i>
    <i r="2">
      <x v="1972"/>
    </i>
    <i r="2">
      <x v="1973"/>
    </i>
    <i r="2">
      <x v="1974"/>
    </i>
    <i r="2">
      <x v="1975"/>
    </i>
    <i r="2">
      <x v="1976"/>
    </i>
    <i r="2">
      <x v="1977"/>
    </i>
    <i r="2">
      <x v="1979"/>
    </i>
    <i r="2">
      <x v="1980"/>
    </i>
    <i r="2">
      <x v="1981"/>
    </i>
    <i r="2">
      <x v="1982"/>
    </i>
    <i r="2">
      <x v="1983"/>
    </i>
    <i r="2">
      <x v="1984"/>
    </i>
    <i r="2">
      <x v="1985"/>
    </i>
    <i r="2">
      <x v="1986"/>
    </i>
    <i r="2">
      <x v="1987"/>
    </i>
    <i r="2">
      <x v="1988"/>
    </i>
    <i r="2">
      <x v="1989"/>
    </i>
    <i r="2">
      <x v="1990"/>
    </i>
    <i r="2">
      <x v="1991"/>
    </i>
    <i r="2">
      <x v="1992"/>
    </i>
    <i r="2">
      <x v="1993"/>
    </i>
    <i r="2">
      <x v="1994"/>
    </i>
    <i r="2">
      <x v="1995"/>
    </i>
    <i r="2">
      <x v="1996"/>
    </i>
    <i r="2">
      <x v="1997"/>
    </i>
    <i r="2">
      <x v="1998"/>
    </i>
    <i r="2">
      <x v="1999"/>
    </i>
    <i r="2">
      <x v="2000"/>
    </i>
    <i r="2">
      <x v="2001"/>
    </i>
    <i r="2">
      <x v="2002"/>
    </i>
    <i r="2">
      <x v="2003"/>
    </i>
    <i r="2">
      <x v="2004"/>
    </i>
    <i r="2">
      <x v="2005"/>
    </i>
    <i r="2">
      <x v="2006"/>
    </i>
    <i r="2">
      <x v="2007"/>
    </i>
    <i r="2">
      <x v="2008"/>
    </i>
    <i r="2">
      <x v="2009"/>
    </i>
    <i r="2">
      <x v="2010"/>
    </i>
    <i r="2">
      <x v="2011"/>
    </i>
    <i r="2">
      <x v="2012"/>
    </i>
    <i r="2">
      <x v="2013"/>
    </i>
    <i r="2">
      <x v="2016"/>
    </i>
    <i r="2">
      <x v="2017"/>
    </i>
    <i r="2">
      <x v="2018"/>
    </i>
    <i r="2">
      <x v="2019"/>
    </i>
    <i r="2">
      <x v="2020"/>
    </i>
    <i r="2">
      <x v="2021"/>
    </i>
    <i r="2">
      <x v="2022"/>
    </i>
    <i r="2">
      <x v="2023"/>
    </i>
    <i r="2">
      <x v="2024"/>
    </i>
    <i r="2">
      <x v="2025"/>
    </i>
    <i r="2">
      <x v="2026"/>
    </i>
    <i r="2">
      <x v="2027"/>
    </i>
    <i r="2">
      <x v="2028"/>
    </i>
    <i r="2">
      <x v="2029"/>
    </i>
    <i r="2">
      <x v="2030"/>
    </i>
    <i r="2">
      <x v="2031"/>
    </i>
    <i r="2">
      <x v="2032"/>
    </i>
    <i r="2">
      <x v="2033"/>
    </i>
    <i r="2">
      <x v="2034"/>
    </i>
    <i r="2">
      <x v="2035"/>
    </i>
    <i r="2">
      <x v="2036"/>
    </i>
    <i r="2">
      <x v="2037"/>
    </i>
    <i r="2">
      <x v="2038"/>
    </i>
    <i r="2">
      <x v="2039"/>
    </i>
    <i r="2">
      <x v="2040"/>
    </i>
    <i r="2">
      <x v="2041"/>
    </i>
    <i r="2">
      <x v="2042"/>
    </i>
    <i r="2">
      <x v="2043"/>
    </i>
    <i r="2">
      <x v="2044"/>
    </i>
    <i r="2">
      <x v="2046"/>
    </i>
    <i r="2">
      <x v="2048"/>
    </i>
    <i r="2">
      <x v="2049"/>
    </i>
    <i r="2">
      <x v="2050"/>
    </i>
    <i r="2">
      <x v="2051"/>
    </i>
    <i r="2">
      <x v="2052"/>
    </i>
    <i r="2">
      <x v="2053"/>
    </i>
    <i r="2">
      <x v="2054"/>
    </i>
    <i r="2">
      <x v="2055"/>
    </i>
    <i r="2">
      <x v="2056"/>
    </i>
    <i r="2">
      <x v="2057"/>
    </i>
    <i r="2">
      <x v="2058"/>
    </i>
    <i r="2">
      <x v="2059"/>
    </i>
    <i r="2">
      <x v="2060"/>
    </i>
    <i r="2">
      <x v="2061"/>
    </i>
    <i r="2">
      <x v="2062"/>
    </i>
    <i r="2">
      <x v="2063"/>
    </i>
    <i r="2">
      <x v="2064"/>
    </i>
    <i r="2">
      <x v="2065"/>
    </i>
    <i r="2">
      <x v="2066"/>
    </i>
    <i r="2">
      <x v="2067"/>
    </i>
    <i r="2">
      <x v="2068"/>
    </i>
    <i r="2">
      <x v="2069"/>
    </i>
    <i r="2">
      <x v="2070"/>
    </i>
    <i r="2">
      <x v="2071"/>
    </i>
    <i r="2">
      <x v="2072"/>
    </i>
    <i r="2">
      <x v="2073"/>
    </i>
    <i r="2">
      <x v="2074"/>
    </i>
    <i r="2">
      <x v="2075"/>
    </i>
    <i r="2">
      <x v="2076"/>
    </i>
    <i r="2">
      <x v="2077"/>
    </i>
    <i r="2">
      <x v="2078"/>
    </i>
    <i r="2">
      <x v="2079"/>
    </i>
    <i r="2">
      <x v="2086"/>
    </i>
    <i r="2">
      <x v="2088"/>
    </i>
    <i r="2">
      <x v="2089"/>
    </i>
    <i r="2">
      <x v="2090"/>
    </i>
    <i r="2">
      <x v="2091"/>
    </i>
    <i r="2">
      <x v="2092"/>
    </i>
    <i r="2">
      <x v="2093"/>
    </i>
    <i r="2">
      <x v="2094"/>
    </i>
    <i r="2">
      <x v="2095"/>
    </i>
    <i r="2">
      <x v="2096"/>
    </i>
    <i r="2">
      <x v="2097"/>
    </i>
    <i r="2">
      <x v="2098"/>
    </i>
    <i r="2">
      <x v="2099"/>
    </i>
    <i r="2">
      <x v="2100"/>
    </i>
    <i r="2">
      <x v="2101"/>
    </i>
    <i r="2">
      <x v="2102"/>
    </i>
    <i r="2">
      <x v="2103"/>
    </i>
    <i r="2">
      <x v="2104"/>
    </i>
    <i r="2">
      <x v="2105"/>
    </i>
    <i r="2">
      <x v="2106"/>
    </i>
    <i r="2">
      <x v="2107"/>
    </i>
    <i r="2">
      <x v="2108"/>
    </i>
    <i r="2">
      <x v="2109"/>
    </i>
    <i r="2">
      <x v="2110"/>
    </i>
    <i r="2">
      <x v="2111"/>
    </i>
    <i r="2">
      <x v="2112"/>
    </i>
    <i r="2">
      <x v="2113"/>
    </i>
    <i r="2">
      <x v="2114"/>
    </i>
    <i r="2">
      <x v="2115"/>
    </i>
    <i r="2">
      <x v="2116"/>
    </i>
    <i r="2">
      <x v="2117"/>
    </i>
    <i r="2">
      <x v="2118"/>
    </i>
    <i r="2">
      <x v="2119"/>
    </i>
    <i r="2">
      <x v="2120"/>
    </i>
    <i r="2">
      <x v="2121"/>
    </i>
    <i r="2">
      <x v="2122"/>
    </i>
    <i r="2">
      <x v="2123"/>
    </i>
    <i r="2">
      <x v="2124"/>
    </i>
    <i r="2">
      <x v="2125"/>
    </i>
    <i r="2">
      <x v="2126"/>
    </i>
    <i r="2">
      <x v="2127"/>
    </i>
    <i r="2">
      <x v="2128"/>
    </i>
    <i r="2">
      <x v="2129"/>
    </i>
    <i r="2">
      <x v="2130"/>
    </i>
    <i r="2">
      <x v="2131"/>
    </i>
    <i r="2">
      <x v="2132"/>
    </i>
    <i r="2">
      <x v="2133"/>
    </i>
    <i r="2">
      <x v="2134"/>
    </i>
    <i r="2">
      <x v="2135"/>
    </i>
    <i r="2">
      <x v="2136"/>
    </i>
    <i r="2">
      <x v="2137"/>
    </i>
    <i r="2">
      <x v="2138"/>
    </i>
    <i r="2">
      <x v="2139"/>
    </i>
    <i r="2">
      <x v="2140"/>
    </i>
    <i r="2">
      <x v="2141"/>
    </i>
    <i r="2">
      <x v="2142"/>
    </i>
    <i r="2">
      <x v="2143"/>
    </i>
    <i r="2">
      <x v="2144"/>
    </i>
    <i r="2">
      <x v="2145"/>
    </i>
    <i r="2">
      <x v="2146"/>
    </i>
    <i r="2">
      <x v="2147"/>
    </i>
    <i r="2">
      <x v="2148"/>
    </i>
    <i r="2">
      <x v="2149"/>
    </i>
    <i r="2">
      <x v="2150"/>
    </i>
    <i r="1">
      <x v="78"/>
    </i>
    <i r="2">
      <x v="1959"/>
    </i>
    <i r="2">
      <x v="2080"/>
    </i>
    <i r="2">
      <x v="2179"/>
    </i>
    <i r="2">
      <x v="2383"/>
    </i>
    <i r="2">
      <x v="2422"/>
    </i>
    <i r="2">
      <x v="2560"/>
    </i>
    <i r="1">
      <x v="79"/>
    </i>
    <i r="2">
      <x v="1960"/>
    </i>
    <i r="2">
      <x v="2081"/>
    </i>
    <i r="2">
      <x v="2180"/>
    </i>
    <i r="2">
      <x v="2384"/>
    </i>
    <i r="1">
      <x v="80"/>
    </i>
    <i r="2">
      <x v="2152"/>
    </i>
    <i r="2">
      <x v="2153"/>
    </i>
    <i r="2">
      <x v="2154"/>
    </i>
    <i r="2">
      <x v="2155"/>
    </i>
    <i r="2">
      <x v="2156"/>
    </i>
    <i r="2">
      <x v="2157"/>
    </i>
    <i r="2">
      <x v="2158"/>
    </i>
    <i r="2">
      <x v="2159"/>
    </i>
    <i r="2">
      <x v="2160"/>
    </i>
    <i r="2">
      <x v="2161"/>
    </i>
    <i r="2">
      <x v="2162"/>
    </i>
    <i r="2">
      <x v="2163"/>
    </i>
    <i r="2">
      <x v="2164"/>
    </i>
    <i r="2">
      <x v="2165"/>
    </i>
    <i r="2">
      <x v="2166"/>
    </i>
    <i r="2">
      <x v="2167"/>
    </i>
    <i r="2">
      <x v="2168"/>
    </i>
    <i r="2">
      <x v="2169"/>
    </i>
    <i r="2">
      <x v="2170"/>
    </i>
    <i r="2">
      <x v="2171"/>
    </i>
    <i r="2">
      <x v="2172"/>
    </i>
    <i r="2">
      <x v="2173"/>
    </i>
    <i r="2">
      <x v="2174"/>
    </i>
    <i r="2">
      <x v="2175"/>
    </i>
    <i r="2">
      <x v="2176"/>
    </i>
    <i r="2">
      <x v="2177"/>
    </i>
    <i r="2">
      <x v="2178"/>
    </i>
    <i r="2">
      <x v="2184"/>
    </i>
    <i r="2">
      <x v="2185"/>
    </i>
    <i r="2">
      <x v="2186"/>
    </i>
    <i r="2">
      <x v="2187"/>
    </i>
    <i r="2">
      <x v="2188"/>
    </i>
    <i r="2">
      <x v="2189"/>
    </i>
    <i r="2">
      <x v="2190"/>
    </i>
    <i r="2">
      <x v="2191"/>
    </i>
    <i r="2">
      <x v="2192"/>
    </i>
    <i r="2">
      <x v="2193"/>
    </i>
    <i r="2">
      <x v="2194"/>
    </i>
    <i r="2">
      <x v="2195"/>
    </i>
    <i r="2">
      <x v="2196"/>
    </i>
    <i r="2">
      <x v="2197"/>
    </i>
    <i r="2">
      <x v="2198"/>
    </i>
    <i r="2">
      <x v="2199"/>
    </i>
    <i r="2">
      <x v="2200"/>
    </i>
    <i r="2">
      <x v="2201"/>
    </i>
    <i r="2">
      <x v="2202"/>
    </i>
    <i r="2">
      <x v="2203"/>
    </i>
    <i r="2">
      <x v="2204"/>
    </i>
    <i r="2">
      <x v="2205"/>
    </i>
    <i r="2">
      <x v="2206"/>
    </i>
    <i r="2">
      <x v="2207"/>
    </i>
    <i r="2">
      <x v="2208"/>
    </i>
    <i r="2">
      <x v="2209"/>
    </i>
    <i r="2">
      <x v="2210"/>
    </i>
    <i r="2">
      <x v="2211"/>
    </i>
    <i r="2">
      <x v="2212"/>
    </i>
    <i r="2">
      <x v="2213"/>
    </i>
    <i r="2">
      <x v="2214"/>
    </i>
    <i r="2">
      <x v="2215"/>
    </i>
    <i r="2">
      <x v="2216"/>
    </i>
    <i r="2">
      <x v="2217"/>
    </i>
    <i r="2">
      <x v="2218"/>
    </i>
    <i r="2">
      <x v="2219"/>
    </i>
    <i r="2">
      <x v="2220"/>
    </i>
    <i r="2">
      <x v="2221"/>
    </i>
    <i r="2">
      <x v="2222"/>
    </i>
    <i r="2">
      <x v="2223"/>
    </i>
    <i r="2">
      <x v="2224"/>
    </i>
    <i r="2">
      <x v="2225"/>
    </i>
    <i r="2">
      <x v="2226"/>
    </i>
    <i r="2">
      <x v="2227"/>
    </i>
    <i r="2">
      <x v="2228"/>
    </i>
    <i r="2">
      <x v="2229"/>
    </i>
    <i r="2">
      <x v="2230"/>
    </i>
    <i r="2">
      <x v="2231"/>
    </i>
    <i r="2">
      <x v="2232"/>
    </i>
    <i r="2">
      <x v="2233"/>
    </i>
    <i r="2">
      <x v="2234"/>
    </i>
    <i r="2">
      <x v="2235"/>
    </i>
    <i r="2">
      <x v="2236"/>
    </i>
    <i r="2">
      <x v="2237"/>
    </i>
    <i r="2">
      <x v="2238"/>
    </i>
    <i r="2">
      <x v="2239"/>
    </i>
    <i r="2">
      <x v="2240"/>
    </i>
    <i r="2">
      <x v="2241"/>
    </i>
    <i r="2">
      <x v="2242"/>
    </i>
    <i r="2">
      <x v="2243"/>
    </i>
    <i r="2">
      <x v="2244"/>
    </i>
    <i r="2">
      <x v="2245"/>
    </i>
    <i r="2">
      <x v="2246"/>
    </i>
    <i r="2">
      <x v="2247"/>
    </i>
    <i r="2">
      <x v="2248"/>
    </i>
    <i r="2">
      <x v="2249"/>
    </i>
    <i r="2">
      <x v="2250"/>
    </i>
    <i r="2">
      <x v="2251"/>
    </i>
    <i r="2">
      <x v="2252"/>
    </i>
    <i r="2">
      <x v="2253"/>
    </i>
    <i r="2">
      <x v="2254"/>
    </i>
    <i r="2">
      <x v="2255"/>
    </i>
    <i r="2">
      <x v="2256"/>
    </i>
    <i r="2">
      <x v="2257"/>
    </i>
    <i r="2">
      <x v="2258"/>
    </i>
    <i r="2">
      <x v="2259"/>
    </i>
    <i r="2">
      <x v="2260"/>
    </i>
    <i r="2">
      <x v="2261"/>
    </i>
    <i r="2">
      <x v="2262"/>
    </i>
    <i r="2">
      <x v="2263"/>
    </i>
    <i r="2">
      <x v="2266"/>
    </i>
    <i r="2">
      <x v="2267"/>
    </i>
    <i r="2">
      <x v="2268"/>
    </i>
    <i r="2">
      <x v="2269"/>
    </i>
    <i r="2">
      <x v="2270"/>
    </i>
    <i r="2">
      <x v="2271"/>
    </i>
    <i r="2">
      <x v="2272"/>
    </i>
    <i r="2">
      <x v="2273"/>
    </i>
    <i r="2">
      <x v="2274"/>
    </i>
    <i r="2">
      <x v="2275"/>
    </i>
    <i r="2">
      <x v="2276"/>
    </i>
    <i r="2">
      <x v="2277"/>
    </i>
    <i r="2">
      <x v="2278"/>
    </i>
    <i r="2">
      <x v="2279"/>
    </i>
    <i r="2">
      <x v="2280"/>
    </i>
    <i r="2">
      <x v="2281"/>
    </i>
    <i r="2">
      <x v="2282"/>
    </i>
    <i r="2">
      <x v="2283"/>
    </i>
    <i r="2">
      <x v="2284"/>
    </i>
    <i r="2">
      <x v="2285"/>
    </i>
    <i r="2">
      <x v="2286"/>
    </i>
    <i r="2">
      <x v="2287"/>
    </i>
    <i r="2">
      <x v="2288"/>
    </i>
    <i r="2">
      <x v="2289"/>
    </i>
    <i r="2">
      <x v="2290"/>
    </i>
    <i r="2">
      <x v="2291"/>
    </i>
    <i r="2">
      <x v="2292"/>
    </i>
    <i r="2">
      <x v="2293"/>
    </i>
    <i r="2">
      <x v="2294"/>
    </i>
    <i r="2">
      <x v="2295"/>
    </i>
    <i r="2">
      <x v="2301"/>
    </i>
    <i r="2">
      <x v="2302"/>
    </i>
    <i r="2">
      <x v="2303"/>
    </i>
    <i r="2">
      <x v="2304"/>
    </i>
    <i r="2">
      <x v="2305"/>
    </i>
    <i r="2">
      <x v="2306"/>
    </i>
    <i r="2">
      <x v="2307"/>
    </i>
    <i r="2">
      <x v="2308"/>
    </i>
    <i r="2">
      <x v="2309"/>
    </i>
    <i r="2">
      <x v="2310"/>
    </i>
    <i r="2">
      <x v="2311"/>
    </i>
    <i r="2">
      <x v="2312"/>
    </i>
    <i r="2">
      <x v="2313"/>
    </i>
    <i r="2">
      <x v="2314"/>
    </i>
    <i r="2">
      <x v="2315"/>
    </i>
    <i r="2">
      <x v="2316"/>
    </i>
    <i r="2">
      <x v="2317"/>
    </i>
    <i r="2">
      <x v="2318"/>
    </i>
    <i r="2">
      <x v="2319"/>
    </i>
    <i r="2">
      <x v="2320"/>
    </i>
    <i r="2">
      <x v="2321"/>
    </i>
    <i r="2">
      <x v="2322"/>
    </i>
    <i r="2">
      <x v="2323"/>
    </i>
    <i r="2">
      <x v="2324"/>
    </i>
    <i r="2">
      <x v="2325"/>
    </i>
    <i r="2">
      <x v="2326"/>
    </i>
    <i r="2">
      <x v="2327"/>
    </i>
    <i r="2">
      <x v="2328"/>
    </i>
    <i r="2">
      <x v="2329"/>
    </i>
    <i r="2">
      <x v="2330"/>
    </i>
    <i r="2">
      <x v="2331"/>
    </i>
    <i r="2">
      <x v="2332"/>
    </i>
    <i r="2">
      <x v="2333"/>
    </i>
    <i r="2">
      <x v="2334"/>
    </i>
    <i r="2">
      <x v="2335"/>
    </i>
    <i r="2">
      <x v="2336"/>
    </i>
    <i r="2">
      <x v="2337"/>
    </i>
    <i r="2">
      <x v="2338"/>
    </i>
    <i r="2">
      <x v="2339"/>
    </i>
    <i r="2">
      <x v="2340"/>
    </i>
    <i r="2">
      <x v="2341"/>
    </i>
    <i r="2">
      <x v="2342"/>
    </i>
    <i r="2">
      <x v="2343"/>
    </i>
    <i r="2">
      <x v="2344"/>
    </i>
    <i r="2">
      <x v="2345"/>
    </i>
    <i r="2">
      <x v="2346"/>
    </i>
    <i r="2">
      <x v="2347"/>
    </i>
    <i r="2">
      <x v="2348"/>
    </i>
    <i r="2">
      <x v="2349"/>
    </i>
    <i r="2">
      <x v="2350"/>
    </i>
    <i r="2">
      <x v="2351"/>
    </i>
    <i r="2">
      <x v="2352"/>
    </i>
    <i r="2">
      <x v="2353"/>
    </i>
    <i r="2">
      <x v="2354"/>
    </i>
    <i r="2">
      <x v="2355"/>
    </i>
    <i r="2">
      <x v="2356"/>
    </i>
    <i r="2">
      <x v="2357"/>
    </i>
    <i r="2">
      <x v="2358"/>
    </i>
    <i r="2">
      <x v="2359"/>
    </i>
    <i r="2">
      <x v="2360"/>
    </i>
    <i r="2">
      <x v="2361"/>
    </i>
    <i r="2">
      <x v="2362"/>
    </i>
    <i r="2">
      <x v="2363"/>
    </i>
    <i r="2">
      <x v="2364"/>
    </i>
    <i r="2">
      <x v="2365"/>
    </i>
    <i r="2">
      <x v="2366"/>
    </i>
    <i r="2">
      <x v="2367"/>
    </i>
    <i r="2">
      <x v="2368"/>
    </i>
    <i r="2">
      <x v="2369"/>
    </i>
    <i r="2">
      <x v="2370"/>
    </i>
    <i r="2">
      <x v="2371"/>
    </i>
    <i r="2">
      <x v="2372"/>
    </i>
    <i r="2">
      <x v="2373"/>
    </i>
    <i r="2">
      <x v="2374"/>
    </i>
    <i r="2">
      <x v="2375"/>
    </i>
    <i r="2">
      <x v="2376"/>
    </i>
    <i r="2">
      <x v="2377"/>
    </i>
    <i r="2">
      <x v="2378"/>
    </i>
    <i r="2">
      <x v="2379"/>
    </i>
    <i r="2">
      <x v="2380"/>
    </i>
    <i r="2">
      <x v="2381"/>
    </i>
    <i r="2">
      <x v="2382"/>
    </i>
    <i r="2">
      <x v="2385"/>
    </i>
    <i r="2">
      <x v="2386"/>
    </i>
    <i r="2">
      <x v="2387"/>
    </i>
    <i r="2">
      <x v="2388"/>
    </i>
    <i r="2">
      <x v="2389"/>
    </i>
    <i r="2">
      <x v="2390"/>
    </i>
    <i r="2">
      <x v="2391"/>
    </i>
    <i r="2">
      <x v="2392"/>
    </i>
    <i r="2">
      <x v="2393"/>
    </i>
    <i r="2">
      <x v="2394"/>
    </i>
    <i r="2">
      <x v="2395"/>
    </i>
    <i r="2">
      <x v="2396"/>
    </i>
    <i r="2">
      <x v="2397"/>
    </i>
    <i r="2">
      <x v="2398"/>
    </i>
    <i r="2">
      <x v="2399"/>
    </i>
    <i r="2">
      <x v="2400"/>
    </i>
    <i r="2">
      <x v="2401"/>
    </i>
    <i r="2">
      <x v="2402"/>
    </i>
    <i r="2">
      <x v="2403"/>
    </i>
    <i r="2">
      <x v="2404"/>
    </i>
    <i r="2">
      <x v="2405"/>
    </i>
    <i r="2">
      <x v="2406"/>
    </i>
    <i r="2">
      <x v="2407"/>
    </i>
    <i r="2">
      <x v="2408"/>
    </i>
    <i r="2">
      <x v="2409"/>
    </i>
    <i r="2">
      <x v="2410"/>
    </i>
    <i r="2">
      <x v="2411"/>
    </i>
    <i r="2">
      <x v="2412"/>
    </i>
    <i r="2">
      <x v="2413"/>
    </i>
    <i r="2">
      <x v="2414"/>
    </i>
    <i r="2">
      <x v="2415"/>
    </i>
    <i r="2">
      <x v="2416"/>
    </i>
    <i r="2">
      <x v="2417"/>
    </i>
    <i r="2">
      <x v="2418"/>
    </i>
    <i r="2">
      <x v="2419"/>
    </i>
    <i r="2">
      <x v="2420"/>
    </i>
    <i r="2">
      <x v="2421"/>
    </i>
    <i r="2">
      <x v="2428"/>
    </i>
    <i r="2">
      <x v="2429"/>
    </i>
    <i r="2">
      <x v="2430"/>
    </i>
    <i r="2">
      <x v="2431"/>
    </i>
    <i r="2">
      <x v="2432"/>
    </i>
    <i r="2">
      <x v="2433"/>
    </i>
    <i r="2">
      <x v="2434"/>
    </i>
    <i r="2">
      <x v="2435"/>
    </i>
    <i r="2">
      <x v="2436"/>
    </i>
    <i r="2">
      <x v="2437"/>
    </i>
    <i r="2">
      <x v="2438"/>
    </i>
    <i r="2">
      <x v="2439"/>
    </i>
    <i r="2">
      <x v="2440"/>
    </i>
    <i r="2">
      <x v="2441"/>
    </i>
    <i r="2">
      <x v="2442"/>
    </i>
    <i r="2">
      <x v="2443"/>
    </i>
    <i r="2">
      <x v="2444"/>
    </i>
    <i r="2">
      <x v="2445"/>
    </i>
    <i r="2">
      <x v="2446"/>
    </i>
    <i r="2">
      <x v="2447"/>
    </i>
    <i r="2">
      <x v="2448"/>
    </i>
    <i r="2">
      <x v="2449"/>
    </i>
    <i r="2">
      <x v="2450"/>
    </i>
    <i r="2">
      <x v="2451"/>
    </i>
    <i r="2">
      <x v="2452"/>
    </i>
    <i r="2">
      <x v="2453"/>
    </i>
    <i r="2">
      <x v="2454"/>
    </i>
    <i r="2">
      <x v="2455"/>
    </i>
    <i r="2">
      <x v="2456"/>
    </i>
    <i r="2">
      <x v="2457"/>
    </i>
    <i r="2">
      <x v="2458"/>
    </i>
    <i r="2">
      <x v="2459"/>
    </i>
    <i r="2">
      <x v="2460"/>
    </i>
    <i r="2">
      <x v="2461"/>
    </i>
    <i r="2">
      <x v="2462"/>
    </i>
    <i r="2">
      <x v="2463"/>
    </i>
    <i r="2">
      <x v="2464"/>
    </i>
    <i r="2">
      <x v="2465"/>
    </i>
    <i r="2">
      <x v="2466"/>
    </i>
    <i r="2">
      <x v="2467"/>
    </i>
    <i r="2">
      <x v="2468"/>
    </i>
    <i r="2">
      <x v="2469"/>
    </i>
    <i r="2">
      <x v="2470"/>
    </i>
    <i r="2">
      <x v="2471"/>
    </i>
    <i r="2">
      <x v="2472"/>
    </i>
    <i r="2">
      <x v="2473"/>
    </i>
    <i r="2">
      <x v="2474"/>
    </i>
    <i r="2">
      <x v="2475"/>
    </i>
    <i r="2">
      <x v="2476"/>
    </i>
    <i r="2">
      <x v="2477"/>
    </i>
    <i r="2">
      <x v="2478"/>
    </i>
    <i r="2">
      <x v="2479"/>
    </i>
    <i r="2">
      <x v="2480"/>
    </i>
    <i r="2">
      <x v="2481"/>
    </i>
    <i r="2">
      <x v="2482"/>
    </i>
    <i r="2">
      <x v="2483"/>
    </i>
    <i r="2">
      <x v="2484"/>
    </i>
    <i r="2">
      <x v="2485"/>
    </i>
    <i r="2">
      <x v="2486"/>
    </i>
    <i r="2">
      <x v="2487"/>
    </i>
    <i r="2">
      <x v="2488"/>
    </i>
    <i r="2">
      <x v="2489"/>
    </i>
    <i r="2">
      <x v="2490"/>
    </i>
    <i r="2">
      <x v="2491"/>
    </i>
    <i r="2">
      <x v="2492"/>
    </i>
    <i r="2">
      <x v="2493"/>
    </i>
    <i r="2">
      <x v="2494"/>
    </i>
    <i r="2">
      <x v="2495"/>
    </i>
    <i r="2">
      <x v="2496"/>
    </i>
    <i r="2">
      <x v="2497"/>
    </i>
    <i r="2">
      <x v="2498"/>
    </i>
    <i r="2">
      <x v="2499"/>
    </i>
    <i r="2">
      <x v="2500"/>
    </i>
    <i r="2">
      <x v="2501"/>
    </i>
    <i r="2">
      <x v="2502"/>
    </i>
    <i r="2">
      <x v="2503"/>
    </i>
    <i r="2">
      <x v="2504"/>
    </i>
    <i r="2">
      <x v="2505"/>
    </i>
    <i r="2">
      <x v="2506"/>
    </i>
    <i r="2">
      <x v="2507"/>
    </i>
    <i r="2">
      <x v="2508"/>
    </i>
    <i r="2">
      <x v="2509"/>
    </i>
    <i r="2">
      <x v="2510"/>
    </i>
    <i r="2">
      <x v="2511"/>
    </i>
    <i r="2">
      <x v="2512"/>
    </i>
    <i r="2">
      <x v="2513"/>
    </i>
    <i r="2">
      <x v="2514"/>
    </i>
    <i r="2">
      <x v="2515"/>
    </i>
    <i r="2">
      <x v="2516"/>
    </i>
    <i r="2">
      <x v="2517"/>
    </i>
    <i r="2">
      <x v="2518"/>
    </i>
    <i r="2">
      <x v="2519"/>
    </i>
    <i r="2">
      <x v="2520"/>
    </i>
    <i r="2">
      <x v="2521"/>
    </i>
    <i r="2">
      <x v="2522"/>
    </i>
    <i r="2">
      <x v="2523"/>
    </i>
    <i r="2">
      <x v="2524"/>
    </i>
    <i r="2">
      <x v="2525"/>
    </i>
    <i r="2">
      <x v="2526"/>
    </i>
    <i r="2">
      <x v="2527"/>
    </i>
    <i r="2">
      <x v="2528"/>
    </i>
    <i r="2">
      <x v="2529"/>
    </i>
    <i r="2">
      <x v="2530"/>
    </i>
    <i r="2">
      <x v="2531"/>
    </i>
    <i r="2">
      <x v="2532"/>
    </i>
    <i r="2">
      <x v="2533"/>
    </i>
    <i r="2">
      <x v="2534"/>
    </i>
    <i r="2">
      <x v="2535"/>
    </i>
    <i r="2">
      <x v="2536"/>
    </i>
    <i r="2">
      <x v="2537"/>
    </i>
    <i r="2">
      <x v="2538"/>
    </i>
    <i r="2">
      <x v="2539"/>
    </i>
    <i r="2">
      <x v="2540"/>
    </i>
    <i r="2">
      <x v="2541"/>
    </i>
    <i r="2">
      <x v="2542"/>
    </i>
    <i r="2">
      <x v="2543"/>
    </i>
    <i r="2">
      <x v="2544"/>
    </i>
    <i r="2">
      <x v="2545"/>
    </i>
    <i r="2">
      <x v="2546"/>
    </i>
    <i r="2">
      <x v="2547"/>
    </i>
    <i r="2">
      <x v="2548"/>
    </i>
    <i r="2">
      <x v="2549"/>
    </i>
    <i r="2">
      <x v="2550"/>
    </i>
    <i r="2">
      <x v="2551"/>
    </i>
    <i r="2">
      <x v="2552"/>
    </i>
    <i r="2">
      <x v="2553"/>
    </i>
    <i r="2">
      <x v="2554"/>
    </i>
    <i r="2">
      <x v="2555"/>
    </i>
    <i r="2">
      <x v="2556"/>
    </i>
    <i r="2">
      <x v="2557"/>
    </i>
    <i r="2">
      <x v="2558"/>
    </i>
    <i r="2">
      <x v="2559"/>
    </i>
    <i r="2">
      <x v="2564"/>
    </i>
    <i r="2">
      <x v="2566"/>
    </i>
    <i r="2">
      <x v="2567"/>
    </i>
    <i r="2">
      <x v="2568"/>
    </i>
    <i r="2">
      <x v="2569"/>
    </i>
    <i r="2">
      <x v="2570"/>
    </i>
    <i r="2">
      <x v="2571"/>
    </i>
    <i r="2">
      <x v="2572"/>
    </i>
    <i r="2">
      <x v="2573"/>
    </i>
    <i r="2">
      <x v="2574"/>
    </i>
    <i r="2">
      <x v="2575"/>
    </i>
    <i r="2">
      <x v="2576"/>
    </i>
    <i r="2">
      <x v="2577"/>
    </i>
    <i r="2">
      <x v="2578"/>
    </i>
    <i r="2">
      <x v="2579"/>
    </i>
    <i r="2">
      <x v="2580"/>
    </i>
    <i r="2">
      <x v="2581"/>
    </i>
    <i r="2">
      <x v="2582"/>
    </i>
    <i r="2">
      <x v="2583"/>
    </i>
    <i r="2">
      <x v="2584"/>
    </i>
    <i r="2">
      <x v="2585"/>
    </i>
    <i r="2">
      <x v="2586"/>
    </i>
    <i r="2">
      <x v="2587"/>
    </i>
    <i r="2">
      <x v="2588"/>
    </i>
    <i r="2">
      <x v="2589"/>
    </i>
    <i r="2">
      <x v="2590"/>
    </i>
    <i r="2">
      <x v="2591"/>
    </i>
    <i r="2">
      <x v="2592"/>
    </i>
    <i r="2">
      <x v="2593"/>
    </i>
    <i r="2">
      <x v="2594"/>
    </i>
    <i r="2">
      <x v="2595"/>
    </i>
    <i r="2">
      <x v="2596"/>
    </i>
    <i r="2">
      <x v="2597"/>
    </i>
    <i r="2">
      <x v="2598"/>
    </i>
    <i r="2">
      <x v="2599"/>
    </i>
    <i r="2">
      <x v="2600"/>
    </i>
    <i r="2">
      <x v="2601"/>
    </i>
    <i r="2">
      <x v="2602"/>
    </i>
    <i r="2">
      <x v="2603"/>
    </i>
    <i r="2">
      <x v="2604"/>
    </i>
    <i r="2">
      <x v="2605"/>
    </i>
    <i r="2">
      <x v="2606"/>
    </i>
    <i r="2">
      <x v="2607"/>
    </i>
    <i r="2">
      <x v="2608"/>
    </i>
    <i r="2">
      <x v="2609"/>
    </i>
    <i r="2">
      <x v="2610"/>
    </i>
    <i r="2">
      <x v="2611"/>
    </i>
    <i r="2">
      <x v="2612"/>
    </i>
    <i r="2">
      <x v="2613"/>
    </i>
    <i r="2">
      <x v="2614"/>
    </i>
    <i r="2">
      <x v="2615"/>
    </i>
    <i r="2">
      <x v="2616"/>
    </i>
    <i r="2">
      <x v="2617"/>
    </i>
    <i r="2">
      <x v="2618"/>
    </i>
    <i r="2">
      <x v="2619"/>
    </i>
    <i r="2">
      <x v="2620"/>
    </i>
    <i r="2">
      <x v="2621"/>
    </i>
    <i r="2">
      <x v="2622"/>
    </i>
    <i r="2">
      <x v="2623"/>
    </i>
    <i r="2">
      <x v="2624"/>
    </i>
    <i r="2">
      <x v="2625"/>
    </i>
    <i r="2">
      <x v="2626"/>
    </i>
    <i r="2">
      <x v="2627"/>
    </i>
    <i r="2">
      <x v="2628"/>
    </i>
    <i r="2">
      <x v="2629"/>
    </i>
    <i r="2">
      <x v="2630"/>
    </i>
    <i r="2">
      <x v="2631"/>
    </i>
    <i r="2">
      <x v="2632"/>
    </i>
    <i r="2">
      <x v="2633"/>
    </i>
    <i r="2">
      <x v="2634"/>
    </i>
    <i r="2">
      <x v="2635"/>
    </i>
    <i r="2">
      <x v="2636"/>
    </i>
    <i r="2">
      <x v="2637"/>
    </i>
    <i r="2">
      <x v="2638"/>
    </i>
    <i r="2">
      <x v="2639"/>
    </i>
    <i r="2">
      <x v="2640"/>
    </i>
    <i r="2">
      <x v="2641"/>
    </i>
    <i r="2">
      <x v="2642"/>
    </i>
    <i r="2">
      <x v="2643"/>
    </i>
    <i r="2">
      <x v="2644"/>
    </i>
    <i r="2">
      <x v="2645"/>
    </i>
    <i r="2">
      <x v="2646"/>
    </i>
    <i r="2">
      <x v="2647"/>
    </i>
    <i r="2">
      <x v="2648"/>
    </i>
    <i r="2">
      <x v="2649"/>
    </i>
    <i r="2">
      <x v="2650"/>
    </i>
    <i r="2">
      <x v="2651"/>
    </i>
    <i r="2">
      <x v="2652"/>
    </i>
    <i r="2">
      <x v="2653"/>
    </i>
    <i r="2">
      <x v="2654"/>
    </i>
    <i r="2">
      <x v="2655"/>
    </i>
    <i r="2">
      <x v="2656"/>
    </i>
    <i r="2">
      <x v="2657"/>
    </i>
    <i r="2">
      <x v="2658"/>
    </i>
    <i r="2">
      <x v="2659"/>
    </i>
    <i r="2">
      <x v="2660"/>
    </i>
    <i r="2">
      <x v="2661"/>
    </i>
    <i r="2">
      <x v="2662"/>
    </i>
    <i r="2">
      <x v="2663"/>
    </i>
    <i r="2">
      <x v="2665"/>
    </i>
    <i r="2">
      <x v="2666"/>
    </i>
    <i r="2">
      <x v="2667"/>
    </i>
    <i r="2">
      <x v="2668"/>
    </i>
    <i r="2">
      <x v="2669"/>
    </i>
    <i r="2">
      <x v="2670"/>
    </i>
    <i r="2">
      <x v="2671"/>
    </i>
    <i r="2">
      <x v="2672"/>
    </i>
    <i r="2">
      <x v="2673"/>
    </i>
    <i r="2">
      <x v="2674"/>
    </i>
    <i r="2">
      <x v="2675"/>
    </i>
    <i r="2">
      <x v="2676"/>
    </i>
    <i r="2">
      <x v="2677"/>
    </i>
    <i r="2">
      <x v="2678"/>
    </i>
    <i r="2">
      <x v="2679"/>
    </i>
    <i r="2">
      <x v="2680"/>
    </i>
    <i r="2">
      <x v="2681"/>
    </i>
    <i r="2">
      <x v="2682"/>
    </i>
    <i r="2">
      <x v="2683"/>
    </i>
    <i r="2">
      <x v="2684"/>
    </i>
    <i r="2">
      <x v="2685"/>
    </i>
    <i r="2">
      <x v="2686"/>
    </i>
    <i r="2">
      <x v="2687"/>
    </i>
    <i r="2">
      <x v="2688"/>
    </i>
    <i r="2">
      <x v="2689"/>
    </i>
    <i r="2">
      <x v="2690"/>
    </i>
    <i r="2">
      <x v="2691"/>
    </i>
    <i r="2">
      <x v="2692"/>
    </i>
    <i r="2">
      <x v="2693"/>
    </i>
    <i r="2">
      <x v="2694"/>
    </i>
    <i r="2">
      <x v="2695"/>
    </i>
    <i r="2">
      <x v="2696"/>
    </i>
    <i r="2">
      <x v="2697"/>
    </i>
    <i r="2">
      <x v="2698"/>
    </i>
    <i r="2">
      <x v="2699"/>
    </i>
    <i r="2">
      <x v="2700"/>
    </i>
    <i r="2">
      <x v="2701"/>
    </i>
    <i r="2">
      <x v="2708"/>
    </i>
    <i r="2">
      <x v="2709"/>
    </i>
    <i r="2">
      <x v="2710"/>
    </i>
    <i r="2">
      <x v="2711"/>
    </i>
    <i r="2">
      <x v="2712"/>
    </i>
    <i r="2">
      <x v="2713"/>
    </i>
    <i r="2">
      <x v="2714"/>
    </i>
    <i r="2">
      <x v="2715"/>
    </i>
    <i r="2">
      <x v="2716"/>
    </i>
    <i r="2">
      <x v="2717"/>
    </i>
    <i r="2">
      <x v="2718"/>
    </i>
    <i r="2">
      <x v="2719"/>
    </i>
    <i r="2">
      <x v="2720"/>
    </i>
    <i r="2">
      <x v="2721"/>
    </i>
    <i r="2">
      <x v="2722"/>
    </i>
    <i r="2">
      <x v="2723"/>
    </i>
    <i r="2">
      <x v="2724"/>
    </i>
    <i r="2">
      <x v="2725"/>
    </i>
    <i r="2">
      <x v="2726"/>
    </i>
    <i r="2">
      <x v="2727"/>
    </i>
    <i r="2">
      <x v="2728"/>
    </i>
    <i r="2">
      <x v="2729"/>
    </i>
    <i r="2">
      <x v="2730"/>
    </i>
    <i r="2">
      <x v="2731"/>
    </i>
    <i r="2">
      <x v="2732"/>
    </i>
    <i r="2">
      <x v="2733"/>
    </i>
    <i r="2">
      <x v="2734"/>
    </i>
    <i r="2">
      <x v="2735"/>
    </i>
    <i r="2">
      <x v="2736"/>
    </i>
    <i r="2">
      <x v="2737"/>
    </i>
    <i r="2">
      <x v="2738"/>
    </i>
    <i r="2">
      <x v="2739"/>
    </i>
    <i r="2">
      <x v="2740"/>
    </i>
    <i r="2">
      <x v="2741"/>
    </i>
    <i r="2">
      <x v="2742"/>
    </i>
    <i r="2">
      <x v="2743"/>
    </i>
    <i r="2">
      <x v="2744"/>
    </i>
    <i r="2">
      <x v="2745"/>
    </i>
    <i r="2">
      <x v="2746"/>
    </i>
    <i r="2">
      <x v="2747"/>
    </i>
    <i r="2">
      <x v="2748"/>
    </i>
    <i r="2">
      <x v="2749"/>
    </i>
    <i r="2">
      <x v="2750"/>
    </i>
    <i r="2">
      <x v="2751"/>
    </i>
    <i r="2">
      <x v="2752"/>
    </i>
    <i r="2">
      <x v="2753"/>
    </i>
    <i r="2">
      <x v="2754"/>
    </i>
    <i r="2">
      <x v="2755"/>
    </i>
    <i r="2">
      <x v="2756"/>
    </i>
    <i r="2">
      <x v="2757"/>
    </i>
    <i r="2">
      <x v="2758"/>
    </i>
    <i r="2">
      <x v="2759"/>
    </i>
    <i r="2">
      <x v="2760"/>
    </i>
    <i r="2">
      <x v="2761"/>
    </i>
    <i r="2">
      <x v="2762"/>
    </i>
    <i r="2">
      <x v="2763"/>
    </i>
    <i r="2">
      <x v="2764"/>
    </i>
    <i r="2">
      <x v="2765"/>
    </i>
    <i r="2">
      <x v="2766"/>
    </i>
    <i r="2">
      <x v="2767"/>
    </i>
    <i r="2">
      <x v="2768"/>
    </i>
    <i r="2">
      <x v="2769"/>
    </i>
    <i r="2">
      <x v="2770"/>
    </i>
    <i r="2">
      <x v="2771"/>
    </i>
    <i r="2">
      <x v="2772"/>
    </i>
    <i r="2">
      <x v="2773"/>
    </i>
    <i r="2">
      <x v="2774"/>
    </i>
    <i r="2">
      <x v="2775"/>
    </i>
    <i r="2">
      <x v="2776"/>
    </i>
    <i r="2">
      <x v="2777"/>
    </i>
    <i r="2">
      <x v="2778"/>
    </i>
    <i r="2">
      <x v="2779"/>
    </i>
    <i r="2">
      <x v="2780"/>
    </i>
    <i r="2">
      <x v="2781"/>
    </i>
    <i r="2">
      <x v="2782"/>
    </i>
    <i r="2">
      <x v="2783"/>
    </i>
    <i r="2">
      <x v="2784"/>
    </i>
    <i r="2">
      <x v="2785"/>
    </i>
    <i r="2">
      <x v="2786"/>
    </i>
    <i r="2">
      <x v="2787"/>
    </i>
    <i r="2">
      <x v="2788"/>
    </i>
    <i r="2">
      <x v="2789"/>
    </i>
    <i r="2">
      <x v="2790"/>
    </i>
    <i r="2">
      <x v="2791"/>
    </i>
    <i r="2">
      <x v="2792"/>
    </i>
    <i r="2">
      <x v="2793"/>
    </i>
    <i r="2">
      <x v="2794"/>
    </i>
    <i r="2">
      <x v="2795"/>
    </i>
    <i r="2">
      <x v="2796"/>
    </i>
    <i r="1">
      <x v="82"/>
    </i>
    <i r="2">
      <x v="2702"/>
    </i>
    <i r="1">
      <x v="83"/>
    </i>
    <i r="2">
      <x v="270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7" hier="-1"/>
    <pageField fld="1" hier="-1"/>
  </pageFields>
  <dataFields count="3">
    <dataField name="Entrada " fld="4" baseField="2" baseItem="0" numFmtId="44"/>
    <dataField name="SALIDAS " fld="5" baseField="0" baseItem="0" numFmtId="44"/>
    <dataField name=" Saldo" fld="10" baseField="0" baseItem="0" numFmtId="44"/>
  </dataFields>
  <formats count="74">
    <format dxfId="73">
      <pivotArea dataOnly="0" labelOnly="1" outline="0" axis="axisValues" fieldPosition="0"/>
    </format>
    <format dxfId="72">
      <pivotArea dataOnly="0" labelOnly="1" outline="0" axis="axisValues" fieldPosition="0"/>
    </format>
    <format dxfId="71">
      <pivotArea dataOnly="0" labelOnly="1" grandRow="1" outline="0" fieldPosition="0"/>
    </format>
    <format dxfId="70">
      <pivotArea field="6" type="button" dataOnly="0" labelOnly="1" outline="0"/>
    </format>
    <format dxfId="69">
      <pivotArea field="6" type="button" dataOnly="0" labelOnly="1" outline="0"/>
    </format>
    <format dxfId="6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7" count="1">
            <x v="3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7" count="1">
            <x v="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7" count="1">
            <x v="3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2"/>
          </reference>
          <reference field="1" count="1">
            <x v="7"/>
          </reference>
          <reference field="7" count="1" selected="0">
            <x v="3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2"/>
          </reference>
          <reference field="1" count="1">
            <x v="7"/>
          </reference>
          <reference field="7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2"/>
          </reference>
          <reference field="1" count="1">
            <x v="7"/>
          </reference>
          <reference field="7" count="1" selected="0">
            <x v="3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2"/>
          </reference>
          <reference field="1" count="1">
            <x v="7"/>
          </reference>
          <reference field="7" count="1" selected="0">
            <x v="3"/>
          </reference>
        </references>
      </pivotArea>
    </format>
    <format dxfId="61">
      <pivotArea field="7" type="button" dataOnly="0" labelOnly="1" outline="0" axis="axisPage" fieldPosition="0"/>
    </format>
    <format dxfId="60">
      <pivotArea field="7" type="button" dataOnly="0" labelOnly="1" outline="0" axis="axisPage" fieldPosition="0"/>
    </format>
    <format dxfId="59">
      <pivotArea field="7" type="button" dataOnly="0" labelOnly="1" outline="0" axis="axisPage" fieldPosition="0"/>
    </format>
    <format dxfId="58">
      <pivotArea field="7" type="button" dataOnly="0" labelOnly="1" outline="0" axis="axisPage" fieldPosition="0"/>
    </format>
    <format dxfId="57">
      <pivotArea field="7" type="button" dataOnly="0" labelOnly="1" outline="0" axis="axisPage" fieldPosition="0"/>
    </format>
    <format dxfId="56">
      <pivotArea field="1" type="button" dataOnly="0" labelOnly="1" outline="0" axis="axisPage" fieldPosition="1"/>
    </format>
    <format dxfId="55">
      <pivotArea field="1" type="button" dataOnly="0" labelOnly="1" outline="0" axis="axisPage" fieldPosition="1"/>
    </format>
    <format dxfId="54">
      <pivotArea field="1" type="button" dataOnly="0" labelOnly="1" outline="0" axis="axisPage" fieldPosition="1"/>
    </format>
    <format dxfId="53">
      <pivotArea field="1" type="button" dataOnly="0" labelOnly="1" outline="0" axis="axisPage" fieldPosition="1"/>
    </format>
    <format dxfId="52">
      <pivotArea field="1" type="button" dataOnly="0" labelOnly="1" outline="0" axis="axisPage" fieldPosition="1"/>
    </format>
    <format dxfId="51">
      <pivotArea field="1" type="button" dataOnly="0" labelOnly="1" outline="0" axis="axisPage" fieldPosition="1"/>
    </format>
    <format dxfId="50">
      <pivotArea field="7" type="button" dataOnly="0" labelOnly="1" outline="0" axis="axisPage" fieldPosition="0"/>
    </format>
    <format dxfId="49">
      <pivotArea field="1" type="button" dataOnly="0" labelOnly="1" outline="0" axis="axisPage" fieldPosition="1"/>
    </format>
    <format dxfId="48">
      <pivotArea dataOnly="0" labelOnly="1" outline="0" fieldPosition="0">
        <references count="3">
          <reference field="0" count="1" selected="0">
            <x v="2"/>
          </reference>
          <reference field="1" count="1">
            <x v="7"/>
          </reference>
          <reference field="7" count="1" selected="0">
            <x v="3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7" count="1">
            <x v="3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2"/>
          </reference>
          <reference field="7" count="0"/>
        </references>
      </pivotArea>
    </format>
    <format dxfId="45">
      <pivotArea dataOnly="0" labelOnly="1" outline="0" fieldPosition="0">
        <references count="2">
          <reference field="0" count="1" selected="0">
            <x v="2"/>
          </reference>
          <reference field="7" count="0"/>
        </references>
      </pivotArea>
    </format>
    <format dxfId="44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43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42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7" count="0"/>
        </references>
      </pivotArea>
    </format>
    <format dxfId="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2">
          <reference field="0" count="1" selected="0">
            <x v="0"/>
          </reference>
          <reference field="2" count="2">
            <x v="55"/>
            <x v="81"/>
          </reference>
        </references>
      </pivotArea>
    </format>
    <format dxfId="31">
      <pivotArea dataOnly="0" labelOnly="1" fieldPosition="0">
        <references count="2">
          <reference field="0" count="1" selected="0">
            <x v="2"/>
          </reference>
          <reference field="2" count="10">
            <x v="10"/>
            <x v="44"/>
            <x v="60"/>
            <x v="66"/>
            <x v="77"/>
            <x v="78"/>
            <x v="79"/>
            <x v="80"/>
            <x v="82"/>
            <x v="83"/>
          </reference>
        </references>
      </pivotArea>
    </format>
    <format dxfId="30">
      <pivotArea dataOnly="0" labelOnly="1" fieldPosition="0">
        <references count="3">
          <reference field="0" count="1" selected="0">
            <x v="0"/>
          </reference>
          <reference field="2" count="1" selected="0">
            <x v="55"/>
          </reference>
          <reference field="3" count="7">
            <x v="1978"/>
            <x v="2083"/>
            <x v="2182"/>
            <x v="2297"/>
            <x v="2424"/>
            <x v="2562"/>
            <x v="2704"/>
          </reference>
        </references>
      </pivotArea>
    </format>
    <format dxfId="29">
      <pivotArea dataOnly="0" labelOnly="1" fieldPosition="0">
        <references count="3">
          <reference field="0" count="1" selected="0">
            <x v="0"/>
          </reference>
          <reference field="2" count="1" selected="0">
            <x v="81"/>
          </reference>
          <reference field="3" count="5">
            <x v="2183"/>
            <x v="2298"/>
            <x v="2425"/>
            <x v="2563"/>
            <x v="2705"/>
          </reference>
        </references>
      </pivotArea>
    </format>
    <format dxfId="28">
      <pivotArea dataOnly="0" labelOnly="1" fieldPosition="0">
        <references count="3">
          <reference field="0" count="1" selected="0">
            <x v="2"/>
          </reference>
          <reference field="2" count="1" selected="0">
            <x v="10"/>
          </reference>
          <reference field="3" count="7">
            <x v="2045"/>
            <x v="2087"/>
            <x v="2264"/>
            <x v="2300"/>
            <x v="2427"/>
            <x v="2565"/>
            <x v="2707"/>
          </reference>
        </references>
      </pivotArea>
    </format>
    <format dxfId="27">
      <pivotArea dataOnly="0" labelOnly="1" fieldPosition="0">
        <references count="3">
          <reference field="0" count="1" selected="0">
            <x v="2"/>
          </reference>
          <reference field="2" count="1" selected="0">
            <x v="44"/>
          </reference>
          <reference field="3" count="1">
            <x v="2085"/>
          </reference>
        </references>
      </pivotArea>
    </format>
    <format dxfId="26">
      <pivotArea dataOnly="0" labelOnly="1" fieldPosition="0">
        <references count="3">
          <reference field="0" count="1" selected="0">
            <x v="2"/>
          </reference>
          <reference field="2" count="1" selected="0">
            <x v="60"/>
          </reference>
          <reference field="3" count="8">
            <x v="1956"/>
            <x v="2014"/>
            <x v="2015"/>
            <x v="2047"/>
            <x v="2084"/>
            <x v="2426"/>
            <x v="2664"/>
            <x v="2706"/>
          </reference>
        </references>
      </pivotArea>
    </format>
    <format dxfId="25">
      <pivotArea dataOnly="0" labelOnly="1" fieldPosition="0">
        <references count="3">
          <reference field="0" count="1" selected="0">
            <x v="2"/>
          </reference>
          <reference field="2" count="1" selected="0">
            <x v="66"/>
          </reference>
          <reference field="3" count="9">
            <x v="1961"/>
            <x v="2082"/>
            <x v="2151"/>
            <x v="2181"/>
            <x v="2265"/>
            <x v="2296"/>
            <x v="2299"/>
            <x v="2423"/>
            <x v="2561"/>
          </reference>
        </references>
      </pivotArea>
    </format>
    <format dxfId="24">
      <pivotArea dataOnly="0" labelOnly="1" fieldPosition="0">
        <references count="3">
          <reference field="0" count="1" selected="0">
            <x v="2"/>
          </reference>
          <reference field="2" count="1" selected="0">
            <x v="77"/>
          </reference>
          <reference field="3" count="50">
            <x v="1944"/>
            <x v="1945"/>
            <x v="1946"/>
            <x v="1947"/>
            <x v="1948"/>
            <x v="1949"/>
            <x v="1950"/>
            <x v="1951"/>
            <x v="1952"/>
            <x v="1953"/>
            <x v="1954"/>
            <x v="1955"/>
            <x v="1957"/>
            <x v="1958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</reference>
        </references>
      </pivotArea>
    </format>
    <format dxfId="23">
      <pivotArea dataOnly="0" labelOnly="1" fieldPosition="0">
        <references count="3">
          <reference field="0" count="1" selected="0">
            <x v="2"/>
          </reference>
          <reference field="2" count="1" selected="0">
            <x v="77"/>
          </reference>
          <reference field="3" count="50">
            <x v="1999"/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6"/>
            <x v="2048"/>
            <x v="2049"/>
            <x v="2050"/>
            <x v="2051"/>
            <x v="2052"/>
          </reference>
        </references>
      </pivotArea>
    </format>
    <format dxfId="22">
      <pivotArea dataOnly="0" labelOnly="1" fieldPosition="0">
        <references count="3">
          <reference field="0" count="1" selected="0">
            <x v="2"/>
          </reference>
          <reference field="2" count="1" selected="0">
            <x v="77"/>
          </reference>
          <reference field="3" count="50"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6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</reference>
        </references>
      </pivotArea>
    </format>
    <format dxfId="21">
      <pivotArea dataOnly="0" labelOnly="1" fieldPosition="0">
        <references count="3">
          <reference field="0" count="1" selected="0">
            <x v="2"/>
          </reference>
          <reference field="2" count="1" selected="0">
            <x v="77"/>
          </reference>
          <reference field="3" count="41"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</reference>
        </references>
      </pivotArea>
    </format>
    <format dxfId="20">
      <pivotArea dataOnly="0" labelOnly="1" fieldPosition="0">
        <references count="3">
          <reference field="0" count="1" selected="0">
            <x v="2"/>
          </reference>
          <reference field="2" count="1" selected="0">
            <x v="78"/>
          </reference>
          <reference field="3" count="6">
            <x v="1959"/>
            <x v="2080"/>
            <x v="2179"/>
            <x v="2383"/>
            <x v="2422"/>
            <x v="2560"/>
          </reference>
        </references>
      </pivotArea>
    </format>
    <format dxfId="19">
      <pivotArea dataOnly="0" labelOnly="1" fieldPosition="0">
        <references count="3">
          <reference field="0" count="1" selected="0">
            <x v="2"/>
          </reference>
          <reference field="2" count="1" selected="0">
            <x v="79"/>
          </reference>
          <reference field="3" count="4">
            <x v="1960"/>
            <x v="2081"/>
            <x v="2180"/>
            <x v="2384"/>
          </reference>
        </references>
      </pivotArea>
    </format>
    <format dxfId="18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  <x v="2200"/>
            <x v="2201"/>
            <x v="2202"/>
            <x v="2203"/>
            <x v="2204"/>
            <x v="2205"/>
            <x v="2206"/>
          </reference>
        </references>
      </pivotArea>
    </format>
    <format dxfId="17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  <x v="2250"/>
            <x v="2251"/>
            <x v="2252"/>
            <x v="2253"/>
            <x v="2254"/>
            <x v="2255"/>
            <x v="2256"/>
          </reference>
        </references>
      </pivotArea>
    </format>
    <format dxfId="16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257"/>
            <x v="2258"/>
            <x v="2259"/>
            <x v="2260"/>
            <x v="2261"/>
            <x v="2262"/>
            <x v="2263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</reference>
        </references>
      </pivotArea>
    </format>
    <format dxfId="15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</reference>
        </references>
      </pivotArea>
    </format>
    <format dxfId="14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</reference>
        </references>
      </pivotArea>
    </format>
    <format dxfId="13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416"/>
            <x v="2417"/>
            <x v="2418"/>
            <x v="2419"/>
            <x v="2420"/>
            <x v="2421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</reference>
        </references>
      </pivotArea>
    </format>
    <format dxfId="12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</reference>
        </references>
      </pivotArea>
    </format>
    <format dxfId="11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4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</reference>
        </references>
      </pivotArea>
    </format>
    <format dxfId="10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</reference>
        </references>
      </pivotArea>
    </format>
    <format dxfId="9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</reference>
        </references>
      </pivotArea>
    </format>
    <format dxfId="8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  <x v="2700"/>
            <x v="2701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</reference>
        </references>
      </pivotArea>
    </format>
    <format dxfId="7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50"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</reference>
        </references>
      </pivotArea>
    </format>
    <format dxfId="6">
      <pivotArea dataOnly="0" labelOnly="1" fieldPosition="0">
        <references count="3">
          <reference field="0" count="1" selected="0">
            <x v="2"/>
          </reference>
          <reference field="2" count="1" selected="0">
            <x v="80"/>
          </reference>
          <reference field="3" count="13"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</reference>
        </references>
      </pivotArea>
    </format>
    <format dxfId="5">
      <pivotArea dataOnly="0" labelOnly="1" fieldPosition="0">
        <references count="3">
          <reference field="0" count="1" selected="0">
            <x v="2"/>
          </reference>
          <reference field="2" count="1" selected="0">
            <x v="82"/>
          </reference>
          <reference field="3" count="1">
            <x v="2702"/>
          </reference>
        </references>
      </pivotArea>
    </format>
    <format dxfId="4">
      <pivotArea dataOnly="0" labelOnly="1" fieldPosition="0">
        <references count="3">
          <reference field="0" count="1" selected="0">
            <x v="2"/>
          </reference>
          <reference field="2" count="1" selected="0">
            <x v="83"/>
          </reference>
          <reference field="3" count="1">
            <x v="2703"/>
          </reference>
        </references>
      </pivotArea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  <format dxfId="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>
    <tabColor rgb="FF00FF99"/>
  </sheetPr>
  <dimension ref="B1:F6"/>
  <sheetViews>
    <sheetView workbookViewId="0">
      <selection activeCell="B11" sqref="B11"/>
    </sheetView>
  </sheetViews>
  <sheetFormatPr baseColWidth="10" defaultRowHeight="13.8" x14ac:dyDescent="0.25"/>
  <cols>
    <col min="1" max="1" width="1.09765625" customWidth="1"/>
    <col min="2" max="2" width="34.19921875" customWidth="1"/>
  </cols>
  <sheetData>
    <row r="1" spans="2:6" x14ac:dyDescent="0.25">
      <c r="B1" s="2" t="s">
        <v>53</v>
      </c>
    </row>
    <row r="2" spans="2:6" x14ac:dyDescent="0.25">
      <c r="B2" t="s">
        <v>51</v>
      </c>
      <c r="D2" s="97" t="s">
        <v>64</v>
      </c>
      <c r="E2" s="98"/>
      <c r="F2" s="99"/>
    </row>
    <row r="3" spans="2:6" x14ac:dyDescent="0.25">
      <c r="B3" t="s">
        <v>52</v>
      </c>
      <c r="D3" s="100"/>
      <c r="E3" s="101"/>
      <c r="F3" s="102"/>
    </row>
    <row r="4" spans="2:6" x14ac:dyDescent="0.25">
      <c r="B4" t="s">
        <v>76</v>
      </c>
      <c r="D4" s="103"/>
      <c r="E4" s="104"/>
      <c r="F4" s="105"/>
    </row>
    <row r="5" spans="2:6" x14ac:dyDescent="0.25">
      <c r="B5" t="s">
        <v>60</v>
      </c>
    </row>
    <row r="6" spans="2:6" x14ac:dyDescent="0.25">
      <c r="B6" t="s">
        <v>77</v>
      </c>
    </row>
  </sheetData>
  <mergeCells count="1">
    <mergeCell ref="D2:F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rgb="FF00FF99"/>
  </sheetPr>
  <dimension ref="B1:F19"/>
  <sheetViews>
    <sheetView workbookViewId="0">
      <selection activeCell="B12" sqref="B12"/>
    </sheetView>
  </sheetViews>
  <sheetFormatPr baseColWidth="10" defaultRowHeight="13.8" x14ac:dyDescent="0.25"/>
  <cols>
    <col min="1" max="1" width="1.3984375" customWidth="1"/>
    <col min="2" max="2" width="40" customWidth="1"/>
  </cols>
  <sheetData>
    <row r="1" spans="2:6" s="1" customFormat="1" x14ac:dyDescent="0.25">
      <c r="B1" s="2" t="s">
        <v>54</v>
      </c>
    </row>
    <row r="2" spans="2:6" x14ac:dyDescent="0.25">
      <c r="B2" t="s">
        <v>78</v>
      </c>
    </row>
    <row r="3" spans="2:6" x14ac:dyDescent="0.25">
      <c r="B3" t="s">
        <v>79</v>
      </c>
      <c r="D3" s="97" t="s">
        <v>65</v>
      </c>
      <c r="E3" s="98"/>
      <c r="F3" s="99"/>
    </row>
    <row r="4" spans="2:6" x14ac:dyDescent="0.25">
      <c r="B4" t="s">
        <v>80</v>
      </c>
      <c r="D4" s="100"/>
      <c r="E4" s="101"/>
      <c r="F4" s="102"/>
    </row>
    <row r="5" spans="2:6" x14ac:dyDescent="0.25">
      <c r="B5" t="s">
        <v>8</v>
      </c>
      <c r="D5" s="103"/>
      <c r="E5" s="104"/>
      <c r="F5" s="105"/>
    </row>
    <row r="6" spans="2:6" x14ac:dyDescent="0.25">
      <c r="B6" t="s">
        <v>9</v>
      </c>
    </row>
    <row r="7" spans="2:6" x14ac:dyDescent="0.25">
      <c r="B7" t="s">
        <v>61</v>
      </c>
    </row>
    <row r="8" spans="2:6" x14ac:dyDescent="0.25">
      <c r="B8" t="s">
        <v>28</v>
      </c>
    </row>
    <row r="9" spans="2:6" x14ac:dyDescent="0.25">
      <c r="B9" t="s">
        <v>7</v>
      </c>
    </row>
    <row r="10" spans="2:6" x14ac:dyDescent="0.25">
      <c r="B10" t="s">
        <v>62</v>
      </c>
    </row>
    <row r="11" spans="2:6" x14ac:dyDescent="0.25">
      <c r="B11" t="s">
        <v>63</v>
      </c>
    </row>
    <row r="12" spans="2:6" x14ac:dyDescent="0.25">
      <c r="B12" t="s">
        <v>81</v>
      </c>
    </row>
    <row r="13" spans="2:6" x14ac:dyDescent="0.25">
      <c r="B13" t="s">
        <v>82</v>
      </c>
    </row>
    <row r="14" spans="2:6" x14ac:dyDescent="0.25">
      <c r="B14" t="s">
        <v>83</v>
      </c>
    </row>
    <row r="15" spans="2:6" x14ac:dyDescent="0.25">
      <c r="B15" t="s">
        <v>84</v>
      </c>
    </row>
    <row r="16" spans="2:6" x14ac:dyDescent="0.25">
      <c r="B16" t="s">
        <v>85</v>
      </c>
    </row>
    <row r="17" spans="2:2" x14ac:dyDescent="0.25">
      <c r="B17" t="s">
        <v>86</v>
      </c>
    </row>
    <row r="18" spans="2:2" x14ac:dyDescent="0.25">
      <c r="B18" t="s">
        <v>87</v>
      </c>
    </row>
    <row r="19" spans="2:2" x14ac:dyDescent="0.25">
      <c r="B19" t="s">
        <v>88</v>
      </c>
    </row>
  </sheetData>
  <mergeCells count="1">
    <mergeCell ref="D3:F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C00000"/>
    <pageSetUpPr fitToPage="1"/>
  </sheetPr>
  <dimension ref="A1:I8"/>
  <sheetViews>
    <sheetView zoomScale="90" zoomScaleNormal="90" workbookViewId="0">
      <pane ySplit="8" topLeftCell="A9" activePane="bottomLeft" state="frozen"/>
      <selection pane="bottomLeft" activeCell="C13" sqref="C13"/>
    </sheetView>
  </sheetViews>
  <sheetFormatPr baseColWidth="10" defaultColWidth="11.3984375" defaultRowHeight="13.8" x14ac:dyDescent="0.25"/>
  <cols>
    <col min="1" max="1" width="10.8984375" style="19" customWidth="1"/>
    <col min="2" max="2" width="11.69921875" style="20" customWidth="1"/>
    <col min="3" max="3" width="31" style="21" customWidth="1"/>
    <col min="4" max="4" width="79.3984375" style="19" customWidth="1"/>
    <col min="5" max="5" width="15" style="83" customWidth="1"/>
    <col min="6" max="6" width="14.19921875" style="83" customWidth="1"/>
    <col min="7" max="7" width="7.8984375" style="22" customWidth="1"/>
    <col min="8" max="8" width="8.3984375" style="22" customWidth="1"/>
    <col min="9" max="16384" width="11.3984375" style="19"/>
  </cols>
  <sheetData>
    <row r="1" spans="1:9" x14ac:dyDescent="0.25">
      <c r="A1" s="29"/>
      <c r="B1" s="30"/>
      <c r="C1" s="31"/>
      <c r="D1" s="29"/>
      <c r="E1" s="80"/>
      <c r="F1" s="80"/>
      <c r="G1" s="32"/>
      <c r="H1" s="32"/>
    </row>
    <row r="2" spans="1:9" hidden="1" x14ac:dyDescent="0.25">
      <c r="A2" s="29"/>
      <c r="B2" s="30"/>
      <c r="C2" s="31"/>
      <c r="D2" s="29"/>
      <c r="E2" s="80"/>
      <c r="F2" s="80"/>
      <c r="G2" s="32"/>
      <c r="H2" s="32"/>
    </row>
    <row r="3" spans="1:9" hidden="1" x14ac:dyDescent="0.25">
      <c r="A3" s="29"/>
      <c r="B3" s="30"/>
      <c r="C3" s="31"/>
      <c r="D3" s="29"/>
      <c r="E3" s="80"/>
      <c r="F3" s="80"/>
      <c r="G3" s="32"/>
      <c r="H3" s="32"/>
    </row>
    <row r="4" spans="1:9" hidden="1" x14ac:dyDescent="0.25">
      <c r="A4" s="29"/>
      <c r="B4" s="30"/>
      <c r="C4" s="31"/>
      <c r="D4" s="29"/>
      <c r="E4" s="80"/>
      <c r="F4" s="80"/>
      <c r="G4" s="32"/>
      <c r="H4" s="32"/>
    </row>
    <row r="5" spans="1:9" ht="42" customHeight="1" x14ac:dyDescent="0.25">
      <c r="A5" s="29"/>
      <c r="B5" s="30"/>
      <c r="D5" s="37" t="s">
        <v>70</v>
      </c>
      <c r="E5" s="106" t="s">
        <v>74</v>
      </c>
      <c r="F5" s="81"/>
      <c r="G5" s="38"/>
      <c r="H5" s="38"/>
    </row>
    <row r="6" spans="1:9" x14ac:dyDescent="0.25">
      <c r="A6" s="29"/>
      <c r="B6" s="30"/>
      <c r="C6" s="31"/>
      <c r="D6" s="29"/>
      <c r="E6" s="106"/>
      <c r="F6" s="80"/>
      <c r="G6" s="32"/>
      <c r="H6" s="32"/>
    </row>
    <row r="7" spans="1:9" ht="23.4" x14ac:dyDescent="0.25">
      <c r="A7" s="29"/>
      <c r="B7" s="33"/>
      <c r="C7" s="34"/>
      <c r="D7" s="33"/>
      <c r="E7" s="82"/>
      <c r="F7" s="82"/>
      <c r="G7" s="32"/>
      <c r="H7" s="35"/>
      <c r="I7" s="36"/>
    </row>
    <row r="8" spans="1:9" s="9" customFormat="1" ht="17.399999999999999" x14ac:dyDescent="0.25">
      <c r="A8" s="6" t="s">
        <v>10</v>
      </c>
      <c r="B8" s="6" t="s">
        <v>0</v>
      </c>
      <c r="C8" s="6" t="s">
        <v>4</v>
      </c>
      <c r="D8" s="7" t="s">
        <v>1</v>
      </c>
      <c r="E8" s="8" t="s">
        <v>2</v>
      </c>
      <c r="F8" s="8" t="s">
        <v>3</v>
      </c>
      <c r="G8" s="8" t="s">
        <v>29</v>
      </c>
      <c r="H8" s="8" t="s">
        <v>30</v>
      </c>
    </row>
  </sheetData>
  <sheetProtection algorithmName="SHA-512" hashValue="/sd33WojIO0r6XUxIOhTrF//czwI9Oi/1NKPNPXbe+7yVovmkz2ZnVmfdpZ0NSornU+f6OBPBqWPwtbVPhdXeA==" saltValue="xugFEtEMd3w2YDt6O655kQ==" spinCount="100000" sheet="1" objects="1" scenarios="1" formatCells="0" formatColumns="0" formatRows="0" deleteRows="0"/>
  <mergeCells count="1">
    <mergeCell ref="E5:E6"/>
  </mergeCells>
  <printOptions gridLines="1"/>
  <pageMargins left="0.23622047244094491" right="0.23622047244094491" top="0.74803149606299213" bottom="0.74803149606299213" header="0.31496062992125984" footer="0.31496062992125984"/>
  <pageSetup scale="72" fitToHeight="20" orientation="landscape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002060"/>
    <pageSetUpPr fitToPage="1"/>
  </sheetPr>
  <dimension ref="A1:AU61"/>
  <sheetViews>
    <sheetView zoomScaleNormal="100" zoomScaleSheetLayoutView="112" zoomScalePageLayoutView="46" workbookViewId="0">
      <selection activeCell="D11" sqref="D11"/>
    </sheetView>
  </sheetViews>
  <sheetFormatPr baseColWidth="10" defaultColWidth="11.3984375" defaultRowHeight="14.4" x14ac:dyDescent="0.25"/>
  <cols>
    <col min="1" max="1" width="42" style="48" customWidth="1"/>
    <col min="2" max="2" width="13.5" style="48" customWidth="1"/>
    <col min="3" max="3" width="13.8984375" style="48" customWidth="1"/>
    <col min="4" max="4" width="15.19921875" style="48" customWidth="1"/>
    <col min="5" max="5" width="14.59765625" style="48" customWidth="1"/>
    <col min="6" max="6" width="16.19921875" style="48" customWidth="1"/>
    <col min="7" max="7" width="13.296875" style="48" customWidth="1"/>
    <col min="8" max="8" width="13.59765625" style="48" customWidth="1"/>
    <col min="9" max="9" width="13.8984375" style="48" customWidth="1"/>
    <col min="10" max="16384" width="11.3984375" style="48"/>
  </cols>
  <sheetData>
    <row r="1" spans="1:47" s="40" customFormat="1" ht="21" x14ac:dyDescent="0.25">
      <c r="A1" s="39" t="s">
        <v>55</v>
      </c>
    </row>
    <row r="2" spans="1:47" s="40" customFormat="1" ht="18.75" customHeight="1" x14ac:dyDescent="0.25">
      <c r="A2" s="41" t="s">
        <v>48</v>
      </c>
      <c r="E2" s="107" t="s">
        <v>73</v>
      </c>
      <c r="F2" s="107"/>
      <c r="G2" s="107"/>
      <c r="H2" s="107"/>
      <c r="I2" s="107"/>
    </row>
    <row r="3" spans="1:47" s="40" customFormat="1" x14ac:dyDescent="0.3">
      <c r="A3" s="42"/>
      <c r="B3" s="42"/>
      <c r="E3" s="107"/>
      <c r="F3" s="107"/>
      <c r="G3" s="107"/>
      <c r="H3" s="107"/>
      <c r="I3" s="107"/>
    </row>
    <row r="4" spans="1:47" s="40" customFormat="1" x14ac:dyDescent="0.3">
      <c r="A4" s="42"/>
      <c r="B4" s="42"/>
      <c r="E4" s="107"/>
      <c r="F4" s="107"/>
      <c r="G4" s="107"/>
      <c r="H4" s="107"/>
      <c r="I4" s="107"/>
      <c r="J4" s="43"/>
      <c r="K4" s="43"/>
    </row>
    <row r="5" spans="1:47" s="40" customFormat="1" ht="21" x14ac:dyDescent="0.4">
      <c r="A5" s="44" t="s">
        <v>47</v>
      </c>
      <c r="B5" s="45">
        <v>2022</v>
      </c>
      <c r="E5" s="41"/>
    </row>
    <row r="6" spans="1:47" s="40" customFormat="1" ht="8.25" customHeight="1" x14ac:dyDescent="0.25"/>
    <row r="7" spans="1:47" ht="16.5" hidden="1" customHeight="1" x14ac:dyDescent="0.3">
      <c r="A7" s="46" t="s">
        <v>66</v>
      </c>
      <c r="B7" s="46" t="s">
        <v>11</v>
      </c>
      <c r="C7" s="49"/>
      <c r="D7" s="49"/>
      <c r="E7" s="49"/>
      <c r="F7" s="49"/>
      <c r="G7" s="49"/>
      <c r="H7" s="49"/>
      <c r="I7" s="49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</row>
    <row r="8" spans="1:47" hidden="1" x14ac:dyDescent="0.3">
      <c r="A8" s="49"/>
      <c r="B8" s="108" t="s">
        <v>942</v>
      </c>
      <c r="C8" s="109"/>
      <c r="D8" s="109"/>
      <c r="E8" s="109"/>
      <c r="F8" s="109"/>
      <c r="G8" s="109"/>
      <c r="H8" s="109"/>
      <c r="I8" s="110" t="s">
        <v>21</v>
      </c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</row>
    <row r="9" spans="1:47" x14ac:dyDescent="0.3">
      <c r="A9" s="46" t="s">
        <v>1</v>
      </c>
      <c r="B9" s="50" t="s">
        <v>943</v>
      </c>
      <c r="C9" s="50" t="s">
        <v>944</v>
      </c>
      <c r="D9" s="50" t="s">
        <v>945</v>
      </c>
      <c r="E9" s="50" t="s">
        <v>71</v>
      </c>
      <c r="F9" s="50" t="s">
        <v>72</v>
      </c>
      <c r="G9" s="50" t="s">
        <v>946</v>
      </c>
      <c r="H9" s="50" t="s">
        <v>947</v>
      </c>
      <c r="I9" s="111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</row>
    <row r="10" spans="1:47" s="52" customFormat="1" x14ac:dyDescent="0.3">
      <c r="A10" s="51" t="s">
        <v>5</v>
      </c>
      <c r="B10" s="84"/>
      <c r="C10" s="84"/>
      <c r="D10" s="84"/>
      <c r="E10" s="84"/>
      <c r="F10" s="84"/>
      <c r="G10" s="84"/>
      <c r="H10" s="84"/>
      <c r="I10" s="8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</row>
    <row r="11" spans="1:47" s="52" customFormat="1" x14ac:dyDescent="0.3">
      <c r="A11" s="53" t="s">
        <v>51</v>
      </c>
      <c r="B11" s="84">
        <v>158691.5</v>
      </c>
      <c r="C11" s="84">
        <v>142975.75</v>
      </c>
      <c r="D11" s="84">
        <v>167265.75</v>
      </c>
      <c r="E11" s="84">
        <v>177442</v>
      </c>
      <c r="F11" s="84">
        <v>198016.5</v>
      </c>
      <c r="G11" s="84">
        <v>203480.25</v>
      </c>
      <c r="H11" s="84">
        <v>248745.5</v>
      </c>
      <c r="I11" s="84">
        <v>1296617.25</v>
      </c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</row>
    <row r="12" spans="1:47" s="52" customFormat="1" x14ac:dyDescent="0.3">
      <c r="A12" s="53" t="s">
        <v>76</v>
      </c>
      <c r="B12" s="84">
        <v>0</v>
      </c>
      <c r="C12" s="84">
        <v>0</v>
      </c>
      <c r="D12" s="84">
        <v>6545.25</v>
      </c>
      <c r="E12" s="84">
        <v>11687.75</v>
      </c>
      <c r="F12" s="84">
        <v>7018.5</v>
      </c>
      <c r="G12" s="84">
        <v>6392.25</v>
      </c>
      <c r="H12" s="84">
        <v>7712.25</v>
      </c>
      <c r="I12" s="84">
        <v>39356</v>
      </c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</row>
    <row r="13" spans="1:47" s="52" customFormat="1" x14ac:dyDescent="0.3">
      <c r="A13" s="51" t="s">
        <v>21</v>
      </c>
      <c r="B13" s="84">
        <v>158691.5</v>
      </c>
      <c r="C13" s="84">
        <v>142975.75</v>
      </c>
      <c r="D13" s="84">
        <v>173811</v>
      </c>
      <c r="E13" s="84">
        <v>189129.75</v>
      </c>
      <c r="F13" s="84">
        <v>205035</v>
      </c>
      <c r="G13" s="84">
        <v>209872.5</v>
      </c>
      <c r="H13" s="84">
        <v>256457.75</v>
      </c>
      <c r="I13" s="84">
        <v>1335973.25</v>
      </c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</row>
    <row r="14" spans="1:47" s="52" customFormat="1" x14ac:dyDescent="0.3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</row>
    <row r="15" spans="1:47" s="52" customForma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</row>
    <row r="16" spans="1:47" s="52" customForma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</row>
    <row r="17" spans="1:47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</row>
    <row r="18" spans="1:47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</row>
    <row r="19" spans="1:47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</row>
    <row r="20" spans="1:47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</row>
    <row r="21" spans="1:47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</row>
    <row r="22" spans="1:47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</row>
    <row r="23" spans="1:47" x14ac:dyDescent="0.3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</row>
    <row r="24" spans="1:47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</row>
    <row r="25" spans="1:47" x14ac:dyDescent="0.3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</row>
    <row r="26" spans="1:47" x14ac:dyDescent="0.3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</row>
    <row r="27" spans="1:47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</row>
    <row r="28" spans="1:47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</row>
    <row r="29" spans="1:47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</row>
    <row r="30" spans="1:47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</row>
    <row r="31" spans="1:47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</row>
    <row r="32" spans="1:47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</row>
    <row r="33" spans="1:47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</row>
    <row r="34" spans="1:47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</row>
    <row r="35" spans="1:47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</row>
    <row r="36" spans="1:47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</row>
    <row r="37" spans="1:47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</row>
    <row r="38" spans="1:47" x14ac:dyDescent="0.3">
      <c r="A38" s="47"/>
      <c r="B38" s="47"/>
      <c r="C38" s="47"/>
    </row>
    <row r="39" spans="1:47" x14ac:dyDescent="0.3">
      <c r="A39" s="47"/>
      <c r="B39" s="47"/>
      <c r="C39" s="47"/>
    </row>
    <row r="40" spans="1:47" x14ac:dyDescent="0.3">
      <c r="A40" s="47"/>
      <c r="B40" s="47"/>
      <c r="C40" s="47"/>
    </row>
    <row r="41" spans="1:47" x14ac:dyDescent="0.3">
      <c r="A41" s="47"/>
      <c r="B41" s="47"/>
      <c r="C41" s="47"/>
    </row>
    <row r="42" spans="1:47" x14ac:dyDescent="0.3">
      <c r="A42" s="47"/>
      <c r="B42" s="47"/>
      <c r="C42" s="47"/>
    </row>
    <row r="43" spans="1:47" x14ac:dyDescent="0.3">
      <c r="A43" s="47"/>
      <c r="B43" s="47"/>
      <c r="C43" s="47"/>
    </row>
    <row r="44" spans="1:47" x14ac:dyDescent="0.3">
      <c r="A44" s="47"/>
      <c r="B44" s="47"/>
      <c r="C44" s="47"/>
    </row>
    <row r="45" spans="1:47" x14ac:dyDescent="0.3">
      <c r="A45" s="47"/>
      <c r="B45" s="47"/>
      <c r="C45" s="47"/>
    </row>
    <row r="46" spans="1:47" x14ac:dyDescent="0.3">
      <c r="A46" s="47"/>
      <c r="B46" s="47"/>
      <c r="C46" s="47"/>
    </row>
    <row r="47" spans="1:47" x14ac:dyDescent="0.3">
      <c r="A47" s="47"/>
      <c r="B47" s="47"/>
      <c r="C47" s="47"/>
    </row>
    <row r="48" spans="1:47" x14ac:dyDescent="0.3">
      <c r="A48" s="47"/>
      <c r="B48" s="47"/>
      <c r="C48" s="47"/>
    </row>
    <row r="49" spans="1:3" x14ac:dyDescent="0.3">
      <c r="A49" s="47"/>
      <c r="B49" s="47"/>
      <c r="C49" s="47"/>
    </row>
    <row r="50" spans="1:3" x14ac:dyDescent="0.3">
      <c r="A50" s="47"/>
      <c r="B50" s="47"/>
      <c r="C50" s="47"/>
    </row>
    <row r="51" spans="1:3" x14ac:dyDescent="0.3">
      <c r="A51" s="47"/>
      <c r="B51" s="47"/>
      <c r="C51" s="47"/>
    </row>
    <row r="52" spans="1:3" x14ac:dyDescent="0.3">
      <c r="A52" s="47"/>
      <c r="B52" s="47"/>
      <c r="C52" s="47"/>
    </row>
    <row r="53" spans="1:3" x14ac:dyDescent="0.3">
      <c r="A53" s="47"/>
      <c r="B53" s="47"/>
      <c r="C53" s="47"/>
    </row>
    <row r="54" spans="1:3" x14ac:dyDescent="0.3">
      <c r="A54" s="47"/>
      <c r="B54" s="47"/>
      <c r="C54" s="47"/>
    </row>
    <row r="55" spans="1:3" x14ac:dyDescent="0.3">
      <c r="A55" s="47"/>
      <c r="B55" s="47"/>
      <c r="C55" s="47"/>
    </row>
    <row r="56" spans="1:3" x14ac:dyDescent="0.3">
      <c r="A56" s="47"/>
      <c r="B56" s="47"/>
      <c r="C56" s="47"/>
    </row>
    <row r="57" spans="1:3" x14ac:dyDescent="0.3">
      <c r="A57" s="47"/>
      <c r="B57" s="47"/>
      <c r="C57" s="47"/>
    </row>
    <row r="58" spans="1:3" x14ac:dyDescent="0.3">
      <c r="A58" s="47"/>
      <c r="B58" s="47"/>
      <c r="C58" s="47"/>
    </row>
    <row r="59" spans="1:3" x14ac:dyDescent="0.3">
      <c r="A59" s="47"/>
      <c r="B59" s="47"/>
      <c r="C59" s="47"/>
    </row>
    <row r="60" spans="1:3" x14ac:dyDescent="0.3">
      <c r="A60" s="47"/>
      <c r="B60" s="47"/>
      <c r="C60" s="47"/>
    </row>
    <row r="61" spans="1:3" x14ac:dyDescent="0.3">
      <c r="A61" s="47"/>
      <c r="B61" s="47"/>
      <c r="C61" s="47"/>
    </row>
  </sheetData>
  <mergeCells count="3">
    <mergeCell ref="E2:I4"/>
    <mergeCell ref="B8:H8"/>
    <mergeCell ref="I8:I9"/>
  </mergeCells>
  <pageMargins left="0.61" right="0.23622047244094491" top="0.27559055118110237" bottom="0.15748031496062992" header="0.15748031496062992" footer="0.19685039370078741"/>
  <pageSetup scale="66" orientation="portrait" horizont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2060"/>
  </sheetPr>
  <dimension ref="A1:M21"/>
  <sheetViews>
    <sheetView workbookViewId="0">
      <selection activeCell="D11" sqref="D11"/>
    </sheetView>
  </sheetViews>
  <sheetFormatPr baseColWidth="10" defaultRowHeight="14.4" x14ac:dyDescent="0.3"/>
  <cols>
    <col min="1" max="1" width="35.59765625" style="47" customWidth="1"/>
    <col min="2" max="5" width="13.8984375" style="47" customWidth="1"/>
    <col min="6" max="7" width="11.296875" style="47" bestFit="1" customWidth="1"/>
    <col min="8" max="8" width="13.69921875" style="47" customWidth="1"/>
    <col min="9" max="9" width="15.8984375" style="47" customWidth="1"/>
    <col min="10" max="16384" width="11.19921875" style="47"/>
  </cols>
  <sheetData>
    <row r="1" spans="1:13" s="40" customFormat="1" ht="24.75" customHeight="1" x14ac:dyDescent="0.25">
      <c r="A1" s="39" t="s">
        <v>55</v>
      </c>
    </row>
    <row r="2" spans="1:13" s="40" customFormat="1" ht="18.75" customHeight="1" x14ac:dyDescent="0.25">
      <c r="A2" s="41" t="s">
        <v>49</v>
      </c>
      <c r="E2" s="107" t="s">
        <v>73</v>
      </c>
      <c r="F2" s="107"/>
      <c r="G2" s="107"/>
      <c r="H2" s="107"/>
      <c r="I2" s="107"/>
      <c r="J2" s="107"/>
    </row>
    <row r="3" spans="1:13" s="42" customFormat="1" x14ac:dyDescent="0.3">
      <c r="E3" s="107"/>
      <c r="F3" s="107"/>
      <c r="G3" s="107"/>
      <c r="H3" s="107"/>
      <c r="I3" s="107"/>
      <c r="J3" s="107"/>
      <c r="K3" s="54"/>
      <c r="L3" s="54"/>
      <c r="M3" s="54"/>
    </row>
    <row r="4" spans="1:13" s="42" customFormat="1" x14ac:dyDescent="0.3">
      <c r="E4" s="107"/>
      <c r="F4" s="107"/>
      <c r="G4" s="107"/>
      <c r="H4" s="107"/>
      <c r="I4" s="107"/>
      <c r="J4" s="107"/>
    </row>
    <row r="5" spans="1:13" s="57" customFormat="1" ht="23.4" x14ac:dyDescent="0.45">
      <c r="A5" s="55" t="s">
        <v>30</v>
      </c>
      <c r="B5" s="51">
        <v>2022</v>
      </c>
      <c r="C5" s="56"/>
      <c r="D5" s="56"/>
      <c r="E5" s="56"/>
    </row>
    <row r="6" spans="1:13" s="42" customFormat="1" ht="6.75" customHeight="1" x14ac:dyDescent="0.3">
      <c r="A6" s="40"/>
      <c r="B6" s="40"/>
      <c r="C6" s="40"/>
      <c r="D6" s="40"/>
      <c r="E6" s="40"/>
    </row>
    <row r="7" spans="1:13" hidden="1" x14ac:dyDescent="0.3">
      <c r="A7" s="46" t="s">
        <v>20</v>
      </c>
      <c r="B7" s="46" t="s">
        <v>11</v>
      </c>
      <c r="C7" s="49"/>
      <c r="D7" s="49"/>
      <c r="E7" s="49"/>
      <c r="F7" s="49"/>
      <c r="G7" s="49"/>
      <c r="H7" s="49"/>
      <c r="I7" s="49"/>
    </row>
    <row r="8" spans="1:13" x14ac:dyDescent="0.3">
      <c r="A8" s="49"/>
      <c r="B8" s="108" t="s">
        <v>942</v>
      </c>
      <c r="C8" s="109"/>
      <c r="D8" s="109"/>
      <c r="E8" s="109"/>
      <c r="F8" s="109"/>
      <c r="G8" s="109"/>
      <c r="H8" s="109"/>
      <c r="I8" s="108" t="s">
        <v>22</v>
      </c>
    </row>
    <row r="9" spans="1:13" x14ac:dyDescent="0.3">
      <c r="A9" s="46" t="s">
        <v>1</v>
      </c>
      <c r="B9" s="50" t="s">
        <v>943</v>
      </c>
      <c r="C9" s="50" t="s">
        <v>944</v>
      </c>
      <c r="D9" s="50" t="s">
        <v>945</v>
      </c>
      <c r="E9" s="50" t="s">
        <v>71</v>
      </c>
      <c r="F9" s="50" t="s">
        <v>72</v>
      </c>
      <c r="G9" s="50" t="s">
        <v>946</v>
      </c>
      <c r="H9" s="50" t="s">
        <v>947</v>
      </c>
      <c r="I9" s="109"/>
    </row>
    <row r="10" spans="1:13" x14ac:dyDescent="0.3">
      <c r="A10" s="51" t="s">
        <v>6</v>
      </c>
      <c r="B10" s="84"/>
      <c r="C10" s="84"/>
      <c r="D10" s="84"/>
      <c r="E10" s="84"/>
      <c r="F10" s="84"/>
      <c r="G10" s="84"/>
      <c r="H10" s="84"/>
      <c r="I10" s="84"/>
    </row>
    <row r="11" spans="1:13" x14ac:dyDescent="0.3">
      <c r="A11" s="53" t="s">
        <v>9</v>
      </c>
      <c r="B11" s="84">
        <v>6043</v>
      </c>
      <c r="C11" s="84">
        <v>5713</v>
      </c>
      <c r="D11" s="84">
        <v>5799</v>
      </c>
      <c r="E11" s="84">
        <v>5997</v>
      </c>
      <c r="F11" s="84">
        <v>6103</v>
      </c>
      <c r="G11" s="84">
        <v>6336</v>
      </c>
      <c r="H11" s="84">
        <v>6397</v>
      </c>
      <c r="I11" s="84">
        <v>42388</v>
      </c>
    </row>
    <row r="12" spans="1:13" x14ac:dyDescent="0.3">
      <c r="A12" s="53" t="s">
        <v>7</v>
      </c>
      <c r="B12" s="84">
        <v>0</v>
      </c>
      <c r="C12" s="84">
        <v>700</v>
      </c>
      <c r="D12" s="84">
        <v>0</v>
      </c>
      <c r="E12" s="84">
        <v>0</v>
      </c>
      <c r="F12" s="84">
        <v>0</v>
      </c>
      <c r="G12" s="84">
        <v>0</v>
      </c>
      <c r="H12" s="84">
        <v>0</v>
      </c>
      <c r="I12" s="84">
        <v>700</v>
      </c>
    </row>
    <row r="13" spans="1:13" x14ac:dyDescent="0.3">
      <c r="A13" s="53" t="s">
        <v>63</v>
      </c>
      <c r="B13" s="84">
        <v>3062.81</v>
      </c>
      <c r="C13" s="84">
        <v>4.5</v>
      </c>
      <c r="D13" s="84">
        <v>0</v>
      </c>
      <c r="E13" s="84">
        <v>0</v>
      </c>
      <c r="F13" s="84">
        <v>755.5</v>
      </c>
      <c r="G13" s="84">
        <v>305.89999999999998</v>
      </c>
      <c r="H13" s="84">
        <v>87.34</v>
      </c>
      <c r="I13" s="84">
        <v>4216.05</v>
      </c>
    </row>
    <row r="14" spans="1:13" x14ac:dyDescent="0.3">
      <c r="A14" s="53" t="s">
        <v>61</v>
      </c>
      <c r="B14" s="84">
        <v>581.25</v>
      </c>
      <c r="C14" s="84">
        <v>1733</v>
      </c>
      <c r="D14" s="84">
        <v>1132.25</v>
      </c>
      <c r="E14" s="84">
        <v>1027.8</v>
      </c>
      <c r="F14" s="84">
        <v>2132.25</v>
      </c>
      <c r="G14" s="84">
        <v>504.75</v>
      </c>
      <c r="H14" s="84">
        <v>0</v>
      </c>
      <c r="I14" s="84">
        <v>7111.3</v>
      </c>
    </row>
    <row r="15" spans="1:13" x14ac:dyDescent="0.3">
      <c r="A15" s="53" t="s">
        <v>62</v>
      </c>
      <c r="B15" s="84">
        <v>142067.58000000002</v>
      </c>
      <c r="C15" s="84">
        <v>141974.07</v>
      </c>
      <c r="D15" s="84">
        <v>0</v>
      </c>
      <c r="E15" s="84">
        <v>0</v>
      </c>
      <c r="F15" s="84">
        <v>0</v>
      </c>
      <c r="G15" s="84">
        <v>0</v>
      </c>
      <c r="H15" s="84">
        <v>0</v>
      </c>
      <c r="I15" s="84">
        <v>284041.65000000002</v>
      </c>
    </row>
    <row r="16" spans="1:13" x14ac:dyDescent="0.3">
      <c r="A16" s="53" t="s">
        <v>87</v>
      </c>
      <c r="B16" s="84">
        <v>20600</v>
      </c>
      <c r="C16" s="84">
        <v>19100</v>
      </c>
      <c r="D16" s="84">
        <v>19100</v>
      </c>
      <c r="E16" s="84">
        <v>17894</v>
      </c>
      <c r="F16" s="84">
        <v>18160</v>
      </c>
      <c r="G16" s="84">
        <v>17600</v>
      </c>
      <c r="H16" s="84">
        <v>0</v>
      </c>
      <c r="I16" s="84">
        <v>112454</v>
      </c>
    </row>
    <row r="17" spans="1:9" x14ac:dyDescent="0.3">
      <c r="A17" s="53" t="s">
        <v>88</v>
      </c>
      <c r="B17" s="84">
        <v>675</v>
      </c>
      <c r="C17" s="84">
        <v>120</v>
      </c>
      <c r="D17" s="84">
        <v>15</v>
      </c>
      <c r="E17" s="84">
        <v>1230</v>
      </c>
      <c r="F17" s="84">
        <v>0</v>
      </c>
      <c r="G17" s="84">
        <v>0</v>
      </c>
      <c r="H17" s="84">
        <v>0</v>
      </c>
      <c r="I17" s="84">
        <v>2040</v>
      </c>
    </row>
    <row r="18" spans="1:9" x14ac:dyDescent="0.3">
      <c r="A18" s="53" t="s">
        <v>78</v>
      </c>
      <c r="B18" s="84">
        <v>0</v>
      </c>
      <c r="C18" s="84">
        <v>0</v>
      </c>
      <c r="D18" s="84">
        <v>124972.28</v>
      </c>
      <c r="E18" s="84">
        <v>163339.06999999998</v>
      </c>
      <c r="F18" s="84">
        <v>194051.5</v>
      </c>
      <c r="G18" s="84">
        <v>184213.27999999997</v>
      </c>
      <c r="H18" s="84">
        <v>213800.43</v>
      </c>
      <c r="I18" s="84">
        <v>880376.55999999982</v>
      </c>
    </row>
    <row r="19" spans="1:9" x14ac:dyDescent="0.3">
      <c r="A19" s="53" t="s">
        <v>80</v>
      </c>
      <c r="B19" s="84">
        <v>0</v>
      </c>
      <c r="C19" s="84">
        <v>0</v>
      </c>
      <c r="D19" s="84">
        <v>0</v>
      </c>
      <c r="E19" s="84">
        <v>0</v>
      </c>
      <c r="F19" s="84">
        <v>0</v>
      </c>
      <c r="G19" s="84">
        <v>0</v>
      </c>
      <c r="H19" s="84">
        <v>17900</v>
      </c>
      <c r="I19" s="84">
        <v>17900</v>
      </c>
    </row>
    <row r="20" spans="1:9" x14ac:dyDescent="0.3">
      <c r="A20" s="53" t="s">
        <v>81</v>
      </c>
      <c r="B20" s="84">
        <v>0</v>
      </c>
      <c r="C20" s="84">
        <v>0</v>
      </c>
      <c r="D20" s="84">
        <v>0</v>
      </c>
      <c r="E20" s="84">
        <v>0</v>
      </c>
      <c r="F20" s="84">
        <v>0</v>
      </c>
      <c r="G20" s="84">
        <v>0</v>
      </c>
      <c r="H20" s="84">
        <v>11708</v>
      </c>
      <c r="I20" s="84">
        <v>11708</v>
      </c>
    </row>
    <row r="21" spans="1:9" x14ac:dyDescent="0.3">
      <c r="A21" s="51" t="s">
        <v>22</v>
      </c>
      <c r="B21" s="84">
        <v>173029.64</v>
      </c>
      <c r="C21" s="84">
        <v>169344.57</v>
      </c>
      <c r="D21" s="84">
        <v>151018.53</v>
      </c>
      <c r="E21" s="84">
        <v>189487.86999999997</v>
      </c>
      <c r="F21" s="84">
        <v>221202.25</v>
      </c>
      <c r="G21" s="84">
        <v>208959.92999999996</v>
      </c>
      <c r="H21" s="84">
        <v>249892.77</v>
      </c>
      <c r="I21" s="84">
        <v>1362935.5599999998</v>
      </c>
    </row>
  </sheetData>
  <mergeCells count="3">
    <mergeCell ref="E2:J4"/>
    <mergeCell ref="B8:H8"/>
    <mergeCell ref="I8:I9"/>
  </mergeCell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tabColor rgb="FF002060"/>
    <pageSetUpPr fitToPage="1"/>
  </sheetPr>
  <dimension ref="A1:D875"/>
  <sheetViews>
    <sheetView zoomScaleNormal="100" zoomScaleSheetLayoutView="100" workbookViewId="0">
      <selection activeCell="D9" sqref="D9"/>
    </sheetView>
  </sheetViews>
  <sheetFormatPr baseColWidth="10" defaultRowHeight="14.4" x14ac:dyDescent="0.3"/>
  <cols>
    <col min="1" max="1" width="94" style="47" customWidth="1"/>
    <col min="2" max="2" width="17.3984375" style="47" customWidth="1"/>
    <col min="3" max="3" width="18.69921875" style="47" customWidth="1"/>
    <col min="4" max="4" width="14.69921875" style="47" bestFit="1" customWidth="1"/>
    <col min="5" max="16384" width="11.19921875" style="47"/>
  </cols>
  <sheetData>
    <row r="1" spans="1:4" ht="21" x14ac:dyDescent="0.4">
      <c r="A1" s="112" t="s">
        <v>55</v>
      </c>
      <c r="B1" s="112"/>
      <c r="C1" s="42"/>
      <c r="D1" s="42"/>
    </row>
    <row r="2" spans="1:4" ht="18" x14ac:dyDescent="0.35">
      <c r="A2" s="113" t="s">
        <v>59</v>
      </c>
      <c r="B2" s="113"/>
      <c r="C2" s="42"/>
      <c r="D2" s="42"/>
    </row>
    <row r="3" spans="1:4" hidden="1" x14ac:dyDescent="0.3">
      <c r="C3" s="42"/>
      <c r="D3" s="42"/>
    </row>
    <row r="4" spans="1:4" ht="18" x14ac:dyDescent="0.35">
      <c r="A4" s="58" t="s">
        <v>46</v>
      </c>
      <c r="B4" s="51">
        <v>2022</v>
      </c>
      <c r="C4" s="42"/>
      <c r="D4" s="42"/>
    </row>
    <row r="5" spans="1:4" ht="18" x14ac:dyDescent="0.35">
      <c r="A5" s="58" t="s">
        <v>50</v>
      </c>
      <c r="B5" s="47" t="s">
        <v>75</v>
      </c>
      <c r="C5" s="42"/>
      <c r="D5" s="42"/>
    </row>
    <row r="6" spans="1:4" x14ac:dyDescent="0.3">
      <c r="A6" s="59" t="s">
        <v>68</v>
      </c>
      <c r="C6" s="42"/>
      <c r="D6" s="42"/>
    </row>
    <row r="7" spans="1:4" x14ac:dyDescent="0.3">
      <c r="A7" s="60" t="s">
        <v>27</v>
      </c>
      <c r="B7" s="49" t="s">
        <v>67</v>
      </c>
      <c r="C7" s="49" t="s">
        <v>26</v>
      </c>
      <c r="D7" s="49" t="s">
        <v>69</v>
      </c>
    </row>
    <row r="8" spans="1:4" x14ac:dyDescent="0.3">
      <c r="A8" s="51" t="s">
        <v>5</v>
      </c>
      <c r="B8" s="84">
        <v>1335973.25</v>
      </c>
      <c r="C8" s="84">
        <v>0</v>
      </c>
      <c r="D8" s="84">
        <v>1335973.25</v>
      </c>
    </row>
    <row r="9" spans="1:4" x14ac:dyDescent="0.3">
      <c r="A9" s="53" t="s">
        <v>51</v>
      </c>
      <c r="B9" s="84">
        <v>1296617.25</v>
      </c>
      <c r="C9" s="84">
        <v>0</v>
      </c>
      <c r="D9" s="84">
        <v>1296617.25</v>
      </c>
    </row>
    <row r="10" spans="1:4" x14ac:dyDescent="0.3">
      <c r="A10" s="61" t="s">
        <v>123</v>
      </c>
      <c r="B10" s="84">
        <v>158691.5</v>
      </c>
      <c r="C10" s="84">
        <v>0</v>
      </c>
      <c r="D10" s="84">
        <v>158691.5</v>
      </c>
    </row>
    <row r="11" spans="1:4" x14ac:dyDescent="0.3">
      <c r="A11" s="61" t="s">
        <v>228</v>
      </c>
      <c r="B11" s="84">
        <v>142975.75</v>
      </c>
      <c r="C11" s="84">
        <v>0</v>
      </c>
      <c r="D11" s="84">
        <v>142975.75</v>
      </c>
    </row>
    <row r="12" spans="1:4" x14ac:dyDescent="0.3">
      <c r="A12" s="61" t="s">
        <v>327</v>
      </c>
      <c r="B12" s="84">
        <v>167265.75</v>
      </c>
      <c r="C12" s="84">
        <v>0</v>
      </c>
      <c r="D12" s="84">
        <v>167265.75</v>
      </c>
    </row>
    <row r="13" spans="1:4" x14ac:dyDescent="0.3">
      <c r="A13" s="61" t="s">
        <v>442</v>
      </c>
      <c r="B13" s="84">
        <v>177442</v>
      </c>
      <c r="C13" s="84">
        <v>0</v>
      </c>
      <c r="D13" s="84">
        <v>177442</v>
      </c>
    </row>
    <row r="14" spans="1:4" x14ac:dyDescent="0.3">
      <c r="A14" s="61" t="s">
        <v>569</v>
      </c>
      <c r="B14" s="84">
        <v>198016.5</v>
      </c>
      <c r="C14" s="84">
        <v>0</v>
      </c>
      <c r="D14" s="84">
        <v>198016.5</v>
      </c>
    </row>
    <row r="15" spans="1:4" x14ac:dyDescent="0.3">
      <c r="A15" s="61" t="s">
        <v>707</v>
      </c>
      <c r="B15" s="84">
        <v>203480.25</v>
      </c>
      <c r="C15" s="84">
        <v>0</v>
      </c>
      <c r="D15" s="84">
        <v>203480.25</v>
      </c>
    </row>
    <row r="16" spans="1:4" x14ac:dyDescent="0.3">
      <c r="A16" s="61" t="s">
        <v>849</v>
      </c>
      <c r="B16" s="84">
        <v>248745.5</v>
      </c>
      <c r="C16" s="84">
        <v>0</v>
      </c>
      <c r="D16" s="84">
        <v>248745.5</v>
      </c>
    </row>
    <row r="17" spans="1:4" x14ac:dyDescent="0.3">
      <c r="A17" s="53" t="s">
        <v>76</v>
      </c>
      <c r="B17" s="84">
        <v>39356</v>
      </c>
      <c r="C17" s="84">
        <v>0</v>
      </c>
      <c r="D17" s="84">
        <v>39356</v>
      </c>
    </row>
    <row r="18" spans="1:4" x14ac:dyDescent="0.3">
      <c r="A18" s="61" t="s">
        <v>328</v>
      </c>
      <c r="B18" s="84">
        <v>6545.25</v>
      </c>
      <c r="C18" s="84">
        <v>0</v>
      </c>
      <c r="D18" s="84">
        <v>6545.25</v>
      </c>
    </row>
    <row r="19" spans="1:4" x14ac:dyDescent="0.3">
      <c r="A19" s="61" t="s">
        <v>443</v>
      </c>
      <c r="B19" s="84">
        <v>11687.75</v>
      </c>
      <c r="C19" s="84">
        <v>0</v>
      </c>
      <c r="D19" s="84">
        <v>11687.75</v>
      </c>
    </row>
    <row r="20" spans="1:4" x14ac:dyDescent="0.3">
      <c r="A20" s="61" t="s">
        <v>570</v>
      </c>
      <c r="B20" s="84">
        <v>7018.5</v>
      </c>
      <c r="C20" s="84">
        <v>0</v>
      </c>
      <c r="D20" s="84">
        <v>7018.5</v>
      </c>
    </row>
    <row r="21" spans="1:4" x14ac:dyDescent="0.3">
      <c r="A21" s="61" t="s">
        <v>708</v>
      </c>
      <c r="B21" s="84">
        <v>6392.25</v>
      </c>
      <c r="C21" s="84">
        <v>0</v>
      </c>
      <c r="D21" s="84">
        <v>6392.25</v>
      </c>
    </row>
    <row r="22" spans="1:4" x14ac:dyDescent="0.3">
      <c r="A22" s="61" t="s">
        <v>850</v>
      </c>
      <c r="B22" s="84">
        <v>7712.25</v>
      </c>
      <c r="C22" s="84">
        <v>0</v>
      </c>
      <c r="D22" s="84">
        <v>7712.25</v>
      </c>
    </row>
    <row r="23" spans="1:4" x14ac:dyDescent="0.3">
      <c r="A23" s="51" t="s">
        <v>6</v>
      </c>
      <c r="B23" s="84">
        <v>0</v>
      </c>
      <c r="C23" s="84">
        <v>1362935.5599999994</v>
      </c>
      <c r="D23" s="84">
        <v>-1362935.5599999994</v>
      </c>
    </row>
    <row r="24" spans="1:4" x14ac:dyDescent="0.3">
      <c r="A24" s="53" t="s">
        <v>9</v>
      </c>
      <c r="B24" s="84">
        <v>0</v>
      </c>
      <c r="C24" s="84">
        <v>42388</v>
      </c>
      <c r="D24" s="84">
        <v>-42388</v>
      </c>
    </row>
    <row r="25" spans="1:4" x14ac:dyDescent="0.3">
      <c r="A25" s="61" t="s">
        <v>190</v>
      </c>
      <c r="B25" s="84">
        <v>0</v>
      </c>
      <c r="C25" s="84">
        <v>6043</v>
      </c>
      <c r="D25" s="84">
        <v>-6043</v>
      </c>
    </row>
    <row r="26" spans="1:4" x14ac:dyDescent="0.3">
      <c r="A26" s="61" t="s">
        <v>232</v>
      </c>
      <c r="B26" s="84">
        <v>0</v>
      </c>
      <c r="C26" s="84">
        <v>5713</v>
      </c>
      <c r="D26" s="84">
        <v>-5713</v>
      </c>
    </row>
    <row r="27" spans="1:4" x14ac:dyDescent="0.3">
      <c r="A27" s="61" t="s">
        <v>409</v>
      </c>
      <c r="B27" s="84">
        <v>0</v>
      </c>
      <c r="C27" s="84">
        <v>5799</v>
      </c>
      <c r="D27" s="84">
        <v>-5799</v>
      </c>
    </row>
    <row r="28" spans="1:4" x14ac:dyDescent="0.3">
      <c r="A28" s="61" t="s">
        <v>445</v>
      </c>
      <c r="B28" s="84">
        <v>0</v>
      </c>
      <c r="C28" s="84">
        <v>5997</v>
      </c>
      <c r="D28" s="84">
        <v>-5997</v>
      </c>
    </row>
    <row r="29" spans="1:4" x14ac:dyDescent="0.3">
      <c r="A29" s="61" t="s">
        <v>572</v>
      </c>
      <c r="B29" s="84">
        <v>0</v>
      </c>
      <c r="C29" s="84">
        <v>6103</v>
      </c>
      <c r="D29" s="84">
        <v>-6103</v>
      </c>
    </row>
    <row r="30" spans="1:4" x14ac:dyDescent="0.3">
      <c r="A30" s="61" t="s">
        <v>710</v>
      </c>
      <c r="B30" s="84">
        <v>0</v>
      </c>
      <c r="C30" s="84">
        <v>6336</v>
      </c>
      <c r="D30" s="84">
        <v>-6336</v>
      </c>
    </row>
    <row r="31" spans="1:4" x14ac:dyDescent="0.3">
      <c r="A31" s="61" t="s">
        <v>852</v>
      </c>
      <c r="B31" s="84">
        <v>0</v>
      </c>
      <c r="C31" s="84">
        <v>6397</v>
      </c>
      <c r="D31" s="84">
        <v>-6397</v>
      </c>
    </row>
    <row r="32" spans="1:4" x14ac:dyDescent="0.3">
      <c r="A32" s="53" t="s">
        <v>7</v>
      </c>
      <c r="B32" s="84">
        <v>0</v>
      </c>
      <c r="C32" s="84">
        <v>700</v>
      </c>
      <c r="D32" s="84">
        <v>-700</v>
      </c>
    </row>
    <row r="33" spans="1:4" x14ac:dyDescent="0.3">
      <c r="A33" s="61" t="s">
        <v>230</v>
      </c>
      <c r="B33" s="84">
        <v>0</v>
      </c>
      <c r="C33" s="84">
        <v>700</v>
      </c>
      <c r="D33" s="84">
        <v>-700</v>
      </c>
    </row>
    <row r="34" spans="1:4" x14ac:dyDescent="0.3">
      <c r="A34" s="53" t="s">
        <v>63</v>
      </c>
      <c r="B34" s="84">
        <v>0</v>
      </c>
      <c r="C34" s="84">
        <v>4216.05</v>
      </c>
      <c r="D34" s="84">
        <v>-4216.05</v>
      </c>
    </row>
    <row r="35" spans="1:4" x14ac:dyDescent="0.3">
      <c r="A35" s="61" t="s">
        <v>101</v>
      </c>
      <c r="B35" s="84">
        <v>0</v>
      </c>
      <c r="C35" s="84">
        <v>150</v>
      </c>
      <c r="D35" s="84">
        <v>-150</v>
      </c>
    </row>
    <row r="36" spans="1:4" x14ac:dyDescent="0.3">
      <c r="A36" s="61" t="s">
        <v>159</v>
      </c>
      <c r="B36" s="84">
        <v>0</v>
      </c>
      <c r="C36" s="84">
        <v>300</v>
      </c>
      <c r="D36" s="84">
        <v>-300</v>
      </c>
    </row>
    <row r="37" spans="1:4" x14ac:dyDescent="0.3">
      <c r="A37" s="61" t="s">
        <v>160</v>
      </c>
      <c r="B37" s="84">
        <v>0</v>
      </c>
      <c r="C37" s="84">
        <v>847.81</v>
      </c>
      <c r="D37" s="84">
        <v>-847.81</v>
      </c>
    </row>
    <row r="38" spans="1:4" x14ac:dyDescent="0.3">
      <c r="A38" s="61" t="s">
        <v>192</v>
      </c>
      <c r="B38" s="84">
        <v>0</v>
      </c>
      <c r="C38" s="84">
        <v>1765</v>
      </c>
      <c r="D38" s="84">
        <v>-1765</v>
      </c>
    </row>
    <row r="39" spans="1:4" x14ac:dyDescent="0.3">
      <c r="A39" s="61" t="s">
        <v>229</v>
      </c>
      <c r="B39" s="84">
        <v>0</v>
      </c>
      <c r="C39" s="84">
        <v>4.5</v>
      </c>
      <c r="D39" s="84">
        <v>-4.5</v>
      </c>
    </row>
    <row r="40" spans="1:4" x14ac:dyDescent="0.3">
      <c r="A40" s="61" t="s">
        <v>571</v>
      </c>
      <c r="B40" s="84">
        <v>0</v>
      </c>
      <c r="C40" s="84">
        <v>755.5</v>
      </c>
      <c r="D40" s="84">
        <v>-755.5</v>
      </c>
    </row>
    <row r="41" spans="1:4" x14ac:dyDescent="0.3">
      <c r="A41" s="61" t="s">
        <v>809</v>
      </c>
      <c r="B41" s="84">
        <v>0</v>
      </c>
      <c r="C41" s="84">
        <v>305.89999999999998</v>
      </c>
      <c r="D41" s="84">
        <v>-305.89999999999998</v>
      </c>
    </row>
    <row r="42" spans="1:4" x14ac:dyDescent="0.3">
      <c r="A42" s="61" t="s">
        <v>851</v>
      </c>
      <c r="B42" s="84">
        <v>0</v>
      </c>
      <c r="C42" s="84">
        <v>87.34</v>
      </c>
      <c r="D42" s="84">
        <v>-87.34</v>
      </c>
    </row>
    <row r="43" spans="1:4" x14ac:dyDescent="0.3">
      <c r="A43" s="53" t="s">
        <v>61</v>
      </c>
      <c r="B43" s="84">
        <v>0</v>
      </c>
      <c r="C43" s="84">
        <v>7111.3</v>
      </c>
      <c r="D43" s="84">
        <v>-7111.3</v>
      </c>
    </row>
    <row r="44" spans="1:4" x14ac:dyDescent="0.3">
      <c r="A44" s="61" t="s">
        <v>106</v>
      </c>
      <c r="B44" s="84">
        <v>0</v>
      </c>
      <c r="C44" s="84">
        <v>581.25</v>
      </c>
      <c r="D44" s="84">
        <v>-581.25</v>
      </c>
    </row>
    <row r="45" spans="1:4" x14ac:dyDescent="0.3">
      <c r="A45" s="61" t="s">
        <v>227</v>
      </c>
      <c r="B45" s="84">
        <v>0</v>
      </c>
      <c r="C45" s="84">
        <v>1695.75</v>
      </c>
      <c r="D45" s="84">
        <v>-1695.75</v>
      </c>
    </row>
    <row r="46" spans="1:4" x14ac:dyDescent="0.3">
      <c r="A46" s="61" t="s">
        <v>296</v>
      </c>
      <c r="B46" s="84">
        <v>0</v>
      </c>
      <c r="C46" s="84">
        <v>37.25</v>
      </c>
      <c r="D46" s="84">
        <v>-37.25</v>
      </c>
    </row>
    <row r="47" spans="1:4" x14ac:dyDescent="0.3">
      <c r="A47" s="61" t="s">
        <v>326</v>
      </c>
      <c r="B47" s="84">
        <v>0</v>
      </c>
      <c r="C47" s="84">
        <v>1030.25</v>
      </c>
      <c r="D47" s="84">
        <v>-1030.25</v>
      </c>
    </row>
    <row r="48" spans="1:4" x14ac:dyDescent="0.3">
      <c r="A48" s="61" t="s">
        <v>410</v>
      </c>
      <c r="B48" s="84">
        <v>0</v>
      </c>
      <c r="C48" s="84">
        <v>102</v>
      </c>
      <c r="D48" s="84">
        <v>-102</v>
      </c>
    </row>
    <row r="49" spans="1:4" x14ac:dyDescent="0.3">
      <c r="A49" s="61" t="s">
        <v>441</v>
      </c>
      <c r="B49" s="84">
        <v>0</v>
      </c>
      <c r="C49" s="84">
        <v>972.75</v>
      </c>
      <c r="D49" s="84">
        <v>-972.75</v>
      </c>
    </row>
    <row r="50" spans="1:4" x14ac:dyDescent="0.3">
      <c r="A50" s="61" t="s">
        <v>444</v>
      </c>
      <c r="B50" s="84">
        <v>0</v>
      </c>
      <c r="C50" s="84">
        <v>55.05</v>
      </c>
      <c r="D50" s="84">
        <v>-55.05</v>
      </c>
    </row>
    <row r="51" spans="1:4" x14ac:dyDescent="0.3">
      <c r="A51" s="61" t="s">
        <v>568</v>
      </c>
      <c r="B51" s="84">
        <v>0</v>
      </c>
      <c r="C51" s="84">
        <v>2132.25</v>
      </c>
      <c r="D51" s="84">
        <v>-2132.25</v>
      </c>
    </row>
    <row r="52" spans="1:4" x14ac:dyDescent="0.3">
      <c r="A52" s="61" t="s">
        <v>706</v>
      </c>
      <c r="B52" s="84">
        <v>0</v>
      </c>
      <c r="C52" s="84">
        <v>504.75</v>
      </c>
      <c r="D52" s="84">
        <v>-504.75</v>
      </c>
    </row>
    <row r="53" spans="1:4" x14ac:dyDescent="0.3">
      <c r="A53" s="53" t="s">
        <v>62</v>
      </c>
      <c r="B53" s="84">
        <v>0</v>
      </c>
      <c r="C53" s="84">
        <v>284041.64999999997</v>
      </c>
      <c r="D53" s="84">
        <v>-284041.64999999997</v>
      </c>
    </row>
    <row r="54" spans="1:4" x14ac:dyDescent="0.3">
      <c r="A54" s="61" t="s">
        <v>89</v>
      </c>
      <c r="B54" s="84">
        <v>0</v>
      </c>
      <c r="C54" s="84">
        <v>3366</v>
      </c>
      <c r="D54" s="84">
        <v>-3366</v>
      </c>
    </row>
    <row r="55" spans="1:4" x14ac:dyDescent="0.3">
      <c r="A55" s="61" t="s">
        <v>90</v>
      </c>
      <c r="B55" s="84">
        <v>0</v>
      </c>
      <c r="C55" s="84">
        <v>564.95000000000005</v>
      </c>
      <c r="D55" s="84">
        <v>-564.95000000000005</v>
      </c>
    </row>
    <row r="56" spans="1:4" x14ac:dyDescent="0.3">
      <c r="A56" s="61" t="s">
        <v>91</v>
      </c>
      <c r="B56" s="84">
        <v>0</v>
      </c>
      <c r="C56" s="84">
        <v>1254.75</v>
      </c>
      <c r="D56" s="84">
        <v>-1254.75</v>
      </c>
    </row>
    <row r="57" spans="1:4" x14ac:dyDescent="0.3">
      <c r="A57" s="61" t="s">
        <v>92</v>
      </c>
      <c r="B57" s="84">
        <v>0</v>
      </c>
      <c r="C57" s="84">
        <v>306</v>
      </c>
      <c r="D57" s="84">
        <v>-306</v>
      </c>
    </row>
    <row r="58" spans="1:4" x14ac:dyDescent="0.3">
      <c r="A58" s="61" t="s">
        <v>93</v>
      </c>
      <c r="B58" s="84">
        <v>0</v>
      </c>
      <c r="C58" s="84">
        <v>505.87</v>
      </c>
      <c r="D58" s="84">
        <v>-505.87</v>
      </c>
    </row>
    <row r="59" spans="1:4" x14ac:dyDescent="0.3">
      <c r="A59" s="61" t="s">
        <v>94</v>
      </c>
      <c r="B59" s="84">
        <v>0</v>
      </c>
      <c r="C59" s="84">
        <v>2558.2800000000002</v>
      </c>
      <c r="D59" s="84">
        <v>-2558.2800000000002</v>
      </c>
    </row>
    <row r="60" spans="1:4" x14ac:dyDescent="0.3">
      <c r="A60" s="61" t="s">
        <v>95</v>
      </c>
      <c r="B60" s="84">
        <v>0</v>
      </c>
      <c r="C60" s="84">
        <v>92.7</v>
      </c>
      <c r="D60" s="84">
        <v>-92.7</v>
      </c>
    </row>
    <row r="61" spans="1:4" x14ac:dyDescent="0.3">
      <c r="A61" s="61" t="s">
        <v>96</v>
      </c>
      <c r="B61" s="84">
        <v>0</v>
      </c>
      <c r="C61" s="84">
        <v>638.22</v>
      </c>
      <c r="D61" s="84">
        <v>-638.22</v>
      </c>
    </row>
    <row r="62" spans="1:4" x14ac:dyDescent="0.3">
      <c r="A62" s="61" t="s">
        <v>97</v>
      </c>
      <c r="B62" s="84">
        <v>0</v>
      </c>
      <c r="C62" s="84">
        <v>790.56</v>
      </c>
      <c r="D62" s="84">
        <v>-790.56</v>
      </c>
    </row>
    <row r="63" spans="1:4" x14ac:dyDescent="0.3">
      <c r="A63" s="61" t="s">
        <v>98</v>
      </c>
      <c r="B63" s="84">
        <v>0</v>
      </c>
      <c r="C63" s="84">
        <v>1846.08</v>
      </c>
      <c r="D63" s="84">
        <v>-1846.08</v>
      </c>
    </row>
    <row r="64" spans="1:4" x14ac:dyDescent="0.3">
      <c r="A64" s="61" t="s">
        <v>99</v>
      </c>
      <c r="B64" s="84">
        <v>0</v>
      </c>
      <c r="C64" s="84">
        <v>157.5</v>
      </c>
      <c r="D64" s="84">
        <v>-157.5</v>
      </c>
    </row>
    <row r="65" spans="1:4" x14ac:dyDescent="0.3">
      <c r="A65" s="61" t="s">
        <v>100</v>
      </c>
      <c r="B65" s="84">
        <v>0</v>
      </c>
      <c r="C65" s="84">
        <v>155</v>
      </c>
      <c r="D65" s="84">
        <v>-155</v>
      </c>
    </row>
    <row r="66" spans="1:4" x14ac:dyDescent="0.3">
      <c r="A66" s="61" t="s">
        <v>102</v>
      </c>
      <c r="B66" s="84">
        <v>0</v>
      </c>
      <c r="C66" s="84">
        <v>125</v>
      </c>
      <c r="D66" s="84">
        <v>-125</v>
      </c>
    </row>
    <row r="67" spans="1:4" x14ac:dyDescent="0.3">
      <c r="A67" s="61" t="s">
        <v>103</v>
      </c>
      <c r="B67" s="84">
        <v>0</v>
      </c>
      <c r="C67" s="84">
        <v>102</v>
      </c>
      <c r="D67" s="84">
        <v>-102</v>
      </c>
    </row>
    <row r="68" spans="1:4" x14ac:dyDescent="0.3">
      <c r="A68" s="61" t="s">
        <v>107</v>
      </c>
      <c r="B68" s="84">
        <v>0</v>
      </c>
      <c r="C68" s="84">
        <v>812.52</v>
      </c>
      <c r="D68" s="84">
        <v>-812.52</v>
      </c>
    </row>
    <row r="69" spans="1:4" x14ac:dyDescent="0.3">
      <c r="A69" s="61" t="s">
        <v>108</v>
      </c>
      <c r="B69" s="84">
        <v>0</v>
      </c>
      <c r="C69" s="84">
        <v>485.02</v>
      </c>
      <c r="D69" s="84">
        <v>-485.02</v>
      </c>
    </row>
    <row r="70" spans="1:4" x14ac:dyDescent="0.3">
      <c r="A70" s="61" t="s">
        <v>109</v>
      </c>
      <c r="B70" s="84">
        <v>0</v>
      </c>
      <c r="C70" s="84">
        <v>300</v>
      </c>
      <c r="D70" s="84">
        <v>-300</v>
      </c>
    </row>
    <row r="71" spans="1:4" x14ac:dyDescent="0.3">
      <c r="A71" s="61" t="s">
        <v>110</v>
      </c>
      <c r="B71" s="84">
        <v>0</v>
      </c>
      <c r="C71" s="84">
        <v>929.79</v>
      </c>
      <c r="D71" s="84">
        <v>-929.79</v>
      </c>
    </row>
    <row r="72" spans="1:4" x14ac:dyDescent="0.3">
      <c r="A72" s="61" t="s">
        <v>111</v>
      </c>
      <c r="B72" s="84">
        <v>0</v>
      </c>
      <c r="C72" s="84">
        <v>1147.7</v>
      </c>
      <c r="D72" s="84">
        <v>-1147.7</v>
      </c>
    </row>
    <row r="73" spans="1:4" x14ac:dyDescent="0.3">
      <c r="A73" s="61" t="s">
        <v>112</v>
      </c>
      <c r="B73" s="84">
        <v>0</v>
      </c>
      <c r="C73" s="84">
        <v>518.41999999999996</v>
      </c>
      <c r="D73" s="84">
        <v>-518.41999999999996</v>
      </c>
    </row>
    <row r="74" spans="1:4" x14ac:dyDescent="0.3">
      <c r="A74" s="61" t="s">
        <v>113</v>
      </c>
      <c r="B74" s="84">
        <v>0</v>
      </c>
      <c r="C74" s="84">
        <v>1921.92</v>
      </c>
      <c r="D74" s="84">
        <v>-1921.92</v>
      </c>
    </row>
    <row r="75" spans="1:4" x14ac:dyDescent="0.3">
      <c r="A75" s="61" t="s">
        <v>114</v>
      </c>
      <c r="B75" s="84">
        <v>0</v>
      </c>
      <c r="C75" s="84">
        <v>1269.5999999999999</v>
      </c>
      <c r="D75" s="84">
        <v>-1269.5999999999999</v>
      </c>
    </row>
    <row r="76" spans="1:4" x14ac:dyDescent="0.3">
      <c r="A76" s="61" t="s">
        <v>115</v>
      </c>
      <c r="B76" s="84">
        <v>0</v>
      </c>
      <c r="C76" s="84">
        <v>320</v>
      </c>
      <c r="D76" s="84">
        <v>-320</v>
      </c>
    </row>
    <row r="77" spans="1:4" x14ac:dyDescent="0.3">
      <c r="A77" s="61" t="s">
        <v>116</v>
      </c>
      <c r="B77" s="84">
        <v>0</v>
      </c>
      <c r="C77" s="84">
        <v>985.05</v>
      </c>
      <c r="D77" s="84">
        <v>-985.05</v>
      </c>
    </row>
    <row r="78" spans="1:4" x14ac:dyDescent="0.3">
      <c r="A78" s="61" t="s">
        <v>117</v>
      </c>
      <c r="B78" s="84">
        <v>0</v>
      </c>
      <c r="C78" s="84">
        <v>300</v>
      </c>
      <c r="D78" s="84">
        <v>-300</v>
      </c>
    </row>
    <row r="79" spans="1:4" x14ac:dyDescent="0.3">
      <c r="A79" s="61" t="s">
        <v>118</v>
      </c>
      <c r="B79" s="84">
        <v>0</v>
      </c>
      <c r="C79" s="84">
        <v>2513.65</v>
      </c>
      <c r="D79" s="84">
        <v>-2513.65</v>
      </c>
    </row>
    <row r="80" spans="1:4" x14ac:dyDescent="0.3">
      <c r="A80" s="61" t="s">
        <v>119</v>
      </c>
      <c r="B80" s="84">
        <v>0</v>
      </c>
      <c r="C80" s="84">
        <v>42.5</v>
      </c>
      <c r="D80" s="84">
        <v>-42.5</v>
      </c>
    </row>
    <row r="81" spans="1:4" x14ac:dyDescent="0.3">
      <c r="A81" s="61" t="s">
        <v>120</v>
      </c>
      <c r="B81" s="84">
        <v>0</v>
      </c>
      <c r="C81" s="84">
        <v>642</v>
      </c>
      <c r="D81" s="84">
        <v>-642</v>
      </c>
    </row>
    <row r="82" spans="1:4" x14ac:dyDescent="0.3">
      <c r="A82" s="61" t="s">
        <v>121</v>
      </c>
      <c r="B82" s="84">
        <v>0</v>
      </c>
      <c r="C82" s="84">
        <v>295</v>
      </c>
      <c r="D82" s="84">
        <v>-295</v>
      </c>
    </row>
    <row r="83" spans="1:4" x14ac:dyDescent="0.3">
      <c r="A83" s="61" t="s">
        <v>122</v>
      </c>
      <c r="B83" s="84">
        <v>0</v>
      </c>
      <c r="C83" s="84">
        <v>433.97</v>
      </c>
      <c r="D83" s="84">
        <v>-433.97</v>
      </c>
    </row>
    <row r="84" spans="1:4" x14ac:dyDescent="0.3">
      <c r="A84" s="61" t="s">
        <v>124</v>
      </c>
      <c r="B84" s="84">
        <v>0</v>
      </c>
      <c r="C84" s="84">
        <v>2250.8000000000002</v>
      </c>
      <c r="D84" s="84">
        <v>-2250.8000000000002</v>
      </c>
    </row>
    <row r="85" spans="1:4" x14ac:dyDescent="0.3">
      <c r="A85" s="61" t="s">
        <v>125</v>
      </c>
      <c r="B85" s="84">
        <v>0</v>
      </c>
      <c r="C85" s="84">
        <v>3989.47</v>
      </c>
      <c r="D85" s="84">
        <v>-3989.47</v>
      </c>
    </row>
    <row r="86" spans="1:4" x14ac:dyDescent="0.3">
      <c r="A86" s="61" t="s">
        <v>126</v>
      </c>
      <c r="B86" s="84">
        <v>0</v>
      </c>
      <c r="C86" s="84">
        <v>679.22</v>
      </c>
      <c r="D86" s="84">
        <v>-679.22</v>
      </c>
    </row>
    <row r="87" spans="1:4" x14ac:dyDescent="0.3">
      <c r="A87" s="61" t="s">
        <v>127</v>
      </c>
      <c r="B87" s="84">
        <v>0</v>
      </c>
      <c r="C87" s="84">
        <v>1275</v>
      </c>
      <c r="D87" s="84">
        <v>-1275</v>
      </c>
    </row>
    <row r="88" spans="1:4" x14ac:dyDescent="0.3">
      <c r="A88" s="61" t="s">
        <v>128</v>
      </c>
      <c r="B88" s="84">
        <v>0</v>
      </c>
      <c r="C88" s="84">
        <v>124</v>
      </c>
      <c r="D88" s="84">
        <v>-124</v>
      </c>
    </row>
    <row r="89" spans="1:4" x14ac:dyDescent="0.3">
      <c r="A89" s="61" t="s">
        <v>129</v>
      </c>
      <c r="B89" s="84">
        <v>0</v>
      </c>
      <c r="C89" s="84">
        <v>924.92</v>
      </c>
      <c r="D89" s="84">
        <v>-924.92</v>
      </c>
    </row>
    <row r="90" spans="1:4" x14ac:dyDescent="0.3">
      <c r="A90" s="61" t="s">
        <v>130</v>
      </c>
      <c r="B90" s="84">
        <v>0</v>
      </c>
      <c r="C90" s="84">
        <v>3166.74</v>
      </c>
      <c r="D90" s="84">
        <v>-3166.74</v>
      </c>
    </row>
    <row r="91" spans="1:4" x14ac:dyDescent="0.3">
      <c r="A91" s="61" t="s">
        <v>131</v>
      </c>
      <c r="B91" s="84">
        <v>0</v>
      </c>
      <c r="C91" s="84">
        <v>1619.79</v>
      </c>
      <c r="D91" s="84">
        <v>-1619.79</v>
      </c>
    </row>
    <row r="92" spans="1:4" x14ac:dyDescent="0.3">
      <c r="A92" s="61" t="s">
        <v>132</v>
      </c>
      <c r="B92" s="84">
        <v>0</v>
      </c>
      <c r="C92" s="84">
        <v>1209.4000000000001</v>
      </c>
      <c r="D92" s="84">
        <v>-1209.4000000000001</v>
      </c>
    </row>
    <row r="93" spans="1:4" x14ac:dyDescent="0.3">
      <c r="A93" s="61" t="s">
        <v>133</v>
      </c>
      <c r="B93" s="84">
        <v>0</v>
      </c>
      <c r="C93" s="84">
        <v>2321</v>
      </c>
      <c r="D93" s="84">
        <v>-2321</v>
      </c>
    </row>
    <row r="94" spans="1:4" x14ac:dyDescent="0.3">
      <c r="A94" s="61" t="s">
        <v>134</v>
      </c>
      <c r="B94" s="84">
        <v>0</v>
      </c>
      <c r="C94" s="84">
        <v>698.92</v>
      </c>
      <c r="D94" s="84">
        <v>-698.92</v>
      </c>
    </row>
    <row r="95" spans="1:4" x14ac:dyDescent="0.3">
      <c r="A95" s="61" t="s">
        <v>135</v>
      </c>
      <c r="B95" s="84">
        <v>0</v>
      </c>
      <c r="C95" s="84">
        <v>223</v>
      </c>
      <c r="D95" s="84">
        <v>-223</v>
      </c>
    </row>
    <row r="96" spans="1:4" x14ac:dyDescent="0.3">
      <c r="A96" s="61" t="s">
        <v>136</v>
      </c>
      <c r="B96" s="84">
        <v>0</v>
      </c>
      <c r="C96" s="84">
        <v>6389.92</v>
      </c>
      <c r="D96" s="84">
        <v>-6389.92</v>
      </c>
    </row>
    <row r="97" spans="1:4" x14ac:dyDescent="0.3">
      <c r="A97" s="61" t="s">
        <v>137</v>
      </c>
      <c r="B97" s="84">
        <v>0</v>
      </c>
      <c r="C97" s="84">
        <v>3398.87</v>
      </c>
      <c r="D97" s="84">
        <v>-3398.87</v>
      </c>
    </row>
    <row r="98" spans="1:4" x14ac:dyDescent="0.3">
      <c r="A98" s="61" t="s">
        <v>138</v>
      </c>
      <c r="B98" s="84">
        <v>0</v>
      </c>
      <c r="C98" s="84">
        <v>257</v>
      </c>
      <c r="D98" s="84">
        <v>-257</v>
      </c>
    </row>
    <row r="99" spans="1:4" x14ac:dyDescent="0.3">
      <c r="A99" s="61" t="s">
        <v>139</v>
      </c>
      <c r="B99" s="84">
        <v>0</v>
      </c>
      <c r="C99" s="84">
        <v>351.75</v>
      </c>
      <c r="D99" s="84">
        <v>-351.75</v>
      </c>
    </row>
    <row r="100" spans="1:4" x14ac:dyDescent="0.3">
      <c r="A100" s="61" t="s">
        <v>140</v>
      </c>
      <c r="B100" s="84">
        <v>0</v>
      </c>
      <c r="C100" s="84">
        <v>2555.8200000000002</v>
      </c>
      <c r="D100" s="84">
        <v>-2555.8200000000002</v>
      </c>
    </row>
    <row r="101" spans="1:4" x14ac:dyDescent="0.3">
      <c r="A101" s="61" t="s">
        <v>141</v>
      </c>
      <c r="B101" s="84">
        <v>0</v>
      </c>
      <c r="C101" s="84">
        <v>2960.41</v>
      </c>
      <c r="D101" s="84">
        <v>-2960.41</v>
      </c>
    </row>
    <row r="102" spans="1:4" x14ac:dyDescent="0.3">
      <c r="A102" s="61" t="s">
        <v>142</v>
      </c>
      <c r="B102" s="84">
        <v>0</v>
      </c>
      <c r="C102" s="84">
        <v>1008.48</v>
      </c>
      <c r="D102" s="84">
        <v>-1008.48</v>
      </c>
    </row>
    <row r="103" spans="1:4" x14ac:dyDescent="0.3">
      <c r="A103" s="61" t="s">
        <v>143</v>
      </c>
      <c r="B103" s="84">
        <v>0</v>
      </c>
      <c r="C103" s="84">
        <v>3392.12</v>
      </c>
      <c r="D103" s="84">
        <v>-3392.12</v>
      </c>
    </row>
    <row r="104" spans="1:4" x14ac:dyDescent="0.3">
      <c r="A104" s="61" t="s">
        <v>144</v>
      </c>
      <c r="B104" s="84">
        <v>0</v>
      </c>
      <c r="C104" s="84">
        <v>476.93</v>
      </c>
      <c r="D104" s="84">
        <v>-476.93</v>
      </c>
    </row>
    <row r="105" spans="1:4" x14ac:dyDescent="0.3">
      <c r="A105" s="61" t="s">
        <v>145</v>
      </c>
      <c r="B105" s="84">
        <v>0</v>
      </c>
      <c r="C105" s="84">
        <v>1417.06</v>
      </c>
      <c r="D105" s="84">
        <v>-1417.06</v>
      </c>
    </row>
    <row r="106" spans="1:4" x14ac:dyDescent="0.3">
      <c r="A106" s="61" t="s">
        <v>146</v>
      </c>
      <c r="B106" s="84">
        <v>0</v>
      </c>
      <c r="C106" s="84">
        <v>1327.1</v>
      </c>
      <c r="D106" s="84">
        <v>-1327.1</v>
      </c>
    </row>
    <row r="107" spans="1:4" x14ac:dyDescent="0.3">
      <c r="A107" s="61" t="s">
        <v>147</v>
      </c>
      <c r="B107" s="84">
        <v>0</v>
      </c>
      <c r="C107" s="84">
        <v>584</v>
      </c>
      <c r="D107" s="84">
        <v>-584</v>
      </c>
    </row>
    <row r="108" spans="1:4" x14ac:dyDescent="0.3">
      <c r="A108" s="61" t="s">
        <v>148</v>
      </c>
      <c r="B108" s="84">
        <v>0</v>
      </c>
      <c r="C108" s="84">
        <v>3154.59</v>
      </c>
      <c r="D108" s="84">
        <v>-3154.59</v>
      </c>
    </row>
    <row r="109" spans="1:4" x14ac:dyDescent="0.3">
      <c r="A109" s="61" t="s">
        <v>149</v>
      </c>
      <c r="B109" s="84">
        <v>0</v>
      </c>
      <c r="C109" s="84">
        <v>737.38</v>
      </c>
      <c r="D109" s="84">
        <v>-737.38</v>
      </c>
    </row>
    <row r="110" spans="1:4" x14ac:dyDescent="0.3">
      <c r="A110" s="61" t="s">
        <v>150</v>
      </c>
      <c r="B110" s="84">
        <v>0</v>
      </c>
      <c r="C110" s="84">
        <v>153.4</v>
      </c>
      <c r="D110" s="84">
        <v>-153.4</v>
      </c>
    </row>
    <row r="111" spans="1:4" x14ac:dyDescent="0.3">
      <c r="A111" s="61" t="s">
        <v>151</v>
      </c>
      <c r="B111" s="84">
        <v>0</v>
      </c>
      <c r="C111" s="84">
        <v>138</v>
      </c>
      <c r="D111" s="84">
        <v>-138</v>
      </c>
    </row>
    <row r="112" spans="1:4" x14ac:dyDescent="0.3">
      <c r="A112" s="61" t="s">
        <v>152</v>
      </c>
      <c r="B112" s="84">
        <v>0</v>
      </c>
      <c r="C112" s="84">
        <v>1223.67</v>
      </c>
      <c r="D112" s="84">
        <v>-1223.67</v>
      </c>
    </row>
    <row r="113" spans="1:4" x14ac:dyDescent="0.3">
      <c r="A113" s="61" t="s">
        <v>153</v>
      </c>
      <c r="B113" s="84">
        <v>0</v>
      </c>
      <c r="C113" s="84">
        <v>3281.48</v>
      </c>
      <c r="D113" s="84">
        <v>-3281.48</v>
      </c>
    </row>
    <row r="114" spans="1:4" x14ac:dyDescent="0.3">
      <c r="A114" s="61" t="s">
        <v>154</v>
      </c>
      <c r="B114" s="84">
        <v>0</v>
      </c>
      <c r="C114" s="84">
        <v>2265.25</v>
      </c>
      <c r="D114" s="84">
        <v>-2265.25</v>
      </c>
    </row>
    <row r="115" spans="1:4" x14ac:dyDescent="0.3">
      <c r="A115" s="61" t="s">
        <v>155</v>
      </c>
      <c r="B115" s="84">
        <v>0</v>
      </c>
      <c r="C115" s="84">
        <v>1278.49</v>
      </c>
      <c r="D115" s="84">
        <v>-1278.49</v>
      </c>
    </row>
    <row r="116" spans="1:4" x14ac:dyDescent="0.3">
      <c r="A116" s="61" t="s">
        <v>156</v>
      </c>
      <c r="B116" s="84">
        <v>0</v>
      </c>
      <c r="C116" s="84">
        <v>3156.73</v>
      </c>
      <c r="D116" s="84">
        <v>-3156.73</v>
      </c>
    </row>
    <row r="117" spans="1:4" x14ac:dyDescent="0.3">
      <c r="A117" s="61" t="s">
        <v>157</v>
      </c>
      <c r="B117" s="84">
        <v>0</v>
      </c>
      <c r="C117" s="84">
        <v>765</v>
      </c>
      <c r="D117" s="84">
        <v>-765</v>
      </c>
    </row>
    <row r="118" spans="1:4" x14ac:dyDescent="0.3">
      <c r="A118" s="61" t="s">
        <v>158</v>
      </c>
      <c r="B118" s="84">
        <v>0</v>
      </c>
      <c r="C118" s="84">
        <v>1712.32</v>
      </c>
      <c r="D118" s="84">
        <v>-1712.32</v>
      </c>
    </row>
    <row r="119" spans="1:4" x14ac:dyDescent="0.3">
      <c r="A119" s="61" t="s">
        <v>161</v>
      </c>
      <c r="B119" s="84">
        <v>0</v>
      </c>
      <c r="C119" s="84">
        <v>2051.8200000000002</v>
      </c>
      <c r="D119" s="84">
        <v>-2051.8200000000002</v>
      </c>
    </row>
    <row r="120" spans="1:4" x14ac:dyDescent="0.3">
      <c r="A120" s="61" t="s">
        <v>162</v>
      </c>
      <c r="B120" s="84">
        <v>0</v>
      </c>
      <c r="C120" s="84">
        <v>4412.8500000000004</v>
      </c>
      <c r="D120" s="84">
        <v>-4412.8500000000004</v>
      </c>
    </row>
    <row r="121" spans="1:4" x14ac:dyDescent="0.3">
      <c r="A121" s="61" t="s">
        <v>163</v>
      </c>
      <c r="B121" s="84">
        <v>0</v>
      </c>
      <c r="C121" s="84">
        <v>2485.1</v>
      </c>
      <c r="D121" s="84">
        <v>-2485.1</v>
      </c>
    </row>
    <row r="122" spans="1:4" x14ac:dyDescent="0.3">
      <c r="A122" s="61" t="s">
        <v>164</v>
      </c>
      <c r="B122" s="84">
        <v>0</v>
      </c>
      <c r="C122" s="84">
        <v>1053</v>
      </c>
      <c r="D122" s="84">
        <v>-1053</v>
      </c>
    </row>
    <row r="123" spans="1:4" x14ac:dyDescent="0.3">
      <c r="A123" s="61" t="s">
        <v>165</v>
      </c>
      <c r="B123" s="84">
        <v>0</v>
      </c>
      <c r="C123" s="84">
        <v>3632.49</v>
      </c>
      <c r="D123" s="84">
        <v>-3632.49</v>
      </c>
    </row>
    <row r="124" spans="1:4" x14ac:dyDescent="0.3">
      <c r="A124" s="61" t="s">
        <v>166</v>
      </c>
      <c r="B124" s="84">
        <v>0</v>
      </c>
      <c r="C124" s="84">
        <v>4361.74</v>
      </c>
      <c r="D124" s="84">
        <v>-4361.74</v>
      </c>
    </row>
    <row r="125" spans="1:4" x14ac:dyDescent="0.3">
      <c r="A125" s="61" t="s">
        <v>167</v>
      </c>
      <c r="B125" s="84">
        <v>0</v>
      </c>
      <c r="C125" s="84">
        <v>1924.14</v>
      </c>
      <c r="D125" s="84">
        <v>-1924.14</v>
      </c>
    </row>
    <row r="126" spans="1:4" x14ac:dyDescent="0.3">
      <c r="A126" s="61" t="s">
        <v>168</v>
      </c>
      <c r="B126" s="84">
        <v>0</v>
      </c>
      <c r="C126" s="84">
        <v>2765.46</v>
      </c>
      <c r="D126" s="84">
        <v>-2765.46</v>
      </c>
    </row>
    <row r="127" spans="1:4" x14ac:dyDescent="0.3">
      <c r="A127" s="61" t="s">
        <v>169</v>
      </c>
      <c r="B127" s="84">
        <v>0</v>
      </c>
      <c r="C127" s="84">
        <v>163.5</v>
      </c>
      <c r="D127" s="84">
        <v>-163.5</v>
      </c>
    </row>
    <row r="128" spans="1:4" x14ac:dyDescent="0.3">
      <c r="A128" s="61" t="s">
        <v>170</v>
      </c>
      <c r="B128" s="84">
        <v>0</v>
      </c>
      <c r="C128" s="84">
        <v>2111.4899999999998</v>
      </c>
      <c r="D128" s="84">
        <v>-2111.4899999999998</v>
      </c>
    </row>
    <row r="129" spans="1:4" x14ac:dyDescent="0.3">
      <c r="A129" s="61" t="s">
        <v>171</v>
      </c>
      <c r="B129" s="84">
        <v>0</v>
      </c>
      <c r="C129" s="84">
        <v>1009.25</v>
      </c>
      <c r="D129" s="84">
        <v>-1009.25</v>
      </c>
    </row>
    <row r="130" spans="1:4" x14ac:dyDescent="0.3">
      <c r="A130" s="61" t="s">
        <v>172</v>
      </c>
      <c r="B130" s="84">
        <v>0</v>
      </c>
      <c r="C130" s="84">
        <v>3041.93</v>
      </c>
      <c r="D130" s="84">
        <v>-3041.93</v>
      </c>
    </row>
    <row r="131" spans="1:4" x14ac:dyDescent="0.3">
      <c r="A131" s="61" t="s">
        <v>173</v>
      </c>
      <c r="B131" s="84">
        <v>0</v>
      </c>
      <c r="C131" s="84">
        <v>189.15</v>
      </c>
      <c r="D131" s="84">
        <v>-189.15</v>
      </c>
    </row>
    <row r="132" spans="1:4" x14ac:dyDescent="0.3">
      <c r="A132" s="61" t="s">
        <v>174</v>
      </c>
      <c r="B132" s="84">
        <v>0</v>
      </c>
      <c r="C132" s="84">
        <v>3255.08</v>
      </c>
      <c r="D132" s="84">
        <v>-3255.08</v>
      </c>
    </row>
    <row r="133" spans="1:4" x14ac:dyDescent="0.3">
      <c r="A133" s="61" t="s">
        <v>175</v>
      </c>
      <c r="B133" s="84">
        <v>0</v>
      </c>
      <c r="C133" s="84">
        <v>188.43</v>
      </c>
      <c r="D133" s="84">
        <v>-188.43</v>
      </c>
    </row>
    <row r="134" spans="1:4" x14ac:dyDescent="0.3">
      <c r="A134" s="61" t="s">
        <v>176</v>
      </c>
      <c r="B134" s="84">
        <v>0</v>
      </c>
      <c r="C134" s="84">
        <v>300.60000000000002</v>
      </c>
      <c r="D134" s="84">
        <v>-300.60000000000002</v>
      </c>
    </row>
    <row r="135" spans="1:4" x14ac:dyDescent="0.3">
      <c r="A135" s="61" t="s">
        <v>177</v>
      </c>
      <c r="B135" s="84">
        <v>0</v>
      </c>
      <c r="C135" s="84">
        <v>481.43</v>
      </c>
      <c r="D135" s="84">
        <v>-481.43</v>
      </c>
    </row>
    <row r="136" spans="1:4" x14ac:dyDescent="0.3">
      <c r="A136" s="61" t="s">
        <v>178</v>
      </c>
      <c r="B136" s="84">
        <v>0</v>
      </c>
      <c r="C136" s="84">
        <v>368.04</v>
      </c>
      <c r="D136" s="84">
        <v>-368.04</v>
      </c>
    </row>
    <row r="137" spans="1:4" x14ac:dyDescent="0.3">
      <c r="A137" s="61" t="s">
        <v>179</v>
      </c>
      <c r="B137" s="84">
        <v>0</v>
      </c>
      <c r="C137" s="84">
        <v>1143.4000000000001</v>
      </c>
      <c r="D137" s="84">
        <v>-1143.4000000000001</v>
      </c>
    </row>
    <row r="138" spans="1:4" x14ac:dyDescent="0.3">
      <c r="A138" s="61" t="s">
        <v>180</v>
      </c>
      <c r="B138" s="84">
        <v>0</v>
      </c>
      <c r="C138" s="84">
        <v>167.81</v>
      </c>
      <c r="D138" s="84">
        <v>-167.81</v>
      </c>
    </row>
    <row r="139" spans="1:4" x14ac:dyDescent="0.3">
      <c r="A139" s="61" t="s">
        <v>181</v>
      </c>
      <c r="B139" s="84">
        <v>0</v>
      </c>
      <c r="C139" s="84">
        <v>428.4</v>
      </c>
      <c r="D139" s="84">
        <v>-428.4</v>
      </c>
    </row>
    <row r="140" spans="1:4" x14ac:dyDescent="0.3">
      <c r="A140" s="61" t="s">
        <v>182</v>
      </c>
      <c r="B140" s="84">
        <v>0</v>
      </c>
      <c r="C140" s="84">
        <v>700</v>
      </c>
      <c r="D140" s="84">
        <v>-700</v>
      </c>
    </row>
    <row r="141" spans="1:4" x14ac:dyDescent="0.3">
      <c r="A141" s="61" t="s">
        <v>183</v>
      </c>
      <c r="B141" s="84">
        <v>0</v>
      </c>
      <c r="C141" s="84">
        <v>916.5</v>
      </c>
      <c r="D141" s="84">
        <v>-916.5</v>
      </c>
    </row>
    <row r="142" spans="1:4" x14ac:dyDescent="0.3">
      <c r="A142" s="61" t="s">
        <v>184</v>
      </c>
      <c r="B142" s="84">
        <v>0</v>
      </c>
      <c r="C142" s="84">
        <v>1750.58</v>
      </c>
      <c r="D142" s="84">
        <v>-1750.58</v>
      </c>
    </row>
    <row r="143" spans="1:4" x14ac:dyDescent="0.3">
      <c r="A143" s="61" t="s">
        <v>185</v>
      </c>
      <c r="B143" s="84">
        <v>0</v>
      </c>
      <c r="C143" s="84">
        <v>560</v>
      </c>
      <c r="D143" s="84">
        <v>-560</v>
      </c>
    </row>
    <row r="144" spans="1:4" x14ac:dyDescent="0.3">
      <c r="A144" s="61" t="s">
        <v>186</v>
      </c>
      <c r="B144" s="84">
        <v>0</v>
      </c>
      <c r="C144" s="84">
        <v>350</v>
      </c>
      <c r="D144" s="84">
        <v>-350</v>
      </c>
    </row>
    <row r="145" spans="1:4" x14ac:dyDescent="0.3">
      <c r="A145" s="61" t="s">
        <v>187</v>
      </c>
      <c r="B145" s="84">
        <v>0</v>
      </c>
      <c r="C145" s="84">
        <v>2053</v>
      </c>
      <c r="D145" s="84">
        <v>-2053</v>
      </c>
    </row>
    <row r="146" spans="1:4" x14ac:dyDescent="0.3">
      <c r="A146" s="61" t="s">
        <v>188</v>
      </c>
      <c r="B146" s="84">
        <v>0</v>
      </c>
      <c r="C146" s="84">
        <v>1404.01</v>
      </c>
      <c r="D146" s="84">
        <v>-1404.01</v>
      </c>
    </row>
    <row r="147" spans="1:4" x14ac:dyDescent="0.3">
      <c r="A147" s="61" t="s">
        <v>189</v>
      </c>
      <c r="B147" s="84">
        <v>0</v>
      </c>
      <c r="C147" s="84">
        <v>2343.3000000000002</v>
      </c>
      <c r="D147" s="84">
        <v>-2343.3000000000002</v>
      </c>
    </row>
    <row r="148" spans="1:4" x14ac:dyDescent="0.3">
      <c r="A148" s="61" t="s">
        <v>191</v>
      </c>
      <c r="B148" s="84">
        <v>0</v>
      </c>
      <c r="C148" s="84">
        <v>10607</v>
      </c>
      <c r="D148" s="84">
        <v>-10607</v>
      </c>
    </row>
    <row r="149" spans="1:4" x14ac:dyDescent="0.3">
      <c r="A149" s="61" t="s">
        <v>193</v>
      </c>
      <c r="B149" s="84">
        <v>0</v>
      </c>
      <c r="C149" s="84">
        <v>359</v>
      </c>
      <c r="D149" s="84">
        <v>-359</v>
      </c>
    </row>
    <row r="150" spans="1:4" x14ac:dyDescent="0.3">
      <c r="A150" s="61" t="s">
        <v>194</v>
      </c>
      <c r="B150" s="84">
        <v>0</v>
      </c>
      <c r="C150" s="84">
        <v>337.5</v>
      </c>
      <c r="D150" s="84">
        <v>-337.5</v>
      </c>
    </row>
    <row r="151" spans="1:4" x14ac:dyDescent="0.3">
      <c r="A151" s="61" t="s">
        <v>195</v>
      </c>
      <c r="B151" s="84">
        <v>0</v>
      </c>
      <c r="C151" s="84">
        <v>1104.24</v>
      </c>
      <c r="D151" s="84">
        <v>-1104.24</v>
      </c>
    </row>
    <row r="152" spans="1:4" x14ac:dyDescent="0.3">
      <c r="A152" s="61" t="s">
        <v>196</v>
      </c>
      <c r="B152" s="84">
        <v>0</v>
      </c>
      <c r="C152" s="84">
        <v>2302.9899999999998</v>
      </c>
      <c r="D152" s="84">
        <v>-2302.9899999999998</v>
      </c>
    </row>
    <row r="153" spans="1:4" x14ac:dyDescent="0.3">
      <c r="A153" s="61" t="s">
        <v>197</v>
      </c>
      <c r="B153" s="84">
        <v>0</v>
      </c>
      <c r="C153" s="84">
        <v>3186.28</v>
      </c>
      <c r="D153" s="84">
        <v>-3186.28</v>
      </c>
    </row>
    <row r="154" spans="1:4" x14ac:dyDescent="0.3">
      <c r="A154" s="61" t="s">
        <v>198</v>
      </c>
      <c r="B154" s="84">
        <v>0</v>
      </c>
      <c r="C154" s="84">
        <v>589.48</v>
      </c>
      <c r="D154" s="84">
        <v>-589.48</v>
      </c>
    </row>
    <row r="155" spans="1:4" x14ac:dyDescent="0.3">
      <c r="A155" s="61" t="s">
        <v>199</v>
      </c>
      <c r="B155" s="84">
        <v>0</v>
      </c>
      <c r="C155" s="84">
        <v>940</v>
      </c>
      <c r="D155" s="84">
        <v>-940</v>
      </c>
    </row>
    <row r="156" spans="1:4" x14ac:dyDescent="0.3">
      <c r="A156" s="61" t="s">
        <v>200</v>
      </c>
      <c r="B156" s="84">
        <v>0</v>
      </c>
      <c r="C156" s="84">
        <v>500.76</v>
      </c>
      <c r="D156" s="84">
        <v>-500.76</v>
      </c>
    </row>
    <row r="157" spans="1:4" x14ac:dyDescent="0.3">
      <c r="A157" s="61" t="s">
        <v>201</v>
      </c>
      <c r="B157" s="84">
        <v>0</v>
      </c>
      <c r="C157" s="84">
        <v>840</v>
      </c>
      <c r="D157" s="84">
        <v>-840</v>
      </c>
    </row>
    <row r="158" spans="1:4" x14ac:dyDescent="0.3">
      <c r="A158" s="61" t="s">
        <v>202</v>
      </c>
      <c r="B158" s="84">
        <v>0</v>
      </c>
      <c r="C158" s="84">
        <v>274.10000000000002</v>
      </c>
      <c r="D158" s="84">
        <v>-274.10000000000002</v>
      </c>
    </row>
    <row r="159" spans="1:4" x14ac:dyDescent="0.3">
      <c r="A159" s="61" t="s">
        <v>203</v>
      </c>
      <c r="B159" s="84">
        <v>0</v>
      </c>
      <c r="C159" s="84">
        <v>108</v>
      </c>
      <c r="D159" s="84">
        <v>-108</v>
      </c>
    </row>
    <row r="160" spans="1:4" x14ac:dyDescent="0.3">
      <c r="A160" s="61" t="s">
        <v>204</v>
      </c>
      <c r="B160" s="84">
        <v>0</v>
      </c>
      <c r="C160" s="84">
        <v>305</v>
      </c>
      <c r="D160" s="84">
        <v>-305</v>
      </c>
    </row>
    <row r="161" spans="1:4" x14ac:dyDescent="0.3">
      <c r="A161" s="61" t="s">
        <v>205</v>
      </c>
      <c r="B161" s="84">
        <v>0</v>
      </c>
      <c r="C161" s="84">
        <v>438</v>
      </c>
      <c r="D161" s="84">
        <v>-438</v>
      </c>
    </row>
    <row r="162" spans="1:4" x14ac:dyDescent="0.3">
      <c r="A162" s="61" t="s">
        <v>206</v>
      </c>
      <c r="B162" s="84">
        <v>0</v>
      </c>
      <c r="C162" s="84">
        <v>363.33</v>
      </c>
      <c r="D162" s="84">
        <v>-363.33</v>
      </c>
    </row>
    <row r="163" spans="1:4" x14ac:dyDescent="0.3">
      <c r="A163" s="61" t="s">
        <v>207</v>
      </c>
      <c r="B163" s="84">
        <v>0</v>
      </c>
      <c r="C163" s="84">
        <v>168</v>
      </c>
      <c r="D163" s="84">
        <v>-168</v>
      </c>
    </row>
    <row r="164" spans="1:4" x14ac:dyDescent="0.3">
      <c r="A164" s="61" t="s">
        <v>208</v>
      </c>
      <c r="B164" s="84">
        <v>0</v>
      </c>
      <c r="C164" s="84">
        <v>548.44000000000005</v>
      </c>
      <c r="D164" s="84">
        <v>-548.44000000000005</v>
      </c>
    </row>
    <row r="165" spans="1:4" x14ac:dyDescent="0.3">
      <c r="A165" s="61" t="s">
        <v>209</v>
      </c>
      <c r="B165" s="84">
        <v>0</v>
      </c>
      <c r="C165" s="84">
        <v>617.16999999999996</v>
      </c>
      <c r="D165" s="84">
        <v>-617.16999999999996</v>
      </c>
    </row>
    <row r="166" spans="1:4" x14ac:dyDescent="0.3">
      <c r="A166" s="61" t="s">
        <v>210</v>
      </c>
      <c r="B166" s="84">
        <v>0</v>
      </c>
      <c r="C166" s="84">
        <v>1104.23</v>
      </c>
      <c r="D166" s="84">
        <v>-1104.23</v>
      </c>
    </row>
    <row r="167" spans="1:4" x14ac:dyDescent="0.3">
      <c r="A167" s="61" t="s">
        <v>211</v>
      </c>
      <c r="B167" s="84">
        <v>0</v>
      </c>
      <c r="C167" s="84">
        <v>1898.25</v>
      </c>
      <c r="D167" s="84">
        <v>-1898.25</v>
      </c>
    </row>
    <row r="168" spans="1:4" x14ac:dyDescent="0.3">
      <c r="A168" s="61" t="s">
        <v>212</v>
      </c>
      <c r="B168" s="84">
        <v>0</v>
      </c>
      <c r="C168" s="84">
        <v>885</v>
      </c>
      <c r="D168" s="84">
        <v>-885</v>
      </c>
    </row>
    <row r="169" spans="1:4" x14ac:dyDescent="0.3">
      <c r="A169" s="61" t="s">
        <v>213</v>
      </c>
      <c r="B169" s="84">
        <v>0</v>
      </c>
      <c r="C169" s="84">
        <v>324</v>
      </c>
      <c r="D169" s="84">
        <v>-324</v>
      </c>
    </row>
    <row r="170" spans="1:4" x14ac:dyDescent="0.3">
      <c r="A170" s="61" t="s">
        <v>214</v>
      </c>
      <c r="B170" s="84">
        <v>0</v>
      </c>
      <c r="C170" s="84">
        <v>647.82000000000005</v>
      </c>
      <c r="D170" s="84">
        <v>-647.82000000000005</v>
      </c>
    </row>
    <row r="171" spans="1:4" x14ac:dyDescent="0.3">
      <c r="A171" s="61" t="s">
        <v>215</v>
      </c>
      <c r="B171" s="84">
        <v>0</v>
      </c>
      <c r="C171" s="84">
        <v>702.81</v>
      </c>
      <c r="D171" s="84">
        <v>-702.81</v>
      </c>
    </row>
    <row r="172" spans="1:4" x14ac:dyDescent="0.3">
      <c r="A172" s="61" t="s">
        <v>216</v>
      </c>
      <c r="B172" s="84">
        <v>0</v>
      </c>
      <c r="C172" s="84">
        <v>1251.08</v>
      </c>
      <c r="D172" s="84">
        <v>-1251.08</v>
      </c>
    </row>
    <row r="173" spans="1:4" x14ac:dyDescent="0.3">
      <c r="A173" s="61" t="s">
        <v>217</v>
      </c>
      <c r="B173" s="84">
        <v>0</v>
      </c>
      <c r="C173" s="84">
        <v>2046</v>
      </c>
      <c r="D173" s="84">
        <v>-2046</v>
      </c>
    </row>
    <row r="174" spans="1:4" x14ac:dyDescent="0.3">
      <c r="A174" s="61" t="s">
        <v>218</v>
      </c>
      <c r="B174" s="84">
        <v>0</v>
      </c>
      <c r="C174" s="84">
        <v>330</v>
      </c>
      <c r="D174" s="84">
        <v>-330</v>
      </c>
    </row>
    <row r="175" spans="1:4" x14ac:dyDescent="0.3">
      <c r="A175" s="61" t="s">
        <v>219</v>
      </c>
      <c r="B175" s="84">
        <v>0</v>
      </c>
      <c r="C175" s="84">
        <v>348</v>
      </c>
      <c r="D175" s="84">
        <v>-348</v>
      </c>
    </row>
    <row r="176" spans="1:4" x14ac:dyDescent="0.3">
      <c r="A176" s="61" t="s">
        <v>220</v>
      </c>
      <c r="B176" s="84">
        <v>0</v>
      </c>
      <c r="C176" s="84">
        <v>975</v>
      </c>
      <c r="D176" s="84">
        <v>-975</v>
      </c>
    </row>
    <row r="177" spans="1:4" x14ac:dyDescent="0.3">
      <c r="A177" s="61" t="s">
        <v>221</v>
      </c>
      <c r="B177" s="84">
        <v>0</v>
      </c>
      <c r="C177" s="84">
        <v>234</v>
      </c>
      <c r="D177" s="84">
        <v>-234</v>
      </c>
    </row>
    <row r="178" spans="1:4" x14ac:dyDescent="0.3">
      <c r="A178" s="61" t="s">
        <v>222</v>
      </c>
      <c r="B178" s="84">
        <v>0</v>
      </c>
      <c r="C178" s="84">
        <v>702.34</v>
      </c>
      <c r="D178" s="84">
        <v>-702.34</v>
      </c>
    </row>
    <row r="179" spans="1:4" x14ac:dyDescent="0.3">
      <c r="A179" s="61" t="s">
        <v>223</v>
      </c>
      <c r="B179" s="84">
        <v>0</v>
      </c>
      <c r="C179" s="84">
        <v>120</v>
      </c>
      <c r="D179" s="84">
        <v>-120</v>
      </c>
    </row>
    <row r="180" spans="1:4" x14ac:dyDescent="0.3">
      <c r="A180" s="61" t="s">
        <v>224</v>
      </c>
      <c r="B180" s="84">
        <v>0</v>
      </c>
      <c r="C180" s="84">
        <v>355.81</v>
      </c>
      <c r="D180" s="84">
        <v>-355.81</v>
      </c>
    </row>
    <row r="181" spans="1:4" x14ac:dyDescent="0.3">
      <c r="A181" s="61" t="s">
        <v>231</v>
      </c>
      <c r="B181" s="84">
        <v>0</v>
      </c>
      <c r="C181" s="84">
        <v>6238.96</v>
      </c>
      <c r="D181" s="84">
        <v>-6238.96</v>
      </c>
    </row>
    <row r="182" spans="1:4" x14ac:dyDescent="0.3">
      <c r="A182" s="61" t="s">
        <v>233</v>
      </c>
      <c r="B182" s="84">
        <v>0</v>
      </c>
      <c r="C182" s="84">
        <v>300.02</v>
      </c>
      <c r="D182" s="84">
        <v>-300.02</v>
      </c>
    </row>
    <row r="183" spans="1:4" x14ac:dyDescent="0.3">
      <c r="A183" s="61" t="s">
        <v>234</v>
      </c>
      <c r="B183" s="84">
        <v>0</v>
      </c>
      <c r="C183" s="84">
        <v>187</v>
      </c>
      <c r="D183" s="84">
        <v>-187</v>
      </c>
    </row>
    <row r="184" spans="1:4" x14ac:dyDescent="0.3">
      <c r="A184" s="61" t="s">
        <v>235</v>
      </c>
      <c r="B184" s="84">
        <v>0</v>
      </c>
      <c r="C184" s="84">
        <v>1154.78</v>
      </c>
      <c r="D184" s="84">
        <v>-1154.78</v>
      </c>
    </row>
    <row r="185" spans="1:4" x14ac:dyDescent="0.3">
      <c r="A185" s="61" t="s">
        <v>236</v>
      </c>
      <c r="B185" s="84">
        <v>0</v>
      </c>
      <c r="C185" s="84">
        <v>637.51</v>
      </c>
      <c r="D185" s="84">
        <v>-637.51</v>
      </c>
    </row>
    <row r="186" spans="1:4" x14ac:dyDescent="0.3">
      <c r="A186" s="61" t="s">
        <v>237</v>
      </c>
      <c r="B186" s="84">
        <v>0</v>
      </c>
      <c r="C186" s="84">
        <v>1816</v>
      </c>
      <c r="D186" s="84">
        <v>-1816</v>
      </c>
    </row>
    <row r="187" spans="1:4" x14ac:dyDescent="0.3">
      <c r="A187" s="61" t="s">
        <v>238</v>
      </c>
      <c r="B187" s="84">
        <v>0</v>
      </c>
      <c r="C187" s="84">
        <v>788.88</v>
      </c>
      <c r="D187" s="84">
        <v>-788.88</v>
      </c>
    </row>
    <row r="188" spans="1:4" x14ac:dyDescent="0.3">
      <c r="A188" s="61" t="s">
        <v>239</v>
      </c>
      <c r="B188" s="84">
        <v>0</v>
      </c>
      <c r="C188" s="84">
        <v>4080.72</v>
      </c>
      <c r="D188" s="84">
        <v>-4080.72</v>
      </c>
    </row>
    <row r="189" spans="1:4" x14ac:dyDescent="0.3">
      <c r="A189" s="61" t="s">
        <v>240</v>
      </c>
      <c r="B189" s="84">
        <v>0</v>
      </c>
      <c r="C189" s="84">
        <v>2240.4</v>
      </c>
      <c r="D189" s="84">
        <v>-2240.4</v>
      </c>
    </row>
    <row r="190" spans="1:4" x14ac:dyDescent="0.3">
      <c r="A190" s="61" t="s">
        <v>241</v>
      </c>
      <c r="B190" s="84">
        <v>0</v>
      </c>
      <c r="C190" s="84">
        <v>489.6</v>
      </c>
      <c r="D190" s="84">
        <v>-489.6</v>
      </c>
    </row>
    <row r="191" spans="1:4" x14ac:dyDescent="0.3">
      <c r="A191" s="61" t="s">
        <v>242</v>
      </c>
      <c r="B191" s="84">
        <v>0</v>
      </c>
      <c r="C191" s="84">
        <v>750</v>
      </c>
      <c r="D191" s="84">
        <v>-750</v>
      </c>
    </row>
    <row r="192" spans="1:4" x14ac:dyDescent="0.3">
      <c r="A192" s="61" t="s">
        <v>243</v>
      </c>
      <c r="B192" s="84">
        <v>0</v>
      </c>
      <c r="C192" s="84">
        <v>3595.21</v>
      </c>
      <c r="D192" s="84">
        <v>-3595.21</v>
      </c>
    </row>
    <row r="193" spans="1:4" x14ac:dyDescent="0.3">
      <c r="A193" s="61" t="s">
        <v>244</v>
      </c>
      <c r="B193" s="84">
        <v>0</v>
      </c>
      <c r="C193" s="84">
        <v>877.99</v>
      </c>
      <c r="D193" s="84">
        <v>-877.99</v>
      </c>
    </row>
    <row r="194" spans="1:4" x14ac:dyDescent="0.3">
      <c r="A194" s="61" t="s">
        <v>245</v>
      </c>
      <c r="B194" s="84">
        <v>0</v>
      </c>
      <c r="C194" s="84">
        <v>1505.5</v>
      </c>
      <c r="D194" s="84">
        <v>-1505.5</v>
      </c>
    </row>
    <row r="195" spans="1:4" x14ac:dyDescent="0.3">
      <c r="A195" s="61" t="s">
        <v>246</v>
      </c>
      <c r="B195" s="84">
        <v>0</v>
      </c>
      <c r="C195" s="84">
        <v>248.5</v>
      </c>
      <c r="D195" s="84">
        <v>-248.5</v>
      </c>
    </row>
    <row r="196" spans="1:4" x14ac:dyDescent="0.3">
      <c r="A196" s="61" t="s">
        <v>247</v>
      </c>
      <c r="B196" s="84">
        <v>0</v>
      </c>
      <c r="C196" s="84">
        <v>887.3</v>
      </c>
      <c r="D196" s="84">
        <v>-887.3</v>
      </c>
    </row>
    <row r="197" spans="1:4" x14ac:dyDescent="0.3">
      <c r="A197" s="61" t="s">
        <v>248</v>
      </c>
      <c r="B197" s="84">
        <v>0</v>
      </c>
      <c r="C197" s="84">
        <v>1593.51</v>
      </c>
      <c r="D197" s="84">
        <v>-1593.51</v>
      </c>
    </row>
    <row r="198" spans="1:4" x14ac:dyDescent="0.3">
      <c r="A198" s="61" t="s">
        <v>249</v>
      </c>
      <c r="B198" s="84">
        <v>0</v>
      </c>
      <c r="C198" s="84">
        <v>170</v>
      </c>
      <c r="D198" s="84">
        <v>-170</v>
      </c>
    </row>
    <row r="199" spans="1:4" x14ac:dyDescent="0.3">
      <c r="A199" s="61" t="s">
        <v>250</v>
      </c>
      <c r="B199" s="84">
        <v>0</v>
      </c>
      <c r="C199" s="84">
        <v>7227.65</v>
      </c>
      <c r="D199" s="84">
        <v>-7227.65</v>
      </c>
    </row>
    <row r="200" spans="1:4" x14ac:dyDescent="0.3">
      <c r="A200" s="61" t="s">
        <v>251</v>
      </c>
      <c r="B200" s="84">
        <v>0</v>
      </c>
      <c r="C200" s="84">
        <v>5731.15</v>
      </c>
      <c r="D200" s="84">
        <v>-5731.15</v>
      </c>
    </row>
    <row r="201" spans="1:4" x14ac:dyDescent="0.3">
      <c r="A201" s="61" t="s">
        <v>252</v>
      </c>
      <c r="B201" s="84">
        <v>0</v>
      </c>
      <c r="C201" s="84">
        <v>1642</v>
      </c>
      <c r="D201" s="84">
        <v>-1642</v>
      </c>
    </row>
    <row r="202" spans="1:4" x14ac:dyDescent="0.3">
      <c r="A202" s="61" t="s">
        <v>253</v>
      </c>
      <c r="B202" s="84">
        <v>0</v>
      </c>
      <c r="C202" s="84">
        <v>494.53</v>
      </c>
      <c r="D202" s="84">
        <v>-494.53</v>
      </c>
    </row>
    <row r="203" spans="1:4" x14ac:dyDescent="0.3">
      <c r="A203" s="61" t="s">
        <v>254</v>
      </c>
      <c r="B203" s="84">
        <v>0</v>
      </c>
      <c r="C203" s="84">
        <v>863</v>
      </c>
      <c r="D203" s="84">
        <v>-863</v>
      </c>
    </row>
    <row r="204" spans="1:4" x14ac:dyDescent="0.3">
      <c r="A204" s="61" t="s">
        <v>255</v>
      </c>
      <c r="B204" s="84">
        <v>0</v>
      </c>
      <c r="C204" s="84">
        <v>3735.33</v>
      </c>
      <c r="D204" s="84">
        <v>-3735.33</v>
      </c>
    </row>
    <row r="205" spans="1:4" x14ac:dyDescent="0.3">
      <c r="A205" s="61" t="s">
        <v>256</v>
      </c>
      <c r="B205" s="84">
        <v>0</v>
      </c>
      <c r="C205" s="84">
        <v>1008.18</v>
      </c>
      <c r="D205" s="84">
        <v>-1008.18</v>
      </c>
    </row>
    <row r="206" spans="1:4" x14ac:dyDescent="0.3">
      <c r="A206" s="61" t="s">
        <v>257</v>
      </c>
      <c r="B206" s="84">
        <v>0</v>
      </c>
      <c r="C206" s="84">
        <v>2732.44</v>
      </c>
      <c r="D206" s="84">
        <v>-2732.44</v>
      </c>
    </row>
    <row r="207" spans="1:4" x14ac:dyDescent="0.3">
      <c r="A207" s="61" t="s">
        <v>258</v>
      </c>
      <c r="B207" s="84">
        <v>0</v>
      </c>
      <c r="C207" s="84">
        <v>468.75</v>
      </c>
      <c r="D207" s="84">
        <v>-468.75</v>
      </c>
    </row>
    <row r="208" spans="1:4" x14ac:dyDescent="0.3">
      <c r="A208" s="61" t="s">
        <v>259</v>
      </c>
      <c r="B208" s="84">
        <v>0</v>
      </c>
      <c r="C208" s="84">
        <v>128.19999999999999</v>
      </c>
      <c r="D208" s="84">
        <v>-128.19999999999999</v>
      </c>
    </row>
    <row r="209" spans="1:4" x14ac:dyDescent="0.3">
      <c r="A209" s="61" t="s">
        <v>260</v>
      </c>
      <c r="B209" s="84">
        <v>0</v>
      </c>
      <c r="C209" s="84">
        <v>777.72</v>
      </c>
      <c r="D209" s="84">
        <v>-777.72</v>
      </c>
    </row>
    <row r="210" spans="1:4" x14ac:dyDescent="0.3">
      <c r="A210" s="61" t="s">
        <v>261</v>
      </c>
      <c r="B210" s="84">
        <v>0</v>
      </c>
      <c r="C210" s="84">
        <v>742.42</v>
      </c>
      <c r="D210" s="84">
        <v>-742.42</v>
      </c>
    </row>
    <row r="211" spans="1:4" x14ac:dyDescent="0.3">
      <c r="A211" s="61" t="s">
        <v>262</v>
      </c>
      <c r="B211" s="84">
        <v>0</v>
      </c>
      <c r="C211" s="84">
        <v>1248.3</v>
      </c>
      <c r="D211" s="84">
        <v>-1248.3</v>
      </c>
    </row>
    <row r="212" spans="1:4" x14ac:dyDescent="0.3">
      <c r="A212" s="61" t="s">
        <v>263</v>
      </c>
      <c r="B212" s="84">
        <v>0</v>
      </c>
      <c r="C212" s="84">
        <v>1219.55</v>
      </c>
      <c r="D212" s="84">
        <v>-1219.55</v>
      </c>
    </row>
    <row r="213" spans="1:4" x14ac:dyDescent="0.3">
      <c r="A213" s="61" t="s">
        <v>264</v>
      </c>
      <c r="B213" s="84">
        <v>0</v>
      </c>
      <c r="C213" s="84">
        <v>1593.95</v>
      </c>
      <c r="D213" s="84">
        <v>-1593.95</v>
      </c>
    </row>
    <row r="214" spans="1:4" x14ac:dyDescent="0.3">
      <c r="A214" s="61" t="s">
        <v>265</v>
      </c>
      <c r="B214" s="84">
        <v>0</v>
      </c>
      <c r="C214" s="84">
        <v>351.15</v>
      </c>
      <c r="D214" s="84">
        <v>-351.15</v>
      </c>
    </row>
    <row r="215" spans="1:4" x14ac:dyDescent="0.3">
      <c r="A215" s="61" t="s">
        <v>266</v>
      </c>
      <c r="B215" s="84">
        <v>0</v>
      </c>
      <c r="C215" s="84">
        <v>1944.6</v>
      </c>
      <c r="D215" s="84">
        <v>-1944.6</v>
      </c>
    </row>
    <row r="216" spans="1:4" x14ac:dyDescent="0.3">
      <c r="A216" s="61" t="s">
        <v>267</v>
      </c>
      <c r="B216" s="84">
        <v>0</v>
      </c>
      <c r="C216" s="84">
        <v>1489.79</v>
      </c>
      <c r="D216" s="84">
        <v>-1489.79</v>
      </c>
    </row>
    <row r="217" spans="1:4" x14ac:dyDescent="0.3">
      <c r="A217" s="61" t="s">
        <v>268</v>
      </c>
      <c r="B217" s="84">
        <v>0</v>
      </c>
      <c r="C217" s="84">
        <v>289</v>
      </c>
      <c r="D217" s="84">
        <v>-289</v>
      </c>
    </row>
    <row r="218" spans="1:4" x14ac:dyDescent="0.3">
      <c r="A218" s="61" t="s">
        <v>269</v>
      </c>
      <c r="B218" s="84">
        <v>0</v>
      </c>
      <c r="C218" s="84">
        <v>1605.96</v>
      </c>
      <c r="D218" s="84">
        <v>-1605.96</v>
      </c>
    </row>
    <row r="219" spans="1:4" x14ac:dyDescent="0.3">
      <c r="A219" s="61" t="s">
        <v>270</v>
      </c>
      <c r="B219" s="84">
        <v>0</v>
      </c>
      <c r="C219" s="84">
        <v>347.86</v>
      </c>
      <c r="D219" s="84">
        <v>-347.86</v>
      </c>
    </row>
    <row r="220" spans="1:4" x14ac:dyDescent="0.3">
      <c r="A220" s="61" t="s">
        <v>271</v>
      </c>
      <c r="B220" s="84">
        <v>0</v>
      </c>
      <c r="C220" s="84">
        <v>2448.1999999999998</v>
      </c>
      <c r="D220" s="84">
        <v>-2448.1999999999998</v>
      </c>
    </row>
    <row r="221" spans="1:4" x14ac:dyDescent="0.3">
      <c r="A221" s="61" t="s">
        <v>272</v>
      </c>
      <c r="B221" s="84">
        <v>0</v>
      </c>
      <c r="C221" s="84">
        <v>461.1</v>
      </c>
      <c r="D221" s="84">
        <v>-461.1</v>
      </c>
    </row>
    <row r="222" spans="1:4" x14ac:dyDescent="0.3">
      <c r="A222" s="61" t="s">
        <v>273</v>
      </c>
      <c r="B222" s="84">
        <v>0</v>
      </c>
      <c r="C222" s="84">
        <v>1119.18</v>
      </c>
      <c r="D222" s="84">
        <v>-1119.18</v>
      </c>
    </row>
    <row r="223" spans="1:4" x14ac:dyDescent="0.3">
      <c r="A223" s="61" t="s">
        <v>274</v>
      </c>
      <c r="B223" s="84">
        <v>0</v>
      </c>
      <c r="C223" s="84">
        <v>240</v>
      </c>
      <c r="D223" s="84">
        <v>-240</v>
      </c>
    </row>
    <row r="224" spans="1:4" x14ac:dyDescent="0.3">
      <c r="A224" s="61" t="s">
        <v>275</v>
      </c>
      <c r="B224" s="84">
        <v>0</v>
      </c>
      <c r="C224" s="84">
        <v>1560.19</v>
      </c>
      <c r="D224" s="84">
        <v>-1560.19</v>
      </c>
    </row>
    <row r="225" spans="1:4" x14ac:dyDescent="0.3">
      <c r="A225" s="61" t="s">
        <v>276</v>
      </c>
      <c r="B225" s="84">
        <v>0</v>
      </c>
      <c r="C225" s="84">
        <v>84</v>
      </c>
      <c r="D225" s="84">
        <v>-84</v>
      </c>
    </row>
    <row r="226" spans="1:4" x14ac:dyDescent="0.3">
      <c r="A226" s="61" t="s">
        <v>277</v>
      </c>
      <c r="B226" s="84">
        <v>0</v>
      </c>
      <c r="C226" s="84">
        <v>2000</v>
      </c>
      <c r="D226" s="84">
        <v>-2000</v>
      </c>
    </row>
    <row r="227" spans="1:4" x14ac:dyDescent="0.3">
      <c r="A227" s="61" t="s">
        <v>278</v>
      </c>
      <c r="B227" s="84">
        <v>0</v>
      </c>
      <c r="C227" s="84">
        <v>279.64999999999998</v>
      </c>
      <c r="D227" s="84">
        <v>-279.64999999999998</v>
      </c>
    </row>
    <row r="228" spans="1:4" x14ac:dyDescent="0.3">
      <c r="A228" s="61" t="s">
        <v>279</v>
      </c>
      <c r="B228" s="84">
        <v>0</v>
      </c>
      <c r="C228" s="84">
        <v>3053.83</v>
      </c>
      <c r="D228" s="84">
        <v>-3053.83</v>
      </c>
    </row>
    <row r="229" spans="1:4" x14ac:dyDescent="0.3">
      <c r="A229" s="61" t="s">
        <v>280</v>
      </c>
      <c r="B229" s="84">
        <v>0</v>
      </c>
      <c r="C229" s="84">
        <v>2854.79</v>
      </c>
      <c r="D229" s="84">
        <v>-2854.79</v>
      </c>
    </row>
    <row r="230" spans="1:4" x14ac:dyDescent="0.3">
      <c r="A230" s="61" t="s">
        <v>281</v>
      </c>
      <c r="B230" s="84">
        <v>0</v>
      </c>
      <c r="C230" s="84">
        <v>851</v>
      </c>
      <c r="D230" s="84">
        <v>-851</v>
      </c>
    </row>
    <row r="231" spans="1:4" x14ac:dyDescent="0.3">
      <c r="A231" s="61" t="s">
        <v>282</v>
      </c>
      <c r="B231" s="84">
        <v>0</v>
      </c>
      <c r="C231" s="84">
        <v>5198.21</v>
      </c>
      <c r="D231" s="84">
        <v>-5198.21</v>
      </c>
    </row>
    <row r="232" spans="1:4" x14ac:dyDescent="0.3">
      <c r="A232" s="61" t="s">
        <v>283</v>
      </c>
      <c r="B232" s="84">
        <v>0</v>
      </c>
      <c r="C232" s="84">
        <v>1262.75</v>
      </c>
      <c r="D232" s="84">
        <v>-1262.75</v>
      </c>
    </row>
    <row r="233" spans="1:4" x14ac:dyDescent="0.3">
      <c r="A233" s="61" t="s">
        <v>284</v>
      </c>
      <c r="B233" s="84">
        <v>0</v>
      </c>
      <c r="C233" s="84">
        <v>2232.3200000000002</v>
      </c>
      <c r="D233" s="84">
        <v>-2232.3200000000002</v>
      </c>
    </row>
    <row r="234" spans="1:4" x14ac:dyDescent="0.3">
      <c r="A234" s="61" t="s">
        <v>285</v>
      </c>
      <c r="B234" s="84">
        <v>0</v>
      </c>
      <c r="C234" s="84">
        <v>5019</v>
      </c>
      <c r="D234" s="84">
        <v>-5019</v>
      </c>
    </row>
    <row r="235" spans="1:4" x14ac:dyDescent="0.3">
      <c r="A235" s="61" t="s">
        <v>286</v>
      </c>
      <c r="B235" s="84">
        <v>0</v>
      </c>
      <c r="C235" s="84">
        <v>1225.3800000000001</v>
      </c>
      <c r="D235" s="84">
        <v>-1225.3800000000001</v>
      </c>
    </row>
    <row r="236" spans="1:4" x14ac:dyDescent="0.3">
      <c r="A236" s="61" t="s">
        <v>287</v>
      </c>
      <c r="B236" s="84">
        <v>0</v>
      </c>
      <c r="C236" s="84">
        <v>5285.44</v>
      </c>
      <c r="D236" s="84">
        <v>-5285.44</v>
      </c>
    </row>
    <row r="237" spans="1:4" x14ac:dyDescent="0.3">
      <c r="A237" s="61" t="s">
        <v>288</v>
      </c>
      <c r="B237" s="84">
        <v>0</v>
      </c>
      <c r="C237" s="84">
        <v>2973</v>
      </c>
      <c r="D237" s="84">
        <v>-2973</v>
      </c>
    </row>
    <row r="238" spans="1:4" x14ac:dyDescent="0.3">
      <c r="A238" s="61" t="s">
        <v>289</v>
      </c>
      <c r="B238" s="84">
        <v>0</v>
      </c>
      <c r="C238" s="84">
        <v>2692.8</v>
      </c>
      <c r="D238" s="84">
        <v>-2692.8</v>
      </c>
    </row>
    <row r="239" spans="1:4" x14ac:dyDescent="0.3">
      <c r="A239" s="61" t="s">
        <v>290</v>
      </c>
      <c r="B239" s="84">
        <v>0</v>
      </c>
      <c r="C239" s="84">
        <v>2155.89</v>
      </c>
      <c r="D239" s="84">
        <v>-2155.89</v>
      </c>
    </row>
    <row r="240" spans="1:4" x14ac:dyDescent="0.3">
      <c r="A240" s="61" t="s">
        <v>291</v>
      </c>
      <c r="B240" s="84">
        <v>0</v>
      </c>
      <c r="C240" s="84">
        <v>698</v>
      </c>
      <c r="D240" s="84">
        <v>-698</v>
      </c>
    </row>
    <row r="241" spans="1:4" x14ac:dyDescent="0.3">
      <c r="A241" s="61" t="s">
        <v>292</v>
      </c>
      <c r="B241" s="84">
        <v>0</v>
      </c>
      <c r="C241" s="84">
        <v>427.56</v>
      </c>
      <c r="D241" s="84">
        <v>-427.56</v>
      </c>
    </row>
    <row r="242" spans="1:4" x14ac:dyDescent="0.3">
      <c r="A242" s="61" t="s">
        <v>293</v>
      </c>
      <c r="B242" s="84">
        <v>0</v>
      </c>
      <c r="C242" s="84">
        <v>468.75</v>
      </c>
      <c r="D242" s="84">
        <v>-468.75</v>
      </c>
    </row>
    <row r="243" spans="1:4" x14ac:dyDescent="0.3">
      <c r="A243" s="61" t="s">
        <v>294</v>
      </c>
      <c r="B243" s="84">
        <v>0</v>
      </c>
      <c r="C243" s="84">
        <v>180</v>
      </c>
      <c r="D243" s="84">
        <v>-180</v>
      </c>
    </row>
    <row r="244" spans="1:4" x14ac:dyDescent="0.3">
      <c r="A244" s="61" t="s">
        <v>295</v>
      </c>
      <c r="B244" s="84">
        <v>0</v>
      </c>
      <c r="C244" s="84">
        <v>9092.99</v>
      </c>
      <c r="D244" s="84">
        <v>-9092.99</v>
      </c>
    </row>
    <row r="245" spans="1:4" x14ac:dyDescent="0.3">
      <c r="A245" s="53" t="s">
        <v>87</v>
      </c>
      <c r="B245" s="84">
        <v>0</v>
      </c>
      <c r="C245" s="84">
        <v>112454</v>
      </c>
      <c r="D245" s="84">
        <v>-112454</v>
      </c>
    </row>
    <row r="246" spans="1:4" x14ac:dyDescent="0.3">
      <c r="A246" s="61" t="s">
        <v>104</v>
      </c>
      <c r="B246" s="84">
        <v>0</v>
      </c>
      <c r="C246" s="84">
        <v>20600</v>
      </c>
      <c r="D246" s="84">
        <v>-20600</v>
      </c>
    </row>
    <row r="247" spans="1:4" x14ac:dyDescent="0.3">
      <c r="A247" s="61" t="s">
        <v>225</v>
      </c>
      <c r="B247" s="84">
        <v>0</v>
      </c>
      <c r="C247" s="84">
        <v>19100</v>
      </c>
      <c r="D247" s="84">
        <v>-19100</v>
      </c>
    </row>
    <row r="248" spans="1:4" x14ac:dyDescent="0.3">
      <c r="A248" s="61" t="s">
        <v>324</v>
      </c>
      <c r="B248" s="84">
        <v>0</v>
      </c>
      <c r="C248" s="84">
        <v>19100</v>
      </c>
      <c r="D248" s="84">
        <v>-19100</v>
      </c>
    </row>
    <row r="249" spans="1:4" x14ac:dyDescent="0.3">
      <c r="A249" s="61" t="s">
        <v>528</v>
      </c>
      <c r="B249" s="84">
        <v>0</v>
      </c>
      <c r="C249" s="84">
        <v>17894</v>
      </c>
      <c r="D249" s="84">
        <v>-17894</v>
      </c>
    </row>
    <row r="250" spans="1:4" x14ac:dyDescent="0.3">
      <c r="A250" s="61" t="s">
        <v>567</v>
      </c>
      <c r="B250" s="84">
        <v>0</v>
      </c>
      <c r="C250" s="84">
        <v>18160</v>
      </c>
      <c r="D250" s="84">
        <v>-18160</v>
      </c>
    </row>
    <row r="251" spans="1:4" x14ac:dyDescent="0.3">
      <c r="A251" s="61" t="s">
        <v>705</v>
      </c>
      <c r="B251" s="84">
        <v>0</v>
      </c>
      <c r="C251" s="84">
        <v>17600</v>
      </c>
      <c r="D251" s="84">
        <v>-17600</v>
      </c>
    </row>
    <row r="252" spans="1:4" x14ac:dyDescent="0.3">
      <c r="A252" s="53" t="s">
        <v>88</v>
      </c>
      <c r="B252" s="84">
        <v>0</v>
      </c>
      <c r="C252" s="84">
        <v>2040</v>
      </c>
      <c r="D252" s="84">
        <v>-2040</v>
      </c>
    </row>
    <row r="253" spans="1:4" x14ac:dyDescent="0.3">
      <c r="A253" s="61" t="s">
        <v>105</v>
      </c>
      <c r="B253" s="84">
        <v>0</v>
      </c>
      <c r="C253" s="84">
        <v>675</v>
      </c>
      <c r="D253" s="84">
        <v>-675</v>
      </c>
    </row>
    <row r="254" spans="1:4" x14ac:dyDescent="0.3">
      <c r="A254" s="61" t="s">
        <v>226</v>
      </c>
      <c r="B254" s="84">
        <v>0</v>
      </c>
      <c r="C254" s="84">
        <v>120</v>
      </c>
      <c r="D254" s="84">
        <v>-120</v>
      </c>
    </row>
    <row r="255" spans="1:4" x14ac:dyDescent="0.3">
      <c r="A255" s="61" t="s">
        <v>325</v>
      </c>
      <c r="B255" s="84">
        <v>0</v>
      </c>
      <c r="C255" s="84">
        <v>15</v>
      </c>
      <c r="D255" s="84">
        <v>-15</v>
      </c>
    </row>
    <row r="256" spans="1:4" x14ac:dyDescent="0.3">
      <c r="A256" s="61" t="s">
        <v>529</v>
      </c>
      <c r="B256" s="84">
        <v>0</v>
      </c>
      <c r="C256" s="84">
        <v>1230</v>
      </c>
      <c r="D256" s="84">
        <v>-1230</v>
      </c>
    </row>
    <row r="257" spans="1:4" x14ac:dyDescent="0.3">
      <c r="A257" s="53" t="s">
        <v>78</v>
      </c>
      <c r="B257" s="84">
        <v>0</v>
      </c>
      <c r="C257" s="84">
        <v>880376.55999999994</v>
      </c>
      <c r="D257" s="84">
        <v>-880376.55999999994</v>
      </c>
    </row>
    <row r="258" spans="1:4" x14ac:dyDescent="0.3">
      <c r="A258" s="61" t="s">
        <v>297</v>
      </c>
      <c r="B258" s="84">
        <v>0</v>
      </c>
      <c r="C258" s="84">
        <v>1312.28</v>
      </c>
      <c r="D258" s="84">
        <v>-1312.28</v>
      </c>
    </row>
    <row r="259" spans="1:4" x14ac:dyDescent="0.3">
      <c r="A259" s="61" t="s">
        <v>298</v>
      </c>
      <c r="B259" s="84">
        <v>0</v>
      </c>
      <c r="C259" s="84">
        <v>1873.7</v>
      </c>
      <c r="D259" s="84">
        <v>-1873.7</v>
      </c>
    </row>
    <row r="260" spans="1:4" x14ac:dyDescent="0.3">
      <c r="A260" s="61" t="s">
        <v>299</v>
      </c>
      <c r="B260" s="84">
        <v>0</v>
      </c>
      <c r="C260" s="84">
        <v>990</v>
      </c>
      <c r="D260" s="84">
        <v>-990</v>
      </c>
    </row>
    <row r="261" spans="1:4" x14ac:dyDescent="0.3">
      <c r="A261" s="61" t="s">
        <v>300</v>
      </c>
      <c r="B261" s="84">
        <v>0</v>
      </c>
      <c r="C261" s="84">
        <v>476.17</v>
      </c>
      <c r="D261" s="84">
        <v>-476.17</v>
      </c>
    </row>
    <row r="262" spans="1:4" x14ac:dyDescent="0.3">
      <c r="A262" s="61" t="s">
        <v>301</v>
      </c>
      <c r="B262" s="84">
        <v>0</v>
      </c>
      <c r="C262" s="84">
        <v>564.29</v>
      </c>
      <c r="D262" s="84">
        <v>-564.29</v>
      </c>
    </row>
    <row r="263" spans="1:4" x14ac:dyDescent="0.3">
      <c r="A263" s="61" t="s">
        <v>302</v>
      </c>
      <c r="B263" s="84">
        <v>0</v>
      </c>
      <c r="C263" s="84">
        <v>1802.79</v>
      </c>
      <c r="D263" s="84">
        <v>-1802.79</v>
      </c>
    </row>
    <row r="264" spans="1:4" x14ac:dyDescent="0.3">
      <c r="A264" s="61" t="s">
        <v>303</v>
      </c>
      <c r="B264" s="84">
        <v>0</v>
      </c>
      <c r="C264" s="84">
        <v>948</v>
      </c>
      <c r="D264" s="84">
        <v>-948</v>
      </c>
    </row>
    <row r="265" spans="1:4" x14ac:dyDescent="0.3">
      <c r="A265" s="61" t="s">
        <v>304</v>
      </c>
      <c r="B265" s="84">
        <v>0</v>
      </c>
      <c r="C265" s="84">
        <v>1148.74</v>
      </c>
      <c r="D265" s="84">
        <v>-1148.74</v>
      </c>
    </row>
    <row r="266" spans="1:4" x14ac:dyDescent="0.3">
      <c r="A266" s="61" t="s">
        <v>305</v>
      </c>
      <c r="B266" s="84">
        <v>0</v>
      </c>
      <c r="C266" s="84">
        <v>873</v>
      </c>
      <c r="D266" s="84">
        <v>-873</v>
      </c>
    </row>
    <row r="267" spans="1:4" x14ac:dyDescent="0.3">
      <c r="A267" s="61" t="s">
        <v>306</v>
      </c>
      <c r="B267" s="84">
        <v>0</v>
      </c>
      <c r="C267" s="84">
        <v>468</v>
      </c>
      <c r="D267" s="84">
        <v>-468</v>
      </c>
    </row>
    <row r="268" spans="1:4" x14ac:dyDescent="0.3">
      <c r="A268" s="61" t="s">
        <v>307</v>
      </c>
      <c r="B268" s="84">
        <v>0</v>
      </c>
      <c r="C268" s="84">
        <v>3700.5</v>
      </c>
      <c r="D268" s="84">
        <v>-3700.5</v>
      </c>
    </row>
    <row r="269" spans="1:4" x14ac:dyDescent="0.3">
      <c r="A269" s="61" t="s">
        <v>308</v>
      </c>
      <c r="B269" s="84">
        <v>0</v>
      </c>
      <c r="C269" s="84">
        <v>467.1</v>
      </c>
      <c r="D269" s="84">
        <v>-467.1</v>
      </c>
    </row>
    <row r="270" spans="1:4" x14ac:dyDescent="0.3">
      <c r="A270" s="61" t="s">
        <v>309</v>
      </c>
      <c r="B270" s="84">
        <v>0</v>
      </c>
      <c r="C270" s="84">
        <v>409.24</v>
      </c>
      <c r="D270" s="84">
        <v>-409.24</v>
      </c>
    </row>
    <row r="271" spans="1:4" x14ac:dyDescent="0.3">
      <c r="A271" s="61" t="s">
        <v>310</v>
      </c>
      <c r="B271" s="84">
        <v>0</v>
      </c>
      <c r="C271" s="84">
        <v>973.2</v>
      </c>
      <c r="D271" s="84">
        <v>-973.2</v>
      </c>
    </row>
    <row r="272" spans="1:4" x14ac:dyDescent="0.3">
      <c r="A272" s="61" t="s">
        <v>311</v>
      </c>
      <c r="B272" s="84">
        <v>0</v>
      </c>
      <c r="C272" s="84">
        <v>762</v>
      </c>
      <c r="D272" s="84">
        <v>-762</v>
      </c>
    </row>
    <row r="273" spans="1:4" x14ac:dyDescent="0.3">
      <c r="A273" s="61" t="s">
        <v>312</v>
      </c>
      <c r="B273" s="84">
        <v>0</v>
      </c>
      <c r="C273" s="84">
        <v>570.39</v>
      </c>
      <c r="D273" s="84">
        <v>-570.39</v>
      </c>
    </row>
    <row r="274" spans="1:4" x14ac:dyDescent="0.3">
      <c r="A274" s="61" t="s">
        <v>313</v>
      </c>
      <c r="B274" s="84">
        <v>0</v>
      </c>
      <c r="C274" s="84">
        <v>599.32000000000005</v>
      </c>
      <c r="D274" s="84">
        <v>-599.32000000000005</v>
      </c>
    </row>
    <row r="275" spans="1:4" x14ac:dyDescent="0.3">
      <c r="A275" s="61" t="s">
        <v>314</v>
      </c>
      <c r="B275" s="84">
        <v>0</v>
      </c>
      <c r="C275" s="84">
        <v>1638.6</v>
      </c>
      <c r="D275" s="84">
        <v>-1638.6</v>
      </c>
    </row>
    <row r="276" spans="1:4" x14ac:dyDescent="0.3">
      <c r="A276" s="61" t="s">
        <v>315</v>
      </c>
      <c r="B276" s="84">
        <v>0</v>
      </c>
      <c r="C276" s="84">
        <v>138.6</v>
      </c>
      <c r="D276" s="84">
        <v>-138.6</v>
      </c>
    </row>
    <row r="277" spans="1:4" x14ac:dyDescent="0.3">
      <c r="A277" s="61" t="s">
        <v>316</v>
      </c>
      <c r="B277" s="84">
        <v>0</v>
      </c>
      <c r="C277" s="84">
        <v>99</v>
      </c>
      <c r="D277" s="84">
        <v>-99</v>
      </c>
    </row>
    <row r="278" spans="1:4" x14ac:dyDescent="0.3">
      <c r="A278" s="61" t="s">
        <v>317</v>
      </c>
      <c r="B278" s="84">
        <v>0</v>
      </c>
      <c r="C278" s="84">
        <v>2426.3000000000002</v>
      </c>
      <c r="D278" s="84">
        <v>-2426.3000000000002</v>
      </c>
    </row>
    <row r="279" spans="1:4" x14ac:dyDescent="0.3">
      <c r="A279" s="61" t="s">
        <v>318</v>
      </c>
      <c r="B279" s="84">
        <v>0</v>
      </c>
      <c r="C279" s="84">
        <v>180</v>
      </c>
      <c r="D279" s="84">
        <v>-180</v>
      </c>
    </row>
    <row r="280" spans="1:4" x14ac:dyDescent="0.3">
      <c r="A280" s="61" t="s">
        <v>319</v>
      </c>
      <c r="B280" s="84">
        <v>0</v>
      </c>
      <c r="C280" s="84">
        <v>560.05999999999995</v>
      </c>
      <c r="D280" s="84">
        <v>-560.05999999999995</v>
      </c>
    </row>
    <row r="281" spans="1:4" x14ac:dyDescent="0.3">
      <c r="A281" s="61" t="s">
        <v>320</v>
      </c>
      <c r="B281" s="84">
        <v>0</v>
      </c>
      <c r="C281" s="84">
        <v>1206.92</v>
      </c>
      <c r="D281" s="84">
        <v>-1206.92</v>
      </c>
    </row>
    <row r="282" spans="1:4" x14ac:dyDescent="0.3">
      <c r="A282" s="61" t="s">
        <v>321</v>
      </c>
      <c r="B282" s="84">
        <v>0</v>
      </c>
      <c r="C282" s="84">
        <v>1063.06</v>
      </c>
      <c r="D282" s="84">
        <v>-1063.06</v>
      </c>
    </row>
    <row r="283" spans="1:4" x14ac:dyDescent="0.3">
      <c r="A283" s="61" t="s">
        <v>322</v>
      </c>
      <c r="B283" s="84">
        <v>0</v>
      </c>
      <c r="C283" s="84">
        <v>140.54</v>
      </c>
      <c r="D283" s="84">
        <v>-140.54</v>
      </c>
    </row>
    <row r="284" spans="1:4" x14ac:dyDescent="0.3">
      <c r="A284" s="61" t="s">
        <v>323</v>
      </c>
      <c r="B284" s="84">
        <v>0</v>
      </c>
      <c r="C284" s="84">
        <v>490.92</v>
      </c>
      <c r="D284" s="84">
        <v>-490.92</v>
      </c>
    </row>
    <row r="285" spans="1:4" x14ac:dyDescent="0.3">
      <c r="A285" s="61" t="s">
        <v>329</v>
      </c>
      <c r="B285" s="84">
        <v>0</v>
      </c>
      <c r="C285" s="84">
        <v>636.76</v>
      </c>
      <c r="D285" s="84">
        <v>-636.76</v>
      </c>
    </row>
    <row r="286" spans="1:4" x14ac:dyDescent="0.3">
      <c r="A286" s="61" t="s">
        <v>330</v>
      </c>
      <c r="B286" s="84">
        <v>0</v>
      </c>
      <c r="C286" s="84">
        <v>1054.1500000000001</v>
      </c>
      <c r="D286" s="84">
        <v>-1054.1500000000001</v>
      </c>
    </row>
    <row r="287" spans="1:4" x14ac:dyDescent="0.3">
      <c r="A287" s="61" t="s">
        <v>331</v>
      </c>
      <c r="B287" s="84">
        <v>0</v>
      </c>
      <c r="C287" s="84">
        <v>1020</v>
      </c>
      <c r="D287" s="84">
        <v>-1020</v>
      </c>
    </row>
    <row r="288" spans="1:4" x14ac:dyDescent="0.3">
      <c r="A288" s="61" t="s">
        <v>332</v>
      </c>
      <c r="B288" s="84">
        <v>0</v>
      </c>
      <c r="C288" s="84">
        <v>432</v>
      </c>
      <c r="D288" s="84">
        <v>-432</v>
      </c>
    </row>
    <row r="289" spans="1:4" x14ac:dyDescent="0.3">
      <c r="A289" s="61" t="s">
        <v>333</v>
      </c>
      <c r="B289" s="84">
        <v>0</v>
      </c>
      <c r="C289" s="84">
        <v>1302.46</v>
      </c>
      <c r="D289" s="84">
        <v>-1302.46</v>
      </c>
    </row>
    <row r="290" spans="1:4" x14ac:dyDescent="0.3">
      <c r="A290" s="61" t="s">
        <v>334</v>
      </c>
      <c r="B290" s="84">
        <v>0</v>
      </c>
      <c r="C290" s="84">
        <v>348</v>
      </c>
      <c r="D290" s="84">
        <v>-348</v>
      </c>
    </row>
    <row r="291" spans="1:4" x14ac:dyDescent="0.3">
      <c r="A291" s="61" t="s">
        <v>335</v>
      </c>
      <c r="B291" s="84">
        <v>0</v>
      </c>
      <c r="C291" s="84">
        <v>2114.4</v>
      </c>
      <c r="D291" s="84">
        <v>-2114.4</v>
      </c>
    </row>
    <row r="292" spans="1:4" x14ac:dyDescent="0.3">
      <c r="A292" s="61" t="s">
        <v>336</v>
      </c>
      <c r="B292" s="84">
        <v>0</v>
      </c>
      <c r="C292" s="84">
        <v>1898.21</v>
      </c>
      <c r="D292" s="84">
        <v>-1898.21</v>
      </c>
    </row>
    <row r="293" spans="1:4" x14ac:dyDescent="0.3">
      <c r="A293" s="61" t="s">
        <v>337</v>
      </c>
      <c r="B293" s="84">
        <v>0</v>
      </c>
      <c r="C293" s="84">
        <v>1266.5</v>
      </c>
      <c r="D293" s="84">
        <v>-1266.5</v>
      </c>
    </row>
    <row r="294" spans="1:4" x14ac:dyDescent="0.3">
      <c r="A294" s="61" t="s">
        <v>338</v>
      </c>
      <c r="B294" s="84">
        <v>0</v>
      </c>
      <c r="C294" s="84">
        <v>372.12</v>
      </c>
      <c r="D294" s="84">
        <v>-372.12</v>
      </c>
    </row>
    <row r="295" spans="1:4" x14ac:dyDescent="0.3">
      <c r="A295" s="61" t="s">
        <v>339</v>
      </c>
      <c r="B295" s="84">
        <v>0</v>
      </c>
      <c r="C295" s="84">
        <v>719</v>
      </c>
      <c r="D295" s="84">
        <v>-719</v>
      </c>
    </row>
    <row r="296" spans="1:4" x14ac:dyDescent="0.3">
      <c r="A296" s="61" t="s">
        <v>340</v>
      </c>
      <c r="B296" s="84">
        <v>0</v>
      </c>
      <c r="C296" s="84">
        <v>673.56</v>
      </c>
      <c r="D296" s="84">
        <v>-673.56</v>
      </c>
    </row>
    <row r="297" spans="1:4" x14ac:dyDescent="0.3">
      <c r="A297" s="61" t="s">
        <v>341</v>
      </c>
      <c r="B297" s="84">
        <v>0</v>
      </c>
      <c r="C297" s="84">
        <v>1256.99</v>
      </c>
      <c r="D297" s="84">
        <v>-1256.99</v>
      </c>
    </row>
    <row r="298" spans="1:4" x14ac:dyDescent="0.3">
      <c r="A298" s="61" t="s">
        <v>342</v>
      </c>
      <c r="B298" s="84">
        <v>0</v>
      </c>
      <c r="C298" s="84">
        <v>5876.67</v>
      </c>
      <c r="D298" s="84">
        <v>-5876.67</v>
      </c>
    </row>
    <row r="299" spans="1:4" x14ac:dyDescent="0.3">
      <c r="A299" s="61" t="s">
        <v>343</v>
      </c>
      <c r="B299" s="84">
        <v>0</v>
      </c>
      <c r="C299" s="84">
        <v>851.87</v>
      </c>
      <c r="D299" s="84">
        <v>-851.87</v>
      </c>
    </row>
    <row r="300" spans="1:4" x14ac:dyDescent="0.3">
      <c r="A300" s="61" t="s">
        <v>344</v>
      </c>
      <c r="B300" s="84">
        <v>0</v>
      </c>
      <c r="C300" s="84">
        <v>3064.06</v>
      </c>
      <c r="D300" s="84">
        <v>-3064.06</v>
      </c>
    </row>
    <row r="301" spans="1:4" x14ac:dyDescent="0.3">
      <c r="A301" s="61" t="s">
        <v>345</v>
      </c>
      <c r="B301" s="84">
        <v>0</v>
      </c>
      <c r="C301" s="84">
        <v>110.77</v>
      </c>
      <c r="D301" s="84">
        <v>-110.77</v>
      </c>
    </row>
    <row r="302" spans="1:4" x14ac:dyDescent="0.3">
      <c r="A302" s="61" t="s">
        <v>346</v>
      </c>
      <c r="B302" s="84">
        <v>0</v>
      </c>
      <c r="C302" s="84">
        <v>295.60000000000002</v>
      </c>
      <c r="D302" s="84">
        <v>-295.60000000000002</v>
      </c>
    </row>
    <row r="303" spans="1:4" x14ac:dyDescent="0.3">
      <c r="A303" s="61" t="s">
        <v>347</v>
      </c>
      <c r="B303" s="84">
        <v>0</v>
      </c>
      <c r="C303" s="84">
        <v>176</v>
      </c>
      <c r="D303" s="84">
        <v>-176</v>
      </c>
    </row>
    <row r="304" spans="1:4" x14ac:dyDescent="0.3">
      <c r="A304" s="61" t="s">
        <v>348</v>
      </c>
      <c r="B304" s="84">
        <v>0</v>
      </c>
      <c r="C304" s="84">
        <v>1563.58</v>
      </c>
      <c r="D304" s="84">
        <v>-1563.58</v>
      </c>
    </row>
    <row r="305" spans="1:4" x14ac:dyDescent="0.3">
      <c r="A305" s="61" t="s">
        <v>349</v>
      </c>
      <c r="B305" s="84">
        <v>0</v>
      </c>
      <c r="C305" s="84">
        <v>392.4</v>
      </c>
      <c r="D305" s="84">
        <v>-392.4</v>
      </c>
    </row>
    <row r="306" spans="1:4" x14ac:dyDescent="0.3">
      <c r="A306" s="61" t="s">
        <v>350</v>
      </c>
      <c r="B306" s="84">
        <v>0</v>
      </c>
      <c r="C306" s="84">
        <v>2323.1999999999998</v>
      </c>
      <c r="D306" s="84">
        <v>-2323.1999999999998</v>
      </c>
    </row>
    <row r="307" spans="1:4" x14ac:dyDescent="0.3">
      <c r="A307" s="61" t="s">
        <v>351</v>
      </c>
      <c r="B307" s="84">
        <v>0</v>
      </c>
      <c r="C307" s="84">
        <v>252.3</v>
      </c>
      <c r="D307" s="84">
        <v>-252.3</v>
      </c>
    </row>
    <row r="308" spans="1:4" x14ac:dyDescent="0.3">
      <c r="A308" s="61" t="s">
        <v>352</v>
      </c>
      <c r="B308" s="84">
        <v>0</v>
      </c>
      <c r="C308" s="84">
        <v>290.85000000000002</v>
      </c>
      <c r="D308" s="84">
        <v>-290.85000000000002</v>
      </c>
    </row>
    <row r="309" spans="1:4" x14ac:dyDescent="0.3">
      <c r="A309" s="61" t="s">
        <v>353</v>
      </c>
      <c r="B309" s="84">
        <v>0</v>
      </c>
      <c r="C309" s="84">
        <v>124.8</v>
      </c>
      <c r="D309" s="84">
        <v>-124.8</v>
      </c>
    </row>
    <row r="310" spans="1:4" x14ac:dyDescent="0.3">
      <c r="A310" s="61" t="s">
        <v>354</v>
      </c>
      <c r="B310" s="84">
        <v>0</v>
      </c>
      <c r="C310" s="84">
        <v>384</v>
      </c>
      <c r="D310" s="84">
        <v>-384</v>
      </c>
    </row>
    <row r="311" spans="1:4" x14ac:dyDescent="0.3">
      <c r="A311" s="61" t="s">
        <v>355</v>
      </c>
      <c r="B311" s="84">
        <v>0</v>
      </c>
      <c r="C311" s="84">
        <v>125</v>
      </c>
      <c r="D311" s="84">
        <v>-125</v>
      </c>
    </row>
    <row r="312" spans="1:4" x14ac:dyDescent="0.3">
      <c r="A312" s="61" t="s">
        <v>356</v>
      </c>
      <c r="B312" s="84">
        <v>0</v>
      </c>
      <c r="C312" s="84">
        <v>400</v>
      </c>
      <c r="D312" s="84">
        <v>-400</v>
      </c>
    </row>
    <row r="313" spans="1:4" x14ac:dyDescent="0.3">
      <c r="A313" s="61" t="s">
        <v>357</v>
      </c>
      <c r="B313" s="84">
        <v>0</v>
      </c>
      <c r="C313" s="84">
        <v>118</v>
      </c>
      <c r="D313" s="84">
        <v>-118</v>
      </c>
    </row>
    <row r="314" spans="1:4" x14ac:dyDescent="0.3">
      <c r="A314" s="61" t="s">
        <v>358</v>
      </c>
      <c r="B314" s="84">
        <v>0</v>
      </c>
      <c r="C314" s="84">
        <v>372</v>
      </c>
      <c r="D314" s="84">
        <v>-372</v>
      </c>
    </row>
    <row r="315" spans="1:4" x14ac:dyDescent="0.3">
      <c r="A315" s="61" t="s">
        <v>359</v>
      </c>
      <c r="B315" s="84">
        <v>0</v>
      </c>
      <c r="C315" s="84">
        <v>175</v>
      </c>
      <c r="D315" s="84">
        <v>-175</v>
      </c>
    </row>
    <row r="316" spans="1:4" x14ac:dyDescent="0.3">
      <c r="A316" s="61" t="s">
        <v>360</v>
      </c>
      <c r="B316" s="84">
        <v>0</v>
      </c>
      <c r="C316" s="84">
        <v>125.6</v>
      </c>
      <c r="D316" s="84">
        <v>-125.6</v>
      </c>
    </row>
    <row r="317" spans="1:4" x14ac:dyDescent="0.3">
      <c r="A317" s="61" t="s">
        <v>361</v>
      </c>
      <c r="B317" s="84">
        <v>0</v>
      </c>
      <c r="C317" s="84">
        <v>1552.7</v>
      </c>
      <c r="D317" s="84">
        <v>-1552.7</v>
      </c>
    </row>
    <row r="318" spans="1:4" x14ac:dyDescent="0.3">
      <c r="A318" s="61" t="s">
        <v>362</v>
      </c>
      <c r="B318" s="84">
        <v>0</v>
      </c>
      <c r="C318" s="84">
        <v>504</v>
      </c>
      <c r="D318" s="84">
        <v>-504</v>
      </c>
    </row>
    <row r="319" spans="1:4" x14ac:dyDescent="0.3">
      <c r="A319" s="61" t="s">
        <v>363</v>
      </c>
      <c r="B319" s="84">
        <v>0</v>
      </c>
      <c r="C319" s="84">
        <v>845</v>
      </c>
      <c r="D319" s="84">
        <v>-845</v>
      </c>
    </row>
    <row r="320" spans="1:4" x14ac:dyDescent="0.3">
      <c r="A320" s="61" t="s">
        <v>364</v>
      </c>
      <c r="B320" s="84">
        <v>0</v>
      </c>
      <c r="C320" s="84">
        <v>445.75</v>
      </c>
      <c r="D320" s="84">
        <v>-445.75</v>
      </c>
    </row>
    <row r="321" spans="1:4" x14ac:dyDescent="0.3">
      <c r="A321" s="61" t="s">
        <v>365</v>
      </c>
      <c r="B321" s="84">
        <v>0</v>
      </c>
      <c r="C321" s="84">
        <v>6674.33</v>
      </c>
      <c r="D321" s="84">
        <v>-6674.33</v>
      </c>
    </row>
    <row r="322" spans="1:4" x14ac:dyDescent="0.3">
      <c r="A322" s="61" t="s">
        <v>366</v>
      </c>
      <c r="B322" s="84">
        <v>0</v>
      </c>
      <c r="C322" s="84">
        <v>632.11</v>
      </c>
      <c r="D322" s="84">
        <v>-632.11</v>
      </c>
    </row>
    <row r="323" spans="1:4" x14ac:dyDescent="0.3">
      <c r="A323" s="61" t="s">
        <v>367</v>
      </c>
      <c r="B323" s="84">
        <v>0</v>
      </c>
      <c r="C323" s="84">
        <v>1506.3</v>
      </c>
      <c r="D323" s="84">
        <v>-1506.3</v>
      </c>
    </row>
    <row r="324" spans="1:4" x14ac:dyDescent="0.3">
      <c r="A324" s="61" t="s">
        <v>368</v>
      </c>
      <c r="B324" s="84">
        <v>0</v>
      </c>
      <c r="C324" s="84">
        <v>1320.8</v>
      </c>
      <c r="D324" s="84">
        <v>-1320.8</v>
      </c>
    </row>
    <row r="325" spans="1:4" x14ac:dyDescent="0.3">
      <c r="A325" s="61" t="s">
        <v>369</v>
      </c>
      <c r="B325" s="84">
        <v>0</v>
      </c>
      <c r="C325" s="84">
        <v>1266.6500000000001</v>
      </c>
      <c r="D325" s="84">
        <v>-1266.6500000000001</v>
      </c>
    </row>
    <row r="326" spans="1:4" x14ac:dyDescent="0.3">
      <c r="A326" s="61" t="s">
        <v>370</v>
      </c>
      <c r="B326" s="84">
        <v>0</v>
      </c>
      <c r="C326" s="84">
        <v>256.3</v>
      </c>
      <c r="D326" s="84">
        <v>-256.3</v>
      </c>
    </row>
    <row r="327" spans="1:4" x14ac:dyDescent="0.3">
      <c r="A327" s="61" t="s">
        <v>371</v>
      </c>
      <c r="B327" s="84">
        <v>0</v>
      </c>
      <c r="C327" s="84">
        <v>1321.75</v>
      </c>
      <c r="D327" s="84">
        <v>-1321.75</v>
      </c>
    </row>
    <row r="328" spans="1:4" x14ac:dyDescent="0.3">
      <c r="A328" s="61" t="s">
        <v>372</v>
      </c>
      <c r="B328" s="84">
        <v>0</v>
      </c>
      <c r="C328" s="84">
        <v>438.82</v>
      </c>
      <c r="D328" s="84">
        <v>-438.82</v>
      </c>
    </row>
    <row r="329" spans="1:4" x14ac:dyDescent="0.3">
      <c r="A329" s="61" t="s">
        <v>373</v>
      </c>
      <c r="B329" s="84">
        <v>0</v>
      </c>
      <c r="C329" s="84">
        <v>864.38</v>
      </c>
      <c r="D329" s="84">
        <v>-864.38</v>
      </c>
    </row>
    <row r="330" spans="1:4" x14ac:dyDescent="0.3">
      <c r="A330" s="61" t="s">
        <v>374</v>
      </c>
      <c r="B330" s="84">
        <v>0</v>
      </c>
      <c r="C330" s="84">
        <v>1957.93</v>
      </c>
      <c r="D330" s="84">
        <v>-1957.93</v>
      </c>
    </row>
    <row r="331" spans="1:4" x14ac:dyDescent="0.3">
      <c r="A331" s="61" t="s">
        <v>375</v>
      </c>
      <c r="B331" s="84">
        <v>0</v>
      </c>
      <c r="C331" s="84">
        <v>638.1</v>
      </c>
      <c r="D331" s="84">
        <v>-638.1</v>
      </c>
    </row>
    <row r="332" spans="1:4" x14ac:dyDescent="0.3">
      <c r="A332" s="61" t="s">
        <v>376</v>
      </c>
      <c r="B332" s="84">
        <v>0</v>
      </c>
      <c r="C332" s="84">
        <v>1006.85</v>
      </c>
      <c r="D332" s="84">
        <v>-1006.85</v>
      </c>
    </row>
    <row r="333" spans="1:4" x14ac:dyDescent="0.3">
      <c r="A333" s="61" t="s">
        <v>377</v>
      </c>
      <c r="B333" s="84">
        <v>0</v>
      </c>
      <c r="C333" s="84">
        <v>1573.71</v>
      </c>
      <c r="D333" s="84">
        <v>-1573.71</v>
      </c>
    </row>
    <row r="334" spans="1:4" x14ac:dyDescent="0.3">
      <c r="A334" s="61" t="s">
        <v>378</v>
      </c>
      <c r="B334" s="84">
        <v>0</v>
      </c>
      <c r="C334" s="84">
        <v>2598.9699999999998</v>
      </c>
      <c r="D334" s="84">
        <v>-2598.9699999999998</v>
      </c>
    </row>
    <row r="335" spans="1:4" x14ac:dyDescent="0.3">
      <c r="A335" s="61" t="s">
        <v>379</v>
      </c>
      <c r="B335" s="84">
        <v>0</v>
      </c>
      <c r="C335" s="84">
        <v>1585.64</v>
      </c>
      <c r="D335" s="84">
        <v>-1585.64</v>
      </c>
    </row>
    <row r="336" spans="1:4" x14ac:dyDescent="0.3">
      <c r="A336" s="61" t="s">
        <v>380</v>
      </c>
      <c r="B336" s="84">
        <v>0</v>
      </c>
      <c r="C336" s="84">
        <v>549.36</v>
      </c>
      <c r="D336" s="84">
        <v>-549.36</v>
      </c>
    </row>
    <row r="337" spans="1:4" x14ac:dyDescent="0.3">
      <c r="A337" s="61" t="s">
        <v>381</v>
      </c>
      <c r="B337" s="84">
        <v>0</v>
      </c>
      <c r="C337" s="84">
        <v>3917.66</v>
      </c>
      <c r="D337" s="84">
        <v>-3917.66</v>
      </c>
    </row>
    <row r="338" spans="1:4" x14ac:dyDescent="0.3">
      <c r="A338" s="61" t="s">
        <v>382</v>
      </c>
      <c r="B338" s="84">
        <v>0</v>
      </c>
      <c r="C338" s="84">
        <v>2986.14</v>
      </c>
      <c r="D338" s="84">
        <v>-2986.14</v>
      </c>
    </row>
    <row r="339" spans="1:4" x14ac:dyDescent="0.3">
      <c r="A339" s="61" t="s">
        <v>383</v>
      </c>
      <c r="B339" s="84">
        <v>0</v>
      </c>
      <c r="C339" s="84">
        <v>48.81</v>
      </c>
      <c r="D339" s="84">
        <v>-48.81</v>
      </c>
    </row>
    <row r="340" spans="1:4" x14ac:dyDescent="0.3">
      <c r="A340" s="61" t="s">
        <v>384</v>
      </c>
      <c r="B340" s="84">
        <v>0</v>
      </c>
      <c r="C340" s="84">
        <v>1274.0899999999999</v>
      </c>
      <c r="D340" s="84">
        <v>-1274.0899999999999</v>
      </c>
    </row>
    <row r="341" spans="1:4" x14ac:dyDescent="0.3">
      <c r="A341" s="61" t="s">
        <v>385</v>
      </c>
      <c r="B341" s="84">
        <v>0</v>
      </c>
      <c r="C341" s="84">
        <v>2997</v>
      </c>
      <c r="D341" s="84">
        <v>-2997</v>
      </c>
    </row>
    <row r="342" spans="1:4" x14ac:dyDescent="0.3">
      <c r="A342" s="61" t="s">
        <v>386</v>
      </c>
      <c r="B342" s="84">
        <v>0</v>
      </c>
      <c r="C342" s="84">
        <v>694.9</v>
      </c>
      <c r="D342" s="84">
        <v>-694.9</v>
      </c>
    </row>
    <row r="343" spans="1:4" x14ac:dyDescent="0.3">
      <c r="A343" s="61" t="s">
        <v>387</v>
      </c>
      <c r="B343" s="84">
        <v>0</v>
      </c>
      <c r="C343" s="84">
        <v>2402.42</v>
      </c>
      <c r="D343" s="84">
        <v>-2402.42</v>
      </c>
    </row>
    <row r="344" spans="1:4" x14ac:dyDescent="0.3">
      <c r="A344" s="61" t="s">
        <v>388</v>
      </c>
      <c r="B344" s="84">
        <v>0</v>
      </c>
      <c r="C344" s="84">
        <v>1303.92</v>
      </c>
      <c r="D344" s="84">
        <v>-1303.92</v>
      </c>
    </row>
    <row r="345" spans="1:4" x14ac:dyDescent="0.3">
      <c r="A345" s="61" t="s">
        <v>389</v>
      </c>
      <c r="B345" s="84">
        <v>0</v>
      </c>
      <c r="C345" s="84">
        <v>269.76</v>
      </c>
      <c r="D345" s="84">
        <v>-269.76</v>
      </c>
    </row>
    <row r="346" spans="1:4" x14ac:dyDescent="0.3">
      <c r="A346" s="61" t="s">
        <v>390</v>
      </c>
      <c r="B346" s="84">
        <v>0</v>
      </c>
      <c r="C346" s="84">
        <v>305</v>
      </c>
      <c r="D346" s="84">
        <v>-305</v>
      </c>
    </row>
    <row r="347" spans="1:4" x14ac:dyDescent="0.3">
      <c r="A347" s="61" t="s">
        <v>391</v>
      </c>
      <c r="B347" s="84">
        <v>0</v>
      </c>
      <c r="C347" s="84">
        <v>400</v>
      </c>
      <c r="D347" s="84">
        <v>-400</v>
      </c>
    </row>
    <row r="348" spans="1:4" x14ac:dyDescent="0.3">
      <c r="A348" s="61" t="s">
        <v>392</v>
      </c>
      <c r="B348" s="84">
        <v>0</v>
      </c>
      <c r="C348" s="84">
        <v>407.1</v>
      </c>
      <c r="D348" s="84">
        <v>-407.1</v>
      </c>
    </row>
    <row r="349" spans="1:4" x14ac:dyDescent="0.3">
      <c r="A349" s="61" t="s">
        <v>393</v>
      </c>
      <c r="B349" s="84">
        <v>0</v>
      </c>
      <c r="C349" s="84">
        <v>4334.76</v>
      </c>
      <c r="D349" s="84">
        <v>-4334.76</v>
      </c>
    </row>
    <row r="350" spans="1:4" x14ac:dyDescent="0.3">
      <c r="A350" s="61" t="s">
        <v>394</v>
      </c>
      <c r="B350" s="84">
        <v>0</v>
      </c>
      <c r="C350" s="84">
        <v>1591</v>
      </c>
      <c r="D350" s="84">
        <v>-1591</v>
      </c>
    </row>
    <row r="351" spans="1:4" x14ac:dyDescent="0.3">
      <c r="A351" s="61" t="s">
        <v>395</v>
      </c>
      <c r="B351" s="84">
        <v>0</v>
      </c>
      <c r="C351" s="84">
        <v>387.3</v>
      </c>
      <c r="D351" s="84">
        <v>-387.3</v>
      </c>
    </row>
    <row r="352" spans="1:4" x14ac:dyDescent="0.3">
      <c r="A352" s="61" t="s">
        <v>396</v>
      </c>
      <c r="B352" s="84">
        <v>0</v>
      </c>
      <c r="C352" s="84">
        <v>2572.5</v>
      </c>
      <c r="D352" s="84">
        <v>-2572.5</v>
      </c>
    </row>
    <row r="353" spans="1:4" x14ac:dyDescent="0.3">
      <c r="A353" s="61" t="s">
        <v>397</v>
      </c>
      <c r="B353" s="84">
        <v>0</v>
      </c>
      <c r="C353" s="84">
        <v>359.08</v>
      </c>
      <c r="D353" s="84">
        <v>-359.08</v>
      </c>
    </row>
    <row r="354" spans="1:4" x14ac:dyDescent="0.3">
      <c r="A354" s="61" t="s">
        <v>398</v>
      </c>
      <c r="B354" s="84">
        <v>0</v>
      </c>
      <c r="C354" s="84">
        <v>2894.29</v>
      </c>
      <c r="D354" s="84">
        <v>-2894.29</v>
      </c>
    </row>
    <row r="355" spans="1:4" x14ac:dyDescent="0.3">
      <c r="A355" s="61" t="s">
        <v>399</v>
      </c>
      <c r="B355" s="84">
        <v>0</v>
      </c>
      <c r="C355" s="84">
        <v>724.93</v>
      </c>
      <c r="D355" s="84">
        <v>-724.93</v>
      </c>
    </row>
    <row r="356" spans="1:4" x14ac:dyDescent="0.3">
      <c r="A356" s="61" t="s">
        <v>400</v>
      </c>
      <c r="B356" s="84">
        <v>0</v>
      </c>
      <c r="C356" s="84">
        <v>222</v>
      </c>
      <c r="D356" s="84">
        <v>-222</v>
      </c>
    </row>
    <row r="357" spans="1:4" x14ac:dyDescent="0.3">
      <c r="A357" s="61" t="s">
        <v>401</v>
      </c>
      <c r="B357" s="84">
        <v>0</v>
      </c>
      <c r="C357" s="84">
        <v>1255.1600000000001</v>
      </c>
      <c r="D357" s="84">
        <v>-1255.1600000000001</v>
      </c>
    </row>
    <row r="358" spans="1:4" x14ac:dyDescent="0.3">
      <c r="A358" s="61" t="s">
        <v>402</v>
      </c>
      <c r="B358" s="84">
        <v>0</v>
      </c>
      <c r="C358" s="84">
        <v>140</v>
      </c>
      <c r="D358" s="84">
        <v>-140</v>
      </c>
    </row>
    <row r="359" spans="1:4" x14ac:dyDescent="0.3">
      <c r="A359" s="61" t="s">
        <v>403</v>
      </c>
      <c r="B359" s="84">
        <v>0</v>
      </c>
      <c r="C359" s="84">
        <v>3153.19</v>
      </c>
      <c r="D359" s="84">
        <v>-3153.19</v>
      </c>
    </row>
    <row r="360" spans="1:4" x14ac:dyDescent="0.3">
      <c r="A360" s="61" t="s">
        <v>404</v>
      </c>
      <c r="B360" s="84">
        <v>0</v>
      </c>
      <c r="C360" s="84">
        <v>143.25</v>
      </c>
      <c r="D360" s="84">
        <v>-143.25</v>
      </c>
    </row>
    <row r="361" spans="1:4" x14ac:dyDescent="0.3">
      <c r="A361" s="61" t="s">
        <v>405</v>
      </c>
      <c r="B361" s="84">
        <v>0</v>
      </c>
      <c r="C361" s="84">
        <v>244.8</v>
      </c>
      <c r="D361" s="84">
        <v>-244.8</v>
      </c>
    </row>
    <row r="362" spans="1:4" x14ac:dyDescent="0.3">
      <c r="A362" s="61" t="s">
        <v>406</v>
      </c>
      <c r="B362" s="84">
        <v>0</v>
      </c>
      <c r="C362" s="84">
        <v>305</v>
      </c>
      <c r="D362" s="84">
        <v>-305</v>
      </c>
    </row>
    <row r="363" spans="1:4" x14ac:dyDescent="0.3">
      <c r="A363" s="61" t="s">
        <v>407</v>
      </c>
      <c r="B363" s="84">
        <v>0</v>
      </c>
      <c r="C363" s="84">
        <v>1350.2</v>
      </c>
      <c r="D363" s="84">
        <v>-1350.2</v>
      </c>
    </row>
    <row r="364" spans="1:4" x14ac:dyDescent="0.3">
      <c r="A364" s="61" t="s">
        <v>408</v>
      </c>
      <c r="B364" s="84">
        <v>0</v>
      </c>
      <c r="C364" s="84">
        <v>4750</v>
      </c>
      <c r="D364" s="84">
        <v>-4750</v>
      </c>
    </row>
    <row r="365" spans="1:4" x14ac:dyDescent="0.3">
      <c r="A365" s="61" t="s">
        <v>411</v>
      </c>
      <c r="B365" s="84">
        <v>0</v>
      </c>
      <c r="C365" s="84">
        <v>2880.2</v>
      </c>
      <c r="D365" s="84">
        <v>-2880.2</v>
      </c>
    </row>
    <row r="366" spans="1:4" x14ac:dyDescent="0.3">
      <c r="A366" s="61" t="s">
        <v>412</v>
      </c>
      <c r="B366" s="84">
        <v>0</v>
      </c>
      <c r="C366" s="84">
        <v>467.21</v>
      </c>
      <c r="D366" s="84">
        <v>-467.21</v>
      </c>
    </row>
    <row r="367" spans="1:4" x14ac:dyDescent="0.3">
      <c r="A367" s="61" t="s">
        <v>413</v>
      </c>
      <c r="B367" s="84">
        <v>0</v>
      </c>
      <c r="C367" s="84">
        <v>1509</v>
      </c>
      <c r="D367" s="84">
        <v>-1509</v>
      </c>
    </row>
    <row r="368" spans="1:4" x14ac:dyDescent="0.3">
      <c r="A368" s="61" t="s">
        <v>414</v>
      </c>
      <c r="B368" s="84">
        <v>0</v>
      </c>
      <c r="C368" s="84">
        <v>630.03</v>
      </c>
      <c r="D368" s="84">
        <v>-630.03</v>
      </c>
    </row>
    <row r="369" spans="1:4" x14ac:dyDescent="0.3">
      <c r="A369" s="61" t="s">
        <v>415</v>
      </c>
      <c r="B369" s="84">
        <v>0</v>
      </c>
      <c r="C369" s="84">
        <v>1107.54</v>
      </c>
      <c r="D369" s="84">
        <v>-1107.54</v>
      </c>
    </row>
    <row r="370" spans="1:4" x14ac:dyDescent="0.3">
      <c r="A370" s="61" t="s">
        <v>416</v>
      </c>
      <c r="B370" s="84">
        <v>0</v>
      </c>
      <c r="C370" s="84">
        <v>282</v>
      </c>
      <c r="D370" s="84">
        <v>-282</v>
      </c>
    </row>
    <row r="371" spans="1:4" x14ac:dyDescent="0.3">
      <c r="A371" s="61" t="s">
        <v>417</v>
      </c>
      <c r="B371" s="84">
        <v>0</v>
      </c>
      <c r="C371" s="84">
        <v>1181.5999999999999</v>
      </c>
      <c r="D371" s="84">
        <v>-1181.5999999999999</v>
      </c>
    </row>
    <row r="372" spans="1:4" x14ac:dyDescent="0.3">
      <c r="A372" s="61" t="s">
        <v>418</v>
      </c>
      <c r="B372" s="84">
        <v>0</v>
      </c>
      <c r="C372" s="84">
        <v>2739.9</v>
      </c>
      <c r="D372" s="84">
        <v>-2739.9</v>
      </c>
    </row>
    <row r="373" spans="1:4" x14ac:dyDescent="0.3">
      <c r="A373" s="61" t="s">
        <v>419</v>
      </c>
      <c r="B373" s="84">
        <v>0</v>
      </c>
      <c r="C373" s="84">
        <v>126</v>
      </c>
      <c r="D373" s="84">
        <v>-126</v>
      </c>
    </row>
    <row r="374" spans="1:4" x14ac:dyDescent="0.3">
      <c r="A374" s="61" t="s">
        <v>420</v>
      </c>
      <c r="B374" s="84">
        <v>0</v>
      </c>
      <c r="C374" s="84">
        <v>72</v>
      </c>
      <c r="D374" s="84">
        <v>-72</v>
      </c>
    </row>
    <row r="375" spans="1:4" x14ac:dyDescent="0.3">
      <c r="A375" s="61" t="s">
        <v>421</v>
      </c>
      <c r="B375" s="84">
        <v>0</v>
      </c>
      <c r="C375" s="84">
        <v>102</v>
      </c>
      <c r="D375" s="84">
        <v>-102</v>
      </c>
    </row>
    <row r="376" spans="1:4" x14ac:dyDescent="0.3">
      <c r="A376" s="61" t="s">
        <v>422</v>
      </c>
      <c r="B376" s="84">
        <v>0</v>
      </c>
      <c r="C376" s="84">
        <v>2599.58</v>
      </c>
      <c r="D376" s="84">
        <v>-2599.58</v>
      </c>
    </row>
    <row r="377" spans="1:4" x14ac:dyDescent="0.3">
      <c r="A377" s="61" t="s">
        <v>423</v>
      </c>
      <c r="B377" s="84">
        <v>0</v>
      </c>
      <c r="C377" s="84">
        <v>686.7</v>
      </c>
      <c r="D377" s="84">
        <v>-686.7</v>
      </c>
    </row>
    <row r="378" spans="1:4" x14ac:dyDescent="0.3">
      <c r="A378" s="61" t="s">
        <v>424</v>
      </c>
      <c r="B378" s="84">
        <v>0</v>
      </c>
      <c r="C378" s="84">
        <v>1178.06</v>
      </c>
      <c r="D378" s="84">
        <v>-1178.06</v>
      </c>
    </row>
    <row r="379" spans="1:4" x14ac:dyDescent="0.3">
      <c r="A379" s="61" t="s">
        <v>425</v>
      </c>
      <c r="B379" s="84">
        <v>0</v>
      </c>
      <c r="C379" s="84">
        <v>204</v>
      </c>
      <c r="D379" s="84">
        <v>-204</v>
      </c>
    </row>
    <row r="380" spans="1:4" x14ac:dyDescent="0.3">
      <c r="A380" s="61" t="s">
        <v>426</v>
      </c>
      <c r="B380" s="84">
        <v>0</v>
      </c>
      <c r="C380" s="84">
        <v>840.6</v>
      </c>
      <c r="D380" s="84">
        <v>-840.6</v>
      </c>
    </row>
    <row r="381" spans="1:4" x14ac:dyDescent="0.3">
      <c r="A381" s="61" t="s">
        <v>427</v>
      </c>
      <c r="B381" s="84">
        <v>0</v>
      </c>
      <c r="C381" s="84">
        <v>252</v>
      </c>
      <c r="D381" s="84">
        <v>-252</v>
      </c>
    </row>
    <row r="382" spans="1:4" x14ac:dyDescent="0.3">
      <c r="A382" s="61" t="s">
        <v>428</v>
      </c>
      <c r="B382" s="84">
        <v>0</v>
      </c>
      <c r="C382" s="84">
        <v>526.76</v>
      </c>
      <c r="D382" s="84">
        <v>-526.76</v>
      </c>
    </row>
    <row r="383" spans="1:4" x14ac:dyDescent="0.3">
      <c r="A383" s="61" t="s">
        <v>429</v>
      </c>
      <c r="B383" s="84">
        <v>0</v>
      </c>
      <c r="C383" s="84">
        <v>405.71</v>
      </c>
      <c r="D383" s="84">
        <v>-405.71</v>
      </c>
    </row>
    <row r="384" spans="1:4" x14ac:dyDescent="0.3">
      <c r="A384" s="61" t="s">
        <v>430</v>
      </c>
      <c r="B384" s="84">
        <v>0</v>
      </c>
      <c r="C384" s="84">
        <v>1763.58</v>
      </c>
      <c r="D384" s="84">
        <v>-1763.58</v>
      </c>
    </row>
    <row r="385" spans="1:4" x14ac:dyDescent="0.3">
      <c r="A385" s="61" t="s">
        <v>431</v>
      </c>
      <c r="B385" s="84">
        <v>0</v>
      </c>
      <c r="C385" s="84">
        <v>253.48</v>
      </c>
      <c r="D385" s="84">
        <v>-253.48</v>
      </c>
    </row>
    <row r="386" spans="1:4" x14ac:dyDescent="0.3">
      <c r="A386" s="61" t="s">
        <v>432</v>
      </c>
      <c r="B386" s="84">
        <v>0</v>
      </c>
      <c r="C386" s="84">
        <v>504</v>
      </c>
      <c r="D386" s="84">
        <v>-504</v>
      </c>
    </row>
    <row r="387" spans="1:4" x14ac:dyDescent="0.3">
      <c r="A387" s="61" t="s">
        <v>433</v>
      </c>
      <c r="B387" s="84">
        <v>0</v>
      </c>
      <c r="C387" s="84">
        <v>5</v>
      </c>
      <c r="D387" s="84">
        <v>-5</v>
      </c>
    </row>
    <row r="388" spans="1:4" x14ac:dyDescent="0.3">
      <c r="A388" s="61" t="s">
        <v>434</v>
      </c>
      <c r="B388" s="84">
        <v>0</v>
      </c>
      <c r="C388" s="84">
        <v>378</v>
      </c>
      <c r="D388" s="84">
        <v>-378</v>
      </c>
    </row>
    <row r="389" spans="1:4" x14ac:dyDescent="0.3">
      <c r="A389" s="61" t="s">
        <v>435</v>
      </c>
      <c r="B389" s="84">
        <v>0</v>
      </c>
      <c r="C389" s="84">
        <v>942.4</v>
      </c>
      <c r="D389" s="84">
        <v>-942.4</v>
      </c>
    </row>
    <row r="390" spans="1:4" x14ac:dyDescent="0.3">
      <c r="A390" s="61" t="s">
        <v>436</v>
      </c>
      <c r="B390" s="84">
        <v>0</v>
      </c>
      <c r="C390" s="84">
        <v>672</v>
      </c>
      <c r="D390" s="84">
        <v>-672</v>
      </c>
    </row>
    <row r="391" spans="1:4" x14ac:dyDescent="0.3">
      <c r="A391" s="61" t="s">
        <v>437</v>
      </c>
      <c r="B391" s="84">
        <v>0</v>
      </c>
      <c r="C391" s="84">
        <v>2211.1999999999998</v>
      </c>
      <c r="D391" s="84">
        <v>-2211.1999999999998</v>
      </c>
    </row>
    <row r="392" spans="1:4" x14ac:dyDescent="0.3">
      <c r="A392" s="61" t="s">
        <v>438</v>
      </c>
      <c r="B392" s="84">
        <v>0</v>
      </c>
      <c r="C392" s="84">
        <v>574.08000000000004</v>
      </c>
      <c r="D392" s="84">
        <v>-574.08000000000004</v>
      </c>
    </row>
    <row r="393" spans="1:4" x14ac:dyDescent="0.3">
      <c r="A393" s="61" t="s">
        <v>439</v>
      </c>
      <c r="B393" s="84">
        <v>0</v>
      </c>
      <c r="C393" s="84">
        <v>813.67</v>
      </c>
      <c r="D393" s="84">
        <v>-813.67</v>
      </c>
    </row>
    <row r="394" spans="1:4" x14ac:dyDescent="0.3">
      <c r="A394" s="61" t="s">
        <v>440</v>
      </c>
      <c r="B394" s="84">
        <v>0</v>
      </c>
      <c r="C394" s="84">
        <v>551.84</v>
      </c>
      <c r="D394" s="84">
        <v>-551.84</v>
      </c>
    </row>
    <row r="395" spans="1:4" x14ac:dyDescent="0.3">
      <c r="A395" s="61" t="s">
        <v>446</v>
      </c>
      <c r="B395" s="84">
        <v>0</v>
      </c>
      <c r="C395" s="84">
        <v>996.11</v>
      </c>
      <c r="D395" s="84">
        <v>-996.11</v>
      </c>
    </row>
    <row r="396" spans="1:4" x14ac:dyDescent="0.3">
      <c r="A396" s="61" t="s">
        <v>447</v>
      </c>
      <c r="B396" s="84">
        <v>0</v>
      </c>
      <c r="C396" s="84">
        <v>445.49</v>
      </c>
      <c r="D396" s="84">
        <v>-445.49</v>
      </c>
    </row>
    <row r="397" spans="1:4" x14ac:dyDescent="0.3">
      <c r="A397" s="61" t="s">
        <v>448</v>
      </c>
      <c r="B397" s="84">
        <v>0</v>
      </c>
      <c r="C397" s="84">
        <v>2790.3</v>
      </c>
      <c r="D397" s="84">
        <v>-2790.3</v>
      </c>
    </row>
    <row r="398" spans="1:4" x14ac:dyDescent="0.3">
      <c r="A398" s="61" t="s">
        <v>449</v>
      </c>
      <c r="B398" s="84">
        <v>0</v>
      </c>
      <c r="C398" s="84">
        <v>2104.86</v>
      </c>
      <c r="D398" s="84">
        <v>-2104.86</v>
      </c>
    </row>
    <row r="399" spans="1:4" x14ac:dyDescent="0.3">
      <c r="A399" s="61" t="s">
        <v>450</v>
      </c>
      <c r="B399" s="84">
        <v>0</v>
      </c>
      <c r="C399" s="84">
        <v>5113.04</v>
      </c>
      <c r="D399" s="84">
        <v>-5113.04</v>
      </c>
    </row>
    <row r="400" spans="1:4" x14ac:dyDescent="0.3">
      <c r="A400" s="61" t="s">
        <v>451</v>
      </c>
      <c r="B400" s="84">
        <v>0</v>
      </c>
      <c r="C400" s="84">
        <v>1194.2</v>
      </c>
      <c r="D400" s="84">
        <v>-1194.2</v>
      </c>
    </row>
    <row r="401" spans="1:4" x14ac:dyDescent="0.3">
      <c r="A401" s="61" t="s">
        <v>452</v>
      </c>
      <c r="B401" s="84">
        <v>0</v>
      </c>
      <c r="C401" s="84">
        <v>2328.36</v>
      </c>
      <c r="D401" s="84">
        <v>-2328.36</v>
      </c>
    </row>
    <row r="402" spans="1:4" x14ac:dyDescent="0.3">
      <c r="A402" s="61" t="s">
        <v>453</v>
      </c>
      <c r="B402" s="84">
        <v>0</v>
      </c>
      <c r="C402" s="84">
        <v>275.60000000000002</v>
      </c>
      <c r="D402" s="84">
        <v>-275.60000000000002</v>
      </c>
    </row>
    <row r="403" spans="1:4" x14ac:dyDescent="0.3">
      <c r="A403" s="61" t="s">
        <v>454</v>
      </c>
      <c r="B403" s="84">
        <v>0</v>
      </c>
      <c r="C403" s="84">
        <v>6161.5</v>
      </c>
      <c r="D403" s="84">
        <v>-6161.5</v>
      </c>
    </row>
    <row r="404" spans="1:4" x14ac:dyDescent="0.3">
      <c r="A404" s="61" t="s">
        <v>455</v>
      </c>
      <c r="B404" s="84">
        <v>0</v>
      </c>
      <c r="C404" s="84">
        <v>81</v>
      </c>
      <c r="D404" s="84">
        <v>-81</v>
      </c>
    </row>
    <row r="405" spans="1:4" x14ac:dyDescent="0.3">
      <c r="A405" s="61" t="s">
        <v>456</v>
      </c>
      <c r="B405" s="84">
        <v>0</v>
      </c>
      <c r="C405" s="84">
        <v>291.2</v>
      </c>
      <c r="D405" s="84">
        <v>-291.2</v>
      </c>
    </row>
    <row r="406" spans="1:4" x14ac:dyDescent="0.3">
      <c r="A406" s="61" t="s">
        <v>457</v>
      </c>
      <c r="B406" s="84">
        <v>0</v>
      </c>
      <c r="C406" s="84">
        <v>4527.82</v>
      </c>
      <c r="D406" s="84">
        <v>-4527.82</v>
      </c>
    </row>
    <row r="407" spans="1:4" x14ac:dyDescent="0.3">
      <c r="A407" s="61" t="s">
        <v>458</v>
      </c>
      <c r="B407" s="84">
        <v>0</v>
      </c>
      <c r="C407" s="84">
        <v>705.69</v>
      </c>
      <c r="D407" s="84">
        <v>-705.69</v>
      </c>
    </row>
    <row r="408" spans="1:4" x14ac:dyDescent="0.3">
      <c r="A408" s="61" t="s">
        <v>459</v>
      </c>
      <c r="B408" s="84">
        <v>0</v>
      </c>
      <c r="C408" s="84">
        <v>1795.5</v>
      </c>
      <c r="D408" s="84">
        <v>-1795.5</v>
      </c>
    </row>
    <row r="409" spans="1:4" x14ac:dyDescent="0.3">
      <c r="A409" s="61" t="s">
        <v>460</v>
      </c>
      <c r="B409" s="84">
        <v>0</v>
      </c>
      <c r="C409" s="84">
        <v>719.25</v>
      </c>
      <c r="D409" s="84">
        <v>-719.25</v>
      </c>
    </row>
    <row r="410" spans="1:4" x14ac:dyDescent="0.3">
      <c r="A410" s="61" t="s">
        <v>461</v>
      </c>
      <c r="B410" s="84">
        <v>0</v>
      </c>
      <c r="C410" s="84">
        <v>61.2</v>
      </c>
      <c r="D410" s="84">
        <v>-61.2</v>
      </c>
    </row>
    <row r="411" spans="1:4" x14ac:dyDescent="0.3">
      <c r="A411" s="61" t="s">
        <v>462</v>
      </c>
      <c r="B411" s="84">
        <v>0</v>
      </c>
      <c r="C411" s="84">
        <v>458.16</v>
      </c>
      <c r="D411" s="84">
        <v>-458.16</v>
      </c>
    </row>
    <row r="412" spans="1:4" x14ac:dyDescent="0.3">
      <c r="A412" s="61" t="s">
        <v>463</v>
      </c>
      <c r="B412" s="84">
        <v>0</v>
      </c>
      <c r="C412" s="84">
        <v>1392.23</v>
      </c>
      <c r="D412" s="84">
        <v>-1392.23</v>
      </c>
    </row>
    <row r="413" spans="1:4" x14ac:dyDescent="0.3">
      <c r="A413" s="61" t="s">
        <v>464</v>
      </c>
      <c r="B413" s="84">
        <v>0</v>
      </c>
      <c r="C413" s="84">
        <v>106.95</v>
      </c>
      <c r="D413" s="84">
        <v>-106.95</v>
      </c>
    </row>
    <row r="414" spans="1:4" x14ac:dyDescent="0.3">
      <c r="A414" s="61" t="s">
        <v>465</v>
      </c>
      <c r="B414" s="84">
        <v>0</v>
      </c>
      <c r="C414" s="84">
        <v>330</v>
      </c>
      <c r="D414" s="84">
        <v>-330</v>
      </c>
    </row>
    <row r="415" spans="1:4" x14ac:dyDescent="0.3">
      <c r="A415" s="61" t="s">
        <v>466</v>
      </c>
      <c r="B415" s="84">
        <v>0</v>
      </c>
      <c r="C415" s="84">
        <v>1286.49</v>
      </c>
      <c r="D415" s="84">
        <v>-1286.49</v>
      </c>
    </row>
    <row r="416" spans="1:4" x14ac:dyDescent="0.3">
      <c r="A416" s="61" t="s">
        <v>467</v>
      </c>
      <c r="B416" s="84">
        <v>0</v>
      </c>
      <c r="C416" s="84">
        <v>628.26</v>
      </c>
      <c r="D416" s="84">
        <v>-628.26</v>
      </c>
    </row>
    <row r="417" spans="1:4" x14ac:dyDescent="0.3">
      <c r="A417" s="61" t="s">
        <v>468</v>
      </c>
      <c r="B417" s="84">
        <v>0</v>
      </c>
      <c r="C417" s="84">
        <v>393.25</v>
      </c>
      <c r="D417" s="84">
        <v>-393.25</v>
      </c>
    </row>
    <row r="418" spans="1:4" x14ac:dyDescent="0.3">
      <c r="A418" s="61" t="s">
        <v>469</v>
      </c>
      <c r="B418" s="84">
        <v>0</v>
      </c>
      <c r="C418" s="84">
        <v>356.98</v>
      </c>
      <c r="D418" s="84">
        <v>-356.98</v>
      </c>
    </row>
    <row r="419" spans="1:4" x14ac:dyDescent="0.3">
      <c r="A419" s="61" t="s">
        <v>470</v>
      </c>
      <c r="B419" s="84">
        <v>0</v>
      </c>
      <c r="C419" s="84">
        <v>1356</v>
      </c>
      <c r="D419" s="84">
        <v>-1356</v>
      </c>
    </row>
    <row r="420" spans="1:4" x14ac:dyDescent="0.3">
      <c r="A420" s="61" t="s">
        <v>471</v>
      </c>
      <c r="B420" s="84">
        <v>0</v>
      </c>
      <c r="C420" s="84">
        <v>56</v>
      </c>
      <c r="D420" s="84">
        <v>-56</v>
      </c>
    </row>
    <row r="421" spans="1:4" x14ac:dyDescent="0.3">
      <c r="A421" s="61" t="s">
        <v>472</v>
      </c>
      <c r="B421" s="84">
        <v>0</v>
      </c>
      <c r="C421" s="84">
        <v>2038.4</v>
      </c>
      <c r="D421" s="84">
        <v>-2038.4</v>
      </c>
    </row>
    <row r="422" spans="1:4" x14ac:dyDescent="0.3">
      <c r="A422" s="61" t="s">
        <v>473</v>
      </c>
      <c r="B422" s="84">
        <v>0</v>
      </c>
      <c r="C422" s="84">
        <v>2234.4899999999998</v>
      </c>
      <c r="D422" s="84">
        <v>-2234.4899999999998</v>
      </c>
    </row>
    <row r="423" spans="1:4" x14ac:dyDescent="0.3">
      <c r="A423" s="61" t="s">
        <v>474</v>
      </c>
      <c r="B423" s="84">
        <v>0</v>
      </c>
      <c r="C423" s="84">
        <v>658.5</v>
      </c>
      <c r="D423" s="84">
        <v>-658.5</v>
      </c>
    </row>
    <row r="424" spans="1:4" x14ac:dyDescent="0.3">
      <c r="A424" s="61" t="s">
        <v>475</v>
      </c>
      <c r="B424" s="84">
        <v>0</v>
      </c>
      <c r="C424" s="84">
        <v>2231</v>
      </c>
      <c r="D424" s="84">
        <v>-2231</v>
      </c>
    </row>
    <row r="425" spans="1:4" x14ac:dyDescent="0.3">
      <c r="A425" s="61" t="s">
        <v>476</v>
      </c>
      <c r="B425" s="84">
        <v>0</v>
      </c>
      <c r="C425" s="84">
        <v>1063</v>
      </c>
      <c r="D425" s="84">
        <v>-1063</v>
      </c>
    </row>
    <row r="426" spans="1:4" x14ac:dyDescent="0.3">
      <c r="A426" s="61" t="s">
        <v>477</v>
      </c>
      <c r="B426" s="84">
        <v>0</v>
      </c>
      <c r="C426" s="84">
        <v>1276</v>
      </c>
      <c r="D426" s="84">
        <v>-1276</v>
      </c>
    </row>
    <row r="427" spans="1:4" x14ac:dyDescent="0.3">
      <c r="A427" s="61" t="s">
        <v>478</v>
      </c>
      <c r="B427" s="84">
        <v>0</v>
      </c>
      <c r="C427" s="84">
        <v>1251.52</v>
      </c>
      <c r="D427" s="84">
        <v>-1251.52</v>
      </c>
    </row>
    <row r="428" spans="1:4" x14ac:dyDescent="0.3">
      <c r="A428" s="61" t="s">
        <v>479</v>
      </c>
      <c r="B428" s="84">
        <v>0</v>
      </c>
      <c r="C428" s="84">
        <v>290.56</v>
      </c>
      <c r="D428" s="84">
        <v>-290.56</v>
      </c>
    </row>
    <row r="429" spans="1:4" x14ac:dyDescent="0.3">
      <c r="A429" s="61" t="s">
        <v>480</v>
      </c>
      <c r="B429" s="84">
        <v>0</v>
      </c>
      <c r="C429" s="84">
        <v>2506.6999999999998</v>
      </c>
      <c r="D429" s="84">
        <v>-2506.6999999999998</v>
      </c>
    </row>
    <row r="430" spans="1:4" x14ac:dyDescent="0.3">
      <c r="A430" s="61" t="s">
        <v>481</v>
      </c>
      <c r="B430" s="84">
        <v>0</v>
      </c>
      <c r="C430" s="84">
        <v>3328.41</v>
      </c>
      <c r="D430" s="84">
        <v>-3328.41</v>
      </c>
    </row>
    <row r="431" spans="1:4" x14ac:dyDescent="0.3">
      <c r="A431" s="61" t="s">
        <v>482</v>
      </c>
      <c r="B431" s="84">
        <v>0</v>
      </c>
      <c r="C431" s="84">
        <v>1393.39</v>
      </c>
      <c r="D431" s="84">
        <v>-1393.39</v>
      </c>
    </row>
    <row r="432" spans="1:4" x14ac:dyDescent="0.3">
      <c r="A432" s="61" t="s">
        <v>483</v>
      </c>
      <c r="B432" s="84">
        <v>0</v>
      </c>
      <c r="C432" s="84">
        <v>438.04</v>
      </c>
      <c r="D432" s="84">
        <v>-438.04</v>
      </c>
    </row>
    <row r="433" spans="1:4" x14ac:dyDescent="0.3">
      <c r="A433" s="61" t="s">
        <v>484</v>
      </c>
      <c r="B433" s="84">
        <v>0</v>
      </c>
      <c r="C433" s="84">
        <v>148</v>
      </c>
      <c r="D433" s="84">
        <v>-148</v>
      </c>
    </row>
    <row r="434" spans="1:4" x14ac:dyDescent="0.3">
      <c r="A434" s="61" t="s">
        <v>485</v>
      </c>
      <c r="B434" s="84">
        <v>0</v>
      </c>
      <c r="C434" s="84">
        <v>47.4</v>
      </c>
      <c r="D434" s="84">
        <v>-47.4</v>
      </c>
    </row>
    <row r="435" spans="1:4" x14ac:dyDescent="0.3">
      <c r="A435" s="61" t="s">
        <v>486</v>
      </c>
      <c r="B435" s="84">
        <v>0</v>
      </c>
      <c r="C435" s="84">
        <v>4454.4799999999996</v>
      </c>
      <c r="D435" s="84">
        <v>-4454.4799999999996</v>
      </c>
    </row>
    <row r="436" spans="1:4" x14ac:dyDescent="0.3">
      <c r="A436" s="61" t="s">
        <v>487</v>
      </c>
      <c r="B436" s="84">
        <v>0</v>
      </c>
      <c r="C436" s="84">
        <v>1421.22</v>
      </c>
      <c r="D436" s="84">
        <v>-1421.22</v>
      </c>
    </row>
    <row r="437" spans="1:4" x14ac:dyDescent="0.3">
      <c r="A437" s="61" t="s">
        <v>488</v>
      </c>
      <c r="B437" s="84">
        <v>0</v>
      </c>
      <c r="C437" s="84">
        <v>2181.85</v>
      </c>
      <c r="D437" s="84">
        <v>-2181.85</v>
      </c>
    </row>
    <row r="438" spans="1:4" x14ac:dyDescent="0.3">
      <c r="A438" s="61" t="s">
        <v>489</v>
      </c>
      <c r="B438" s="84">
        <v>0</v>
      </c>
      <c r="C438" s="84">
        <v>1532.66</v>
      </c>
      <c r="D438" s="84">
        <v>-1532.66</v>
      </c>
    </row>
    <row r="439" spans="1:4" x14ac:dyDescent="0.3">
      <c r="A439" s="61" t="s">
        <v>490</v>
      </c>
      <c r="B439" s="84">
        <v>0</v>
      </c>
      <c r="C439" s="84">
        <v>330</v>
      </c>
      <c r="D439" s="84">
        <v>-330</v>
      </c>
    </row>
    <row r="440" spans="1:4" x14ac:dyDescent="0.3">
      <c r="A440" s="61" t="s">
        <v>491</v>
      </c>
      <c r="B440" s="84">
        <v>0</v>
      </c>
      <c r="C440" s="84">
        <v>1206.5899999999999</v>
      </c>
      <c r="D440" s="84">
        <v>-1206.5899999999999</v>
      </c>
    </row>
    <row r="441" spans="1:4" x14ac:dyDescent="0.3">
      <c r="A441" s="61" t="s">
        <v>492</v>
      </c>
      <c r="B441" s="84">
        <v>0</v>
      </c>
      <c r="C441" s="84">
        <v>1737.18</v>
      </c>
      <c r="D441" s="84">
        <v>-1737.18</v>
      </c>
    </row>
    <row r="442" spans="1:4" x14ac:dyDescent="0.3">
      <c r="A442" s="61" t="s">
        <v>493</v>
      </c>
      <c r="B442" s="84">
        <v>0</v>
      </c>
      <c r="C442" s="84">
        <v>1189.31</v>
      </c>
      <c r="D442" s="84">
        <v>-1189.31</v>
      </c>
    </row>
    <row r="443" spans="1:4" x14ac:dyDescent="0.3">
      <c r="A443" s="61" t="s">
        <v>494</v>
      </c>
      <c r="B443" s="84">
        <v>0</v>
      </c>
      <c r="C443" s="84">
        <v>552.47</v>
      </c>
      <c r="D443" s="84">
        <v>-552.47</v>
      </c>
    </row>
    <row r="444" spans="1:4" x14ac:dyDescent="0.3">
      <c r="A444" s="61" t="s">
        <v>495</v>
      </c>
      <c r="B444" s="84">
        <v>0</v>
      </c>
      <c r="C444" s="84">
        <v>672.95</v>
      </c>
      <c r="D444" s="84">
        <v>-672.95</v>
      </c>
    </row>
    <row r="445" spans="1:4" x14ac:dyDescent="0.3">
      <c r="A445" s="61" t="s">
        <v>496</v>
      </c>
      <c r="B445" s="84">
        <v>0</v>
      </c>
      <c r="C445" s="84">
        <v>1844.3</v>
      </c>
      <c r="D445" s="84">
        <v>-1844.3</v>
      </c>
    </row>
    <row r="446" spans="1:4" x14ac:dyDescent="0.3">
      <c r="A446" s="61" t="s">
        <v>497</v>
      </c>
      <c r="B446" s="84">
        <v>0</v>
      </c>
      <c r="C446" s="84">
        <v>1010.86</v>
      </c>
      <c r="D446" s="84">
        <v>-1010.86</v>
      </c>
    </row>
    <row r="447" spans="1:4" x14ac:dyDescent="0.3">
      <c r="A447" s="61" t="s">
        <v>498</v>
      </c>
      <c r="B447" s="84">
        <v>0</v>
      </c>
      <c r="C447" s="84">
        <v>290</v>
      </c>
      <c r="D447" s="84">
        <v>-290</v>
      </c>
    </row>
    <row r="448" spans="1:4" x14ac:dyDescent="0.3">
      <c r="A448" s="61" t="s">
        <v>499</v>
      </c>
      <c r="B448" s="84">
        <v>0</v>
      </c>
      <c r="C448" s="84">
        <v>907.83</v>
      </c>
      <c r="D448" s="84">
        <v>-907.83</v>
      </c>
    </row>
    <row r="449" spans="1:4" x14ac:dyDescent="0.3">
      <c r="A449" s="61" t="s">
        <v>500</v>
      </c>
      <c r="B449" s="84">
        <v>0</v>
      </c>
      <c r="C449" s="84">
        <v>1694.84</v>
      </c>
      <c r="D449" s="84">
        <v>-1694.84</v>
      </c>
    </row>
    <row r="450" spans="1:4" x14ac:dyDescent="0.3">
      <c r="A450" s="61" t="s">
        <v>501</v>
      </c>
      <c r="B450" s="84">
        <v>0</v>
      </c>
      <c r="C450" s="84">
        <v>868.62</v>
      </c>
      <c r="D450" s="84">
        <v>-868.62</v>
      </c>
    </row>
    <row r="451" spans="1:4" x14ac:dyDescent="0.3">
      <c r="A451" s="61" t="s">
        <v>502</v>
      </c>
      <c r="B451" s="84">
        <v>0</v>
      </c>
      <c r="C451" s="84">
        <v>1735.04</v>
      </c>
      <c r="D451" s="84">
        <v>-1735.04</v>
      </c>
    </row>
    <row r="452" spans="1:4" x14ac:dyDescent="0.3">
      <c r="A452" s="61" t="s">
        <v>503</v>
      </c>
      <c r="B452" s="84">
        <v>0</v>
      </c>
      <c r="C452" s="84">
        <v>160</v>
      </c>
      <c r="D452" s="84">
        <v>-160</v>
      </c>
    </row>
    <row r="453" spans="1:4" x14ac:dyDescent="0.3">
      <c r="A453" s="61" t="s">
        <v>504</v>
      </c>
      <c r="B453" s="84">
        <v>0</v>
      </c>
      <c r="C453" s="84">
        <v>3264.11</v>
      </c>
      <c r="D453" s="84">
        <v>-3264.11</v>
      </c>
    </row>
    <row r="454" spans="1:4" x14ac:dyDescent="0.3">
      <c r="A454" s="61" t="s">
        <v>505</v>
      </c>
      <c r="B454" s="84">
        <v>0</v>
      </c>
      <c r="C454" s="84">
        <v>3712.23</v>
      </c>
      <c r="D454" s="84">
        <v>-3712.23</v>
      </c>
    </row>
    <row r="455" spans="1:4" x14ac:dyDescent="0.3">
      <c r="A455" s="61" t="s">
        <v>506</v>
      </c>
      <c r="B455" s="84">
        <v>0</v>
      </c>
      <c r="C455" s="84">
        <v>1905</v>
      </c>
      <c r="D455" s="84">
        <v>-1905</v>
      </c>
    </row>
    <row r="456" spans="1:4" x14ac:dyDescent="0.3">
      <c r="A456" s="61" t="s">
        <v>507</v>
      </c>
      <c r="B456" s="84">
        <v>0</v>
      </c>
      <c r="C456" s="84">
        <v>248</v>
      </c>
      <c r="D456" s="84">
        <v>-248</v>
      </c>
    </row>
    <row r="457" spans="1:4" x14ac:dyDescent="0.3">
      <c r="A457" s="61" t="s">
        <v>508</v>
      </c>
      <c r="B457" s="84">
        <v>0</v>
      </c>
      <c r="C457" s="84">
        <v>2556</v>
      </c>
      <c r="D457" s="84">
        <v>-2556</v>
      </c>
    </row>
    <row r="458" spans="1:4" x14ac:dyDescent="0.3">
      <c r="A458" s="61" t="s">
        <v>509</v>
      </c>
      <c r="B458" s="84">
        <v>0</v>
      </c>
      <c r="C458" s="84">
        <v>600</v>
      </c>
      <c r="D458" s="84">
        <v>-600</v>
      </c>
    </row>
    <row r="459" spans="1:4" x14ac:dyDescent="0.3">
      <c r="A459" s="61" t="s">
        <v>510</v>
      </c>
      <c r="B459" s="84">
        <v>0</v>
      </c>
      <c r="C459" s="84">
        <v>3450.39</v>
      </c>
      <c r="D459" s="84">
        <v>-3450.39</v>
      </c>
    </row>
    <row r="460" spans="1:4" x14ac:dyDescent="0.3">
      <c r="A460" s="61" t="s">
        <v>511</v>
      </c>
      <c r="B460" s="84">
        <v>0</v>
      </c>
      <c r="C460" s="84">
        <v>1280</v>
      </c>
      <c r="D460" s="84">
        <v>-1280</v>
      </c>
    </row>
    <row r="461" spans="1:4" x14ac:dyDescent="0.3">
      <c r="A461" s="61" t="s">
        <v>512</v>
      </c>
      <c r="B461" s="84">
        <v>0</v>
      </c>
      <c r="C461" s="84">
        <v>3046.26</v>
      </c>
      <c r="D461" s="84">
        <v>-3046.26</v>
      </c>
    </row>
    <row r="462" spans="1:4" x14ac:dyDescent="0.3">
      <c r="A462" s="61" t="s">
        <v>513</v>
      </c>
      <c r="B462" s="84">
        <v>0</v>
      </c>
      <c r="C462" s="84">
        <v>292.11</v>
      </c>
      <c r="D462" s="84">
        <v>-292.11</v>
      </c>
    </row>
    <row r="463" spans="1:4" x14ac:dyDescent="0.3">
      <c r="A463" s="61" t="s">
        <v>514</v>
      </c>
      <c r="B463" s="84">
        <v>0</v>
      </c>
      <c r="C463" s="84">
        <v>2346.2399999999998</v>
      </c>
      <c r="D463" s="84">
        <v>-2346.2399999999998</v>
      </c>
    </row>
    <row r="464" spans="1:4" x14ac:dyDescent="0.3">
      <c r="A464" s="61" t="s">
        <v>515</v>
      </c>
      <c r="B464" s="84">
        <v>0</v>
      </c>
      <c r="C464" s="84">
        <v>1773.78</v>
      </c>
      <c r="D464" s="84">
        <v>-1773.78</v>
      </c>
    </row>
    <row r="465" spans="1:4" x14ac:dyDescent="0.3">
      <c r="A465" s="61" t="s">
        <v>516</v>
      </c>
      <c r="B465" s="84">
        <v>0</v>
      </c>
      <c r="C465" s="84">
        <v>2117.0500000000002</v>
      </c>
      <c r="D465" s="84">
        <v>-2117.0500000000002</v>
      </c>
    </row>
    <row r="466" spans="1:4" x14ac:dyDescent="0.3">
      <c r="A466" s="61" t="s">
        <v>517</v>
      </c>
      <c r="B466" s="84">
        <v>0</v>
      </c>
      <c r="C466" s="84">
        <v>1293.51</v>
      </c>
      <c r="D466" s="84">
        <v>-1293.51</v>
      </c>
    </row>
    <row r="467" spans="1:4" x14ac:dyDescent="0.3">
      <c r="A467" s="61" t="s">
        <v>518</v>
      </c>
      <c r="B467" s="84">
        <v>0</v>
      </c>
      <c r="C467" s="84">
        <v>5133.5</v>
      </c>
      <c r="D467" s="84">
        <v>-5133.5</v>
      </c>
    </row>
    <row r="468" spans="1:4" x14ac:dyDescent="0.3">
      <c r="A468" s="61" t="s">
        <v>519</v>
      </c>
      <c r="B468" s="84">
        <v>0</v>
      </c>
      <c r="C468" s="84">
        <v>325</v>
      </c>
      <c r="D468" s="84">
        <v>-325</v>
      </c>
    </row>
    <row r="469" spans="1:4" x14ac:dyDescent="0.3">
      <c r="A469" s="61" t="s">
        <v>520</v>
      </c>
      <c r="B469" s="84">
        <v>0</v>
      </c>
      <c r="C469" s="84">
        <v>10880</v>
      </c>
      <c r="D469" s="84">
        <v>-10880</v>
      </c>
    </row>
    <row r="470" spans="1:4" x14ac:dyDescent="0.3">
      <c r="A470" s="61" t="s">
        <v>521</v>
      </c>
      <c r="B470" s="84">
        <v>0</v>
      </c>
      <c r="C470" s="84">
        <v>287.04000000000002</v>
      </c>
      <c r="D470" s="84">
        <v>-287.04000000000002</v>
      </c>
    </row>
    <row r="471" spans="1:4" x14ac:dyDescent="0.3">
      <c r="A471" s="61" t="s">
        <v>522</v>
      </c>
      <c r="B471" s="84">
        <v>0</v>
      </c>
      <c r="C471" s="84">
        <v>2890.24</v>
      </c>
      <c r="D471" s="84">
        <v>-2890.24</v>
      </c>
    </row>
    <row r="472" spans="1:4" x14ac:dyDescent="0.3">
      <c r="A472" s="61" t="s">
        <v>523</v>
      </c>
      <c r="B472" s="84">
        <v>0</v>
      </c>
      <c r="C472" s="84">
        <v>2175.66</v>
      </c>
      <c r="D472" s="84">
        <v>-2175.66</v>
      </c>
    </row>
    <row r="473" spans="1:4" x14ac:dyDescent="0.3">
      <c r="A473" s="61" t="s">
        <v>524</v>
      </c>
      <c r="B473" s="84">
        <v>0</v>
      </c>
      <c r="C473" s="84">
        <v>878.97</v>
      </c>
      <c r="D473" s="84">
        <v>-878.97</v>
      </c>
    </row>
    <row r="474" spans="1:4" x14ac:dyDescent="0.3">
      <c r="A474" s="61" t="s">
        <v>525</v>
      </c>
      <c r="B474" s="84">
        <v>0</v>
      </c>
      <c r="C474" s="84">
        <v>5725.07</v>
      </c>
      <c r="D474" s="84">
        <v>-5725.07</v>
      </c>
    </row>
    <row r="475" spans="1:4" x14ac:dyDescent="0.3">
      <c r="A475" s="61" t="s">
        <v>526</v>
      </c>
      <c r="B475" s="84">
        <v>0</v>
      </c>
      <c r="C475" s="84">
        <v>1879.72</v>
      </c>
      <c r="D475" s="84">
        <v>-1879.72</v>
      </c>
    </row>
    <row r="476" spans="1:4" x14ac:dyDescent="0.3">
      <c r="A476" s="61" t="s">
        <v>527</v>
      </c>
      <c r="B476" s="84">
        <v>0</v>
      </c>
      <c r="C476" s="84">
        <v>168</v>
      </c>
      <c r="D476" s="84">
        <v>-168</v>
      </c>
    </row>
    <row r="477" spans="1:4" x14ac:dyDescent="0.3">
      <c r="A477" s="61" t="s">
        <v>530</v>
      </c>
      <c r="B477" s="84">
        <v>0</v>
      </c>
      <c r="C477" s="84">
        <v>2059.84</v>
      </c>
      <c r="D477" s="84">
        <v>-2059.84</v>
      </c>
    </row>
    <row r="478" spans="1:4" x14ac:dyDescent="0.3">
      <c r="A478" s="61" t="s">
        <v>531</v>
      </c>
      <c r="B478" s="84">
        <v>0</v>
      </c>
      <c r="C478" s="84">
        <v>810.99</v>
      </c>
      <c r="D478" s="84">
        <v>-810.99</v>
      </c>
    </row>
    <row r="479" spans="1:4" x14ac:dyDescent="0.3">
      <c r="A479" s="61" t="s">
        <v>532</v>
      </c>
      <c r="B479" s="84">
        <v>0</v>
      </c>
      <c r="C479" s="84">
        <v>324</v>
      </c>
      <c r="D479" s="84">
        <v>-324</v>
      </c>
    </row>
    <row r="480" spans="1:4" x14ac:dyDescent="0.3">
      <c r="A480" s="61" t="s">
        <v>533</v>
      </c>
      <c r="B480" s="84">
        <v>0</v>
      </c>
      <c r="C480" s="84">
        <v>402.06</v>
      </c>
      <c r="D480" s="84">
        <v>-402.06</v>
      </c>
    </row>
    <row r="481" spans="1:4" x14ac:dyDescent="0.3">
      <c r="A481" s="61" t="s">
        <v>534</v>
      </c>
      <c r="B481" s="84">
        <v>0</v>
      </c>
      <c r="C481" s="84">
        <v>1099.8900000000001</v>
      </c>
      <c r="D481" s="84">
        <v>-1099.8900000000001</v>
      </c>
    </row>
    <row r="482" spans="1:4" x14ac:dyDescent="0.3">
      <c r="A482" s="61" t="s">
        <v>535</v>
      </c>
      <c r="B482" s="84">
        <v>0</v>
      </c>
      <c r="C482" s="84">
        <v>192</v>
      </c>
      <c r="D482" s="84">
        <v>-192</v>
      </c>
    </row>
    <row r="483" spans="1:4" x14ac:dyDescent="0.3">
      <c r="A483" s="61" t="s">
        <v>536</v>
      </c>
      <c r="B483" s="84">
        <v>0</v>
      </c>
      <c r="C483" s="84">
        <v>96</v>
      </c>
      <c r="D483" s="84">
        <v>-96</v>
      </c>
    </row>
    <row r="484" spans="1:4" x14ac:dyDescent="0.3">
      <c r="A484" s="61" t="s">
        <v>537</v>
      </c>
      <c r="B484" s="84">
        <v>0</v>
      </c>
      <c r="C484" s="84">
        <v>603</v>
      </c>
      <c r="D484" s="84">
        <v>-603</v>
      </c>
    </row>
    <row r="485" spans="1:4" x14ac:dyDescent="0.3">
      <c r="A485" s="61" t="s">
        <v>538</v>
      </c>
      <c r="B485" s="84">
        <v>0</v>
      </c>
      <c r="C485" s="84">
        <v>420</v>
      </c>
      <c r="D485" s="84">
        <v>-420</v>
      </c>
    </row>
    <row r="486" spans="1:4" x14ac:dyDescent="0.3">
      <c r="A486" s="61" t="s">
        <v>539</v>
      </c>
      <c r="B486" s="84">
        <v>0</v>
      </c>
      <c r="C486" s="84">
        <v>147</v>
      </c>
      <c r="D486" s="84">
        <v>-147</v>
      </c>
    </row>
    <row r="487" spans="1:4" x14ac:dyDescent="0.3">
      <c r="A487" s="61" t="s">
        <v>540</v>
      </c>
      <c r="B487" s="84">
        <v>0</v>
      </c>
      <c r="C487" s="84">
        <v>1060.48</v>
      </c>
      <c r="D487" s="84">
        <v>-1060.48</v>
      </c>
    </row>
    <row r="488" spans="1:4" x14ac:dyDescent="0.3">
      <c r="A488" s="61" t="s">
        <v>541</v>
      </c>
      <c r="B488" s="84">
        <v>0</v>
      </c>
      <c r="C488" s="84">
        <v>234</v>
      </c>
      <c r="D488" s="84">
        <v>-234</v>
      </c>
    </row>
    <row r="489" spans="1:4" x14ac:dyDescent="0.3">
      <c r="A489" s="61" t="s">
        <v>542</v>
      </c>
      <c r="B489" s="84">
        <v>0</v>
      </c>
      <c r="C489" s="84">
        <v>867.25</v>
      </c>
      <c r="D489" s="84">
        <v>-867.25</v>
      </c>
    </row>
    <row r="490" spans="1:4" x14ac:dyDescent="0.3">
      <c r="A490" s="61" t="s">
        <v>543</v>
      </c>
      <c r="B490" s="84">
        <v>0</v>
      </c>
      <c r="C490" s="84">
        <v>1204.3900000000001</v>
      </c>
      <c r="D490" s="84">
        <v>-1204.3900000000001</v>
      </c>
    </row>
    <row r="491" spans="1:4" x14ac:dyDescent="0.3">
      <c r="A491" s="61" t="s">
        <v>544</v>
      </c>
      <c r="B491" s="84">
        <v>0</v>
      </c>
      <c r="C491" s="84">
        <v>137.4</v>
      </c>
      <c r="D491" s="84">
        <v>-137.4</v>
      </c>
    </row>
    <row r="492" spans="1:4" x14ac:dyDescent="0.3">
      <c r="A492" s="61" t="s">
        <v>545</v>
      </c>
      <c r="B492" s="84">
        <v>0</v>
      </c>
      <c r="C492" s="84">
        <v>749.6</v>
      </c>
      <c r="D492" s="84">
        <v>-749.6</v>
      </c>
    </row>
    <row r="493" spans="1:4" x14ac:dyDescent="0.3">
      <c r="A493" s="61" t="s">
        <v>546</v>
      </c>
      <c r="B493" s="84">
        <v>0</v>
      </c>
      <c r="C493" s="84">
        <v>1821.79</v>
      </c>
      <c r="D493" s="84">
        <v>-1821.79</v>
      </c>
    </row>
    <row r="494" spans="1:4" x14ac:dyDescent="0.3">
      <c r="A494" s="61" t="s">
        <v>547</v>
      </c>
      <c r="B494" s="84">
        <v>0</v>
      </c>
      <c r="C494" s="84">
        <v>504</v>
      </c>
      <c r="D494" s="84">
        <v>-504</v>
      </c>
    </row>
    <row r="495" spans="1:4" x14ac:dyDescent="0.3">
      <c r="A495" s="61" t="s">
        <v>548</v>
      </c>
      <c r="B495" s="84">
        <v>0</v>
      </c>
      <c r="C495" s="84">
        <v>3021.42</v>
      </c>
      <c r="D495" s="84">
        <v>-3021.42</v>
      </c>
    </row>
    <row r="496" spans="1:4" x14ac:dyDescent="0.3">
      <c r="A496" s="61" t="s">
        <v>549</v>
      </c>
      <c r="B496" s="84">
        <v>0</v>
      </c>
      <c r="C496" s="84">
        <v>596.25</v>
      </c>
      <c r="D496" s="84">
        <v>-596.25</v>
      </c>
    </row>
    <row r="497" spans="1:4" x14ac:dyDescent="0.3">
      <c r="A497" s="61" t="s">
        <v>550</v>
      </c>
      <c r="B497" s="84">
        <v>0</v>
      </c>
      <c r="C497" s="84">
        <v>618</v>
      </c>
      <c r="D497" s="84">
        <v>-618</v>
      </c>
    </row>
    <row r="498" spans="1:4" x14ac:dyDescent="0.3">
      <c r="A498" s="61" t="s">
        <v>551</v>
      </c>
      <c r="B498" s="84">
        <v>0</v>
      </c>
      <c r="C498" s="84">
        <v>589.1</v>
      </c>
      <c r="D498" s="84">
        <v>-589.1</v>
      </c>
    </row>
    <row r="499" spans="1:4" x14ac:dyDescent="0.3">
      <c r="A499" s="61" t="s">
        <v>552</v>
      </c>
      <c r="B499" s="84">
        <v>0</v>
      </c>
      <c r="C499" s="84">
        <v>1492.6</v>
      </c>
      <c r="D499" s="84">
        <v>-1492.6</v>
      </c>
    </row>
    <row r="500" spans="1:4" x14ac:dyDescent="0.3">
      <c r="A500" s="61" t="s">
        <v>553</v>
      </c>
      <c r="B500" s="84">
        <v>0</v>
      </c>
      <c r="C500" s="84">
        <v>1562</v>
      </c>
      <c r="D500" s="84">
        <v>-1562</v>
      </c>
    </row>
    <row r="501" spans="1:4" x14ac:dyDescent="0.3">
      <c r="A501" s="61" t="s">
        <v>554</v>
      </c>
      <c r="B501" s="84">
        <v>0</v>
      </c>
      <c r="C501" s="84">
        <v>2489.7199999999998</v>
      </c>
      <c r="D501" s="84">
        <v>-2489.7199999999998</v>
      </c>
    </row>
    <row r="502" spans="1:4" x14ac:dyDescent="0.3">
      <c r="A502" s="61" t="s">
        <v>555</v>
      </c>
      <c r="B502" s="84">
        <v>0</v>
      </c>
      <c r="C502" s="84">
        <v>420</v>
      </c>
      <c r="D502" s="84">
        <v>-420</v>
      </c>
    </row>
    <row r="503" spans="1:4" x14ac:dyDescent="0.3">
      <c r="A503" s="61" t="s">
        <v>556</v>
      </c>
      <c r="B503" s="84">
        <v>0</v>
      </c>
      <c r="C503" s="84">
        <v>2537.34</v>
      </c>
      <c r="D503" s="84">
        <v>-2537.34</v>
      </c>
    </row>
    <row r="504" spans="1:4" x14ac:dyDescent="0.3">
      <c r="A504" s="61" t="s">
        <v>557</v>
      </c>
      <c r="B504" s="84">
        <v>0</v>
      </c>
      <c r="C504" s="84">
        <v>1001.01</v>
      </c>
      <c r="D504" s="84">
        <v>-1001.01</v>
      </c>
    </row>
    <row r="505" spans="1:4" x14ac:dyDescent="0.3">
      <c r="A505" s="61" t="s">
        <v>558</v>
      </c>
      <c r="B505" s="84">
        <v>0</v>
      </c>
      <c r="C505" s="84">
        <v>366</v>
      </c>
      <c r="D505" s="84">
        <v>-366</v>
      </c>
    </row>
    <row r="506" spans="1:4" x14ac:dyDescent="0.3">
      <c r="A506" s="61" t="s">
        <v>559</v>
      </c>
      <c r="B506" s="84">
        <v>0</v>
      </c>
      <c r="C506" s="84">
        <v>631.54999999999995</v>
      </c>
      <c r="D506" s="84">
        <v>-631.54999999999995</v>
      </c>
    </row>
    <row r="507" spans="1:4" x14ac:dyDescent="0.3">
      <c r="A507" s="61" t="s">
        <v>560</v>
      </c>
      <c r="B507" s="84">
        <v>0</v>
      </c>
      <c r="C507" s="84">
        <v>1433.78</v>
      </c>
      <c r="D507" s="84">
        <v>-1433.78</v>
      </c>
    </row>
    <row r="508" spans="1:4" x14ac:dyDescent="0.3">
      <c r="A508" s="61" t="s">
        <v>561</v>
      </c>
      <c r="B508" s="84">
        <v>0</v>
      </c>
      <c r="C508" s="84">
        <v>504</v>
      </c>
      <c r="D508" s="84">
        <v>-504</v>
      </c>
    </row>
    <row r="509" spans="1:4" x14ac:dyDescent="0.3">
      <c r="A509" s="61" t="s">
        <v>562</v>
      </c>
      <c r="B509" s="84">
        <v>0</v>
      </c>
      <c r="C509" s="84">
        <v>486</v>
      </c>
      <c r="D509" s="84">
        <v>-486</v>
      </c>
    </row>
    <row r="510" spans="1:4" x14ac:dyDescent="0.3">
      <c r="A510" s="61" t="s">
        <v>563</v>
      </c>
      <c r="B510" s="84">
        <v>0</v>
      </c>
      <c r="C510" s="84">
        <v>805.51</v>
      </c>
      <c r="D510" s="84">
        <v>-805.51</v>
      </c>
    </row>
    <row r="511" spans="1:4" x14ac:dyDescent="0.3">
      <c r="A511" s="61" t="s">
        <v>564</v>
      </c>
      <c r="B511" s="84">
        <v>0</v>
      </c>
      <c r="C511" s="84">
        <v>455.86</v>
      </c>
      <c r="D511" s="84">
        <v>-455.86</v>
      </c>
    </row>
    <row r="512" spans="1:4" x14ac:dyDescent="0.3">
      <c r="A512" s="61" t="s">
        <v>565</v>
      </c>
      <c r="B512" s="84">
        <v>0</v>
      </c>
      <c r="C512" s="84">
        <v>727.97</v>
      </c>
      <c r="D512" s="84">
        <v>-727.97</v>
      </c>
    </row>
    <row r="513" spans="1:4" x14ac:dyDescent="0.3">
      <c r="A513" s="61" t="s">
        <v>566</v>
      </c>
      <c r="B513" s="84">
        <v>0</v>
      </c>
      <c r="C513" s="84">
        <v>1364.9</v>
      </c>
      <c r="D513" s="84">
        <v>-1364.9</v>
      </c>
    </row>
    <row r="514" spans="1:4" x14ac:dyDescent="0.3">
      <c r="A514" s="61" t="s">
        <v>573</v>
      </c>
      <c r="B514" s="84">
        <v>0</v>
      </c>
      <c r="C514" s="84">
        <v>7480.86</v>
      </c>
      <c r="D514" s="84">
        <v>-7480.86</v>
      </c>
    </row>
    <row r="515" spans="1:4" x14ac:dyDescent="0.3">
      <c r="A515" s="61" t="s">
        <v>574</v>
      </c>
      <c r="B515" s="84">
        <v>0</v>
      </c>
      <c r="C515" s="84">
        <v>3236.41</v>
      </c>
      <c r="D515" s="84">
        <v>-3236.41</v>
      </c>
    </row>
    <row r="516" spans="1:4" x14ac:dyDescent="0.3">
      <c r="A516" s="61" t="s">
        <v>575</v>
      </c>
      <c r="B516" s="84">
        <v>0</v>
      </c>
      <c r="C516" s="84">
        <v>791.95</v>
      </c>
      <c r="D516" s="84">
        <v>-791.95</v>
      </c>
    </row>
    <row r="517" spans="1:4" x14ac:dyDescent="0.3">
      <c r="A517" s="61" t="s">
        <v>576</v>
      </c>
      <c r="B517" s="84">
        <v>0</v>
      </c>
      <c r="C517" s="84">
        <v>225</v>
      </c>
      <c r="D517" s="84">
        <v>-225</v>
      </c>
    </row>
    <row r="518" spans="1:4" x14ac:dyDescent="0.3">
      <c r="A518" s="61" t="s">
        <v>577</v>
      </c>
      <c r="B518" s="84">
        <v>0</v>
      </c>
      <c r="C518" s="84">
        <v>1909.91</v>
      </c>
      <c r="D518" s="84">
        <v>-1909.91</v>
      </c>
    </row>
    <row r="519" spans="1:4" x14ac:dyDescent="0.3">
      <c r="A519" s="61" t="s">
        <v>578</v>
      </c>
      <c r="B519" s="84">
        <v>0</v>
      </c>
      <c r="C519" s="84">
        <v>681</v>
      </c>
      <c r="D519" s="84">
        <v>-681</v>
      </c>
    </row>
    <row r="520" spans="1:4" x14ac:dyDescent="0.3">
      <c r="A520" s="61" t="s">
        <v>579</v>
      </c>
      <c r="B520" s="84">
        <v>0</v>
      </c>
      <c r="C520" s="84">
        <v>5403.71</v>
      </c>
      <c r="D520" s="84">
        <v>-5403.71</v>
      </c>
    </row>
    <row r="521" spans="1:4" x14ac:dyDescent="0.3">
      <c r="A521" s="61" t="s">
        <v>580</v>
      </c>
      <c r="B521" s="84">
        <v>0</v>
      </c>
      <c r="C521" s="84">
        <v>2213.41</v>
      </c>
      <c r="D521" s="84">
        <v>-2213.41</v>
      </c>
    </row>
    <row r="522" spans="1:4" x14ac:dyDescent="0.3">
      <c r="A522" s="61" t="s">
        <v>581</v>
      </c>
      <c r="B522" s="84">
        <v>0</v>
      </c>
      <c r="C522" s="84">
        <v>2382.84</v>
      </c>
      <c r="D522" s="84">
        <v>-2382.84</v>
      </c>
    </row>
    <row r="523" spans="1:4" x14ac:dyDescent="0.3">
      <c r="A523" s="61" t="s">
        <v>582</v>
      </c>
      <c r="B523" s="84">
        <v>0</v>
      </c>
      <c r="C523" s="84">
        <v>4338.41</v>
      </c>
      <c r="D523" s="84">
        <v>-4338.41</v>
      </c>
    </row>
    <row r="524" spans="1:4" x14ac:dyDescent="0.3">
      <c r="A524" s="61" t="s">
        <v>583</v>
      </c>
      <c r="B524" s="84">
        <v>0</v>
      </c>
      <c r="C524" s="84">
        <v>174</v>
      </c>
      <c r="D524" s="84">
        <v>-174</v>
      </c>
    </row>
    <row r="525" spans="1:4" x14ac:dyDescent="0.3">
      <c r="A525" s="61" t="s">
        <v>584</v>
      </c>
      <c r="B525" s="84">
        <v>0</v>
      </c>
      <c r="C525" s="84">
        <v>585.20000000000005</v>
      </c>
      <c r="D525" s="84">
        <v>-585.20000000000005</v>
      </c>
    </row>
    <row r="526" spans="1:4" x14ac:dyDescent="0.3">
      <c r="A526" s="61" t="s">
        <v>585</v>
      </c>
      <c r="B526" s="84">
        <v>0</v>
      </c>
      <c r="C526" s="84">
        <v>1642.48</v>
      </c>
      <c r="D526" s="84">
        <v>-1642.48</v>
      </c>
    </row>
    <row r="527" spans="1:4" x14ac:dyDescent="0.3">
      <c r="A527" s="61" t="s">
        <v>586</v>
      </c>
      <c r="B527" s="84">
        <v>0</v>
      </c>
      <c r="C527" s="84">
        <v>130</v>
      </c>
      <c r="D527" s="84">
        <v>-130</v>
      </c>
    </row>
    <row r="528" spans="1:4" x14ac:dyDescent="0.3">
      <c r="A528" s="61" t="s">
        <v>587</v>
      </c>
      <c r="B528" s="84">
        <v>0</v>
      </c>
      <c r="C528" s="84">
        <v>1123.8</v>
      </c>
      <c r="D528" s="84">
        <v>-1123.8</v>
      </c>
    </row>
    <row r="529" spans="1:4" x14ac:dyDescent="0.3">
      <c r="A529" s="61" t="s">
        <v>588</v>
      </c>
      <c r="B529" s="84">
        <v>0</v>
      </c>
      <c r="C529" s="84">
        <v>6367.99</v>
      </c>
      <c r="D529" s="84">
        <v>-6367.99</v>
      </c>
    </row>
    <row r="530" spans="1:4" x14ac:dyDescent="0.3">
      <c r="A530" s="61" t="s">
        <v>589</v>
      </c>
      <c r="B530" s="84">
        <v>0</v>
      </c>
      <c r="C530" s="84">
        <v>255</v>
      </c>
      <c r="D530" s="84">
        <v>-255</v>
      </c>
    </row>
    <row r="531" spans="1:4" x14ac:dyDescent="0.3">
      <c r="A531" s="61" t="s">
        <v>590</v>
      </c>
      <c r="B531" s="84">
        <v>0</v>
      </c>
      <c r="C531" s="84">
        <v>388.85</v>
      </c>
      <c r="D531" s="84">
        <v>-388.85</v>
      </c>
    </row>
    <row r="532" spans="1:4" x14ac:dyDescent="0.3">
      <c r="A532" s="61" t="s">
        <v>591</v>
      </c>
      <c r="B532" s="84">
        <v>0</v>
      </c>
      <c r="C532" s="84">
        <v>564.48</v>
      </c>
      <c r="D532" s="84">
        <v>-564.48</v>
      </c>
    </row>
    <row r="533" spans="1:4" x14ac:dyDescent="0.3">
      <c r="A533" s="61" t="s">
        <v>592</v>
      </c>
      <c r="B533" s="84">
        <v>0</v>
      </c>
      <c r="C533" s="84">
        <v>937</v>
      </c>
      <c r="D533" s="84">
        <v>-937</v>
      </c>
    </row>
    <row r="534" spans="1:4" x14ac:dyDescent="0.3">
      <c r="A534" s="61" t="s">
        <v>593</v>
      </c>
      <c r="B534" s="84">
        <v>0</v>
      </c>
      <c r="C534" s="84">
        <v>2128.52</v>
      </c>
      <c r="D534" s="84">
        <v>-2128.52</v>
      </c>
    </row>
    <row r="535" spans="1:4" x14ac:dyDescent="0.3">
      <c r="A535" s="61" t="s">
        <v>594</v>
      </c>
      <c r="B535" s="84">
        <v>0</v>
      </c>
      <c r="C535" s="84">
        <v>2805</v>
      </c>
      <c r="D535" s="84">
        <v>-2805</v>
      </c>
    </row>
    <row r="536" spans="1:4" x14ac:dyDescent="0.3">
      <c r="A536" s="61" t="s">
        <v>595</v>
      </c>
      <c r="B536" s="84">
        <v>0</v>
      </c>
      <c r="C536" s="84">
        <v>1482</v>
      </c>
      <c r="D536" s="84">
        <v>-1482</v>
      </c>
    </row>
    <row r="537" spans="1:4" x14ac:dyDescent="0.3">
      <c r="A537" s="61" t="s">
        <v>596</v>
      </c>
      <c r="B537" s="84">
        <v>0</v>
      </c>
      <c r="C537" s="84">
        <v>583</v>
      </c>
      <c r="D537" s="84">
        <v>-583</v>
      </c>
    </row>
    <row r="538" spans="1:4" x14ac:dyDescent="0.3">
      <c r="A538" s="61" t="s">
        <v>597</v>
      </c>
      <c r="B538" s="84">
        <v>0</v>
      </c>
      <c r="C538" s="84">
        <v>1806.28</v>
      </c>
      <c r="D538" s="84">
        <v>-1806.28</v>
      </c>
    </row>
    <row r="539" spans="1:4" x14ac:dyDescent="0.3">
      <c r="A539" s="61" t="s">
        <v>598</v>
      </c>
      <c r="B539" s="84">
        <v>0</v>
      </c>
      <c r="C539" s="84">
        <v>3237.98</v>
      </c>
      <c r="D539" s="84">
        <v>-3237.98</v>
      </c>
    </row>
    <row r="540" spans="1:4" x14ac:dyDescent="0.3">
      <c r="A540" s="61" t="s">
        <v>599</v>
      </c>
      <c r="B540" s="84">
        <v>0</v>
      </c>
      <c r="C540" s="84">
        <v>252.99</v>
      </c>
      <c r="D540" s="84">
        <v>-252.99</v>
      </c>
    </row>
    <row r="541" spans="1:4" x14ac:dyDescent="0.3">
      <c r="A541" s="61" t="s">
        <v>600</v>
      </c>
      <c r="B541" s="84">
        <v>0</v>
      </c>
      <c r="C541" s="84">
        <v>4650.45</v>
      </c>
      <c r="D541" s="84">
        <v>-4650.45</v>
      </c>
    </row>
    <row r="542" spans="1:4" x14ac:dyDescent="0.3">
      <c r="A542" s="61" t="s">
        <v>601</v>
      </c>
      <c r="B542" s="84">
        <v>0</v>
      </c>
      <c r="C542" s="84">
        <v>467.85</v>
      </c>
      <c r="D542" s="84">
        <v>-467.85</v>
      </c>
    </row>
    <row r="543" spans="1:4" x14ac:dyDescent="0.3">
      <c r="A543" s="61" t="s">
        <v>602</v>
      </c>
      <c r="B543" s="84">
        <v>0</v>
      </c>
      <c r="C543" s="84">
        <v>325</v>
      </c>
      <c r="D543" s="84">
        <v>-325</v>
      </c>
    </row>
    <row r="544" spans="1:4" x14ac:dyDescent="0.3">
      <c r="A544" s="61" t="s">
        <v>603</v>
      </c>
      <c r="B544" s="84">
        <v>0</v>
      </c>
      <c r="C544" s="84">
        <v>780</v>
      </c>
      <c r="D544" s="84">
        <v>-780</v>
      </c>
    </row>
    <row r="545" spans="1:4" x14ac:dyDescent="0.3">
      <c r="A545" s="61" t="s">
        <v>604</v>
      </c>
      <c r="B545" s="84">
        <v>0</v>
      </c>
      <c r="C545" s="84">
        <v>489.6</v>
      </c>
      <c r="D545" s="84">
        <v>-489.6</v>
      </c>
    </row>
    <row r="546" spans="1:4" x14ac:dyDescent="0.3">
      <c r="A546" s="61" t="s">
        <v>605</v>
      </c>
      <c r="B546" s="84">
        <v>0</v>
      </c>
      <c r="C546" s="84">
        <v>1626.82</v>
      </c>
      <c r="D546" s="84">
        <v>-1626.82</v>
      </c>
    </row>
    <row r="547" spans="1:4" x14ac:dyDescent="0.3">
      <c r="A547" s="61" t="s">
        <v>606</v>
      </c>
      <c r="B547" s="84">
        <v>0</v>
      </c>
      <c r="C547" s="84">
        <v>529.19000000000005</v>
      </c>
      <c r="D547" s="84">
        <v>-529.19000000000005</v>
      </c>
    </row>
    <row r="548" spans="1:4" x14ac:dyDescent="0.3">
      <c r="A548" s="61" t="s">
        <v>607</v>
      </c>
      <c r="B548" s="84">
        <v>0</v>
      </c>
      <c r="C548" s="84">
        <v>3428.2</v>
      </c>
      <c r="D548" s="84">
        <v>-3428.2</v>
      </c>
    </row>
    <row r="549" spans="1:4" x14ac:dyDescent="0.3">
      <c r="A549" s="61" t="s">
        <v>608</v>
      </c>
      <c r="B549" s="84">
        <v>0</v>
      </c>
      <c r="C549" s="84">
        <v>882</v>
      </c>
      <c r="D549" s="84">
        <v>-882</v>
      </c>
    </row>
    <row r="550" spans="1:4" x14ac:dyDescent="0.3">
      <c r="A550" s="61" t="s">
        <v>609</v>
      </c>
      <c r="B550" s="84">
        <v>0</v>
      </c>
      <c r="C550" s="84">
        <v>650.05999999999995</v>
      </c>
      <c r="D550" s="84">
        <v>-650.05999999999995</v>
      </c>
    </row>
    <row r="551" spans="1:4" x14ac:dyDescent="0.3">
      <c r="A551" s="61" t="s">
        <v>610</v>
      </c>
      <c r="B551" s="84">
        <v>0</v>
      </c>
      <c r="C551" s="84">
        <v>141.5</v>
      </c>
      <c r="D551" s="84">
        <v>-141.5</v>
      </c>
    </row>
    <row r="552" spans="1:4" x14ac:dyDescent="0.3">
      <c r="A552" s="61" t="s">
        <v>611</v>
      </c>
      <c r="B552" s="84">
        <v>0</v>
      </c>
      <c r="C552" s="84">
        <v>997.79</v>
      </c>
      <c r="D552" s="84">
        <v>-997.79</v>
      </c>
    </row>
    <row r="553" spans="1:4" x14ac:dyDescent="0.3">
      <c r="A553" s="61" t="s">
        <v>612</v>
      </c>
      <c r="B553" s="84">
        <v>0</v>
      </c>
      <c r="C553" s="84">
        <v>3389.52</v>
      </c>
      <c r="D553" s="84">
        <v>-3389.52</v>
      </c>
    </row>
    <row r="554" spans="1:4" x14ac:dyDescent="0.3">
      <c r="A554" s="61" t="s">
        <v>613</v>
      </c>
      <c r="B554" s="84">
        <v>0</v>
      </c>
      <c r="C554" s="84">
        <v>1552</v>
      </c>
      <c r="D554" s="84">
        <v>-1552</v>
      </c>
    </row>
    <row r="555" spans="1:4" x14ac:dyDescent="0.3">
      <c r="A555" s="61" t="s">
        <v>614</v>
      </c>
      <c r="B555" s="84">
        <v>0</v>
      </c>
      <c r="C555" s="84">
        <v>2497.0300000000002</v>
      </c>
      <c r="D555" s="84">
        <v>-2497.0300000000002</v>
      </c>
    </row>
    <row r="556" spans="1:4" x14ac:dyDescent="0.3">
      <c r="A556" s="61" t="s">
        <v>615</v>
      </c>
      <c r="B556" s="84">
        <v>0</v>
      </c>
      <c r="C556" s="84">
        <v>2862.99</v>
      </c>
      <c r="D556" s="84">
        <v>-2862.99</v>
      </c>
    </row>
    <row r="557" spans="1:4" x14ac:dyDescent="0.3">
      <c r="A557" s="61" t="s">
        <v>616</v>
      </c>
      <c r="B557" s="84">
        <v>0</v>
      </c>
      <c r="C557" s="84">
        <v>4198.9799999999996</v>
      </c>
      <c r="D557" s="84">
        <v>-4198.9799999999996</v>
      </c>
    </row>
    <row r="558" spans="1:4" x14ac:dyDescent="0.3">
      <c r="A558" s="61" t="s">
        <v>617</v>
      </c>
      <c r="B558" s="84">
        <v>0</v>
      </c>
      <c r="C558" s="84">
        <v>3576.5</v>
      </c>
      <c r="D558" s="84">
        <v>-3576.5</v>
      </c>
    </row>
    <row r="559" spans="1:4" x14ac:dyDescent="0.3">
      <c r="A559" s="61" t="s">
        <v>618</v>
      </c>
      <c r="B559" s="84">
        <v>0</v>
      </c>
      <c r="C559" s="84">
        <v>2504.56</v>
      </c>
      <c r="D559" s="84">
        <v>-2504.56</v>
      </c>
    </row>
    <row r="560" spans="1:4" x14ac:dyDescent="0.3">
      <c r="A560" s="61" t="s">
        <v>619</v>
      </c>
      <c r="B560" s="84">
        <v>0</v>
      </c>
      <c r="C560" s="84">
        <v>579.70000000000005</v>
      </c>
      <c r="D560" s="84">
        <v>-579.70000000000005</v>
      </c>
    </row>
    <row r="561" spans="1:4" x14ac:dyDescent="0.3">
      <c r="A561" s="61" t="s">
        <v>620</v>
      </c>
      <c r="B561" s="84">
        <v>0</v>
      </c>
      <c r="C561" s="84">
        <v>2504.56</v>
      </c>
      <c r="D561" s="84">
        <v>-2504.56</v>
      </c>
    </row>
    <row r="562" spans="1:4" x14ac:dyDescent="0.3">
      <c r="A562" s="61" t="s">
        <v>621</v>
      </c>
      <c r="B562" s="84">
        <v>0</v>
      </c>
      <c r="C562" s="84">
        <v>6337.96</v>
      </c>
      <c r="D562" s="84">
        <v>-6337.96</v>
      </c>
    </row>
    <row r="563" spans="1:4" x14ac:dyDescent="0.3">
      <c r="A563" s="61" t="s">
        <v>622</v>
      </c>
      <c r="B563" s="84">
        <v>0</v>
      </c>
      <c r="C563" s="84">
        <v>2041.85</v>
      </c>
      <c r="D563" s="84">
        <v>-2041.85</v>
      </c>
    </row>
    <row r="564" spans="1:4" x14ac:dyDescent="0.3">
      <c r="A564" s="61" t="s">
        <v>623</v>
      </c>
      <c r="B564" s="84">
        <v>0</v>
      </c>
      <c r="C564" s="84">
        <v>3231.95</v>
      </c>
      <c r="D564" s="84">
        <v>-3231.95</v>
      </c>
    </row>
    <row r="565" spans="1:4" x14ac:dyDescent="0.3">
      <c r="A565" s="61" t="s">
        <v>624</v>
      </c>
      <c r="B565" s="84">
        <v>0</v>
      </c>
      <c r="C565" s="84">
        <v>2438.65</v>
      </c>
      <c r="D565" s="84">
        <v>-2438.65</v>
      </c>
    </row>
    <row r="566" spans="1:4" x14ac:dyDescent="0.3">
      <c r="A566" s="61" t="s">
        <v>625</v>
      </c>
      <c r="B566" s="84">
        <v>0</v>
      </c>
      <c r="C566" s="84">
        <v>2591.4299999999998</v>
      </c>
      <c r="D566" s="84">
        <v>-2591.4299999999998</v>
      </c>
    </row>
    <row r="567" spans="1:4" x14ac:dyDescent="0.3">
      <c r="A567" s="61" t="s">
        <v>626</v>
      </c>
      <c r="B567" s="84">
        <v>0</v>
      </c>
      <c r="C567" s="84">
        <v>2895</v>
      </c>
      <c r="D567" s="84">
        <v>-2895</v>
      </c>
    </row>
    <row r="568" spans="1:4" x14ac:dyDescent="0.3">
      <c r="A568" s="61" t="s">
        <v>627</v>
      </c>
      <c r="B568" s="84">
        <v>0</v>
      </c>
      <c r="C568" s="84">
        <v>1292.69</v>
      </c>
      <c r="D568" s="84">
        <v>-1292.69</v>
      </c>
    </row>
    <row r="569" spans="1:4" x14ac:dyDescent="0.3">
      <c r="A569" s="61" t="s">
        <v>628</v>
      </c>
      <c r="B569" s="84">
        <v>0</v>
      </c>
      <c r="C569" s="84">
        <v>3026.54</v>
      </c>
      <c r="D569" s="84">
        <v>-3026.54</v>
      </c>
    </row>
    <row r="570" spans="1:4" x14ac:dyDescent="0.3">
      <c r="A570" s="61" t="s">
        <v>629</v>
      </c>
      <c r="B570" s="84">
        <v>0</v>
      </c>
      <c r="C570" s="84">
        <v>1546</v>
      </c>
      <c r="D570" s="84">
        <v>-1546</v>
      </c>
    </row>
    <row r="571" spans="1:4" x14ac:dyDescent="0.3">
      <c r="A571" s="61" t="s">
        <v>630</v>
      </c>
      <c r="B571" s="84">
        <v>0</v>
      </c>
      <c r="C571" s="84">
        <v>95.96</v>
      </c>
      <c r="D571" s="84">
        <v>-95.96</v>
      </c>
    </row>
    <row r="572" spans="1:4" x14ac:dyDescent="0.3">
      <c r="A572" s="61" t="s">
        <v>631</v>
      </c>
      <c r="B572" s="84">
        <v>0</v>
      </c>
      <c r="C572" s="84">
        <v>962</v>
      </c>
      <c r="D572" s="84">
        <v>-962</v>
      </c>
    </row>
    <row r="573" spans="1:4" x14ac:dyDescent="0.3">
      <c r="A573" s="61" t="s">
        <v>632</v>
      </c>
      <c r="B573" s="84">
        <v>0</v>
      </c>
      <c r="C573" s="84">
        <v>640</v>
      </c>
      <c r="D573" s="84">
        <v>-640</v>
      </c>
    </row>
    <row r="574" spans="1:4" x14ac:dyDescent="0.3">
      <c r="A574" s="61" t="s">
        <v>633</v>
      </c>
      <c r="B574" s="84">
        <v>0</v>
      </c>
      <c r="C574" s="84">
        <v>330.5</v>
      </c>
      <c r="D574" s="84">
        <v>-330.5</v>
      </c>
    </row>
    <row r="575" spans="1:4" x14ac:dyDescent="0.3">
      <c r="A575" s="61" t="s">
        <v>634</v>
      </c>
      <c r="B575" s="84">
        <v>0</v>
      </c>
      <c r="C575" s="84">
        <v>1379.47</v>
      </c>
      <c r="D575" s="84">
        <v>-1379.47</v>
      </c>
    </row>
    <row r="576" spans="1:4" x14ac:dyDescent="0.3">
      <c r="A576" s="61" t="s">
        <v>635</v>
      </c>
      <c r="B576" s="84">
        <v>0</v>
      </c>
      <c r="C576" s="84">
        <v>1852.9</v>
      </c>
      <c r="D576" s="84">
        <v>-1852.9</v>
      </c>
    </row>
    <row r="577" spans="1:4" x14ac:dyDescent="0.3">
      <c r="A577" s="61" t="s">
        <v>636</v>
      </c>
      <c r="B577" s="84">
        <v>0</v>
      </c>
      <c r="C577" s="84">
        <v>1195.5</v>
      </c>
      <c r="D577" s="84">
        <v>-1195.5</v>
      </c>
    </row>
    <row r="578" spans="1:4" x14ac:dyDescent="0.3">
      <c r="A578" s="61" t="s">
        <v>637</v>
      </c>
      <c r="B578" s="84">
        <v>0</v>
      </c>
      <c r="C578" s="84">
        <v>1485.94</v>
      </c>
      <c r="D578" s="84">
        <v>-1485.94</v>
      </c>
    </row>
    <row r="579" spans="1:4" x14ac:dyDescent="0.3">
      <c r="A579" s="61" t="s">
        <v>638</v>
      </c>
      <c r="B579" s="84">
        <v>0</v>
      </c>
      <c r="C579" s="84">
        <v>669</v>
      </c>
      <c r="D579" s="84">
        <v>-669</v>
      </c>
    </row>
    <row r="580" spans="1:4" x14ac:dyDescent="0.3">
      <c r="A580" s="61" t="s">
        <v>639</v>
      </c>
      <c r="B580" s="84">
        <v>0</v>
      </c>
      <c r="C580" s="84">
        <v>150</v>
      </c>
      <c r="D580" s="84">
        <v>-150</v>
      </c>
    </row>
    <row r="581" spans="1:4" x14ac:dyDescent="0.3">
      <c r="A581" s="61" t="s">
        <v>640</v>
      </c>
      <c r="B581" s="84">
        <v>0</v>
      </c>
      <c r="C581" s="84">
        <v>2874.65</v>
      </c>
      <c r="D581" s="84">
        <v>-2874.65</v>
      </c>
    </row>
    <row r="582" spans="1:4" x14ac:dyDescent="0.3">
      <c r="A582" s="61" t="s">
        <v>641</v>
      </c>
      <c r="B582" s="84">
        <v>0</v>
      </c>
      <c r="C582" s="84">
        <v>1727.25</v>
      </c>
      <c r="D582" s="84">
        <v>-1727.25</v>
      </c>
    </row>
    <row r="583" spans="1:4" x14ac:dyDescent="0.3">
      <c r="A583" s="61" t="s">
        <v>642</v>
      </c>
      <c r="B583" s="84">
        <v>0</v>
      </c>
      <c r="C583" s="84">
        <v>451.2</v>
      </c>
      <c r="D583" s="84">
        <v>-451.2</v>
      </c>
    </row>
    <row r="584" spans="1:4" x14ac:dyDescent="0.3">
      <c r="A584" s="61" t="s">
        <v>643</v>
      </c>
      <c r="B584" s="84">
        <v>0</v>
      </c>
      <c r="C584" s="84">
        <v>587.03</v>
      </c>
      <c r="D584" s="84">
        <v>-587.03</v>
      </c>
    </row>
    <row r="585" spans="1:4" x14ac:dyDescent="0.3">
      <c r="A585" s="61" t="s">
        <v>644</v>
      </c>
      <c r="B585" s="84">
        <v>0</v>
      </c>
      <c r="C585" s="84">
        <v>300.60000000000002</v>
      </c>
      <c r="D585" s="84">
        <v>-300.60000000000002</v>
      </c>
    </row>
    <row r="586" spans="1:4" x14ac:dyDescent="0.3">
      <c r="A586" s="61" t="s">
        <v>645</v>
      </c>
      <c r="B586" s="84">
        <v>0</v>
      </c>
      <c r="C586" s="84">
        <v>324</v>
      </c>
      <c r="D586" s="84">
        <v>-324</v>
      </c>
    </row>
    <row r="587" spans="1:4" x14ac:dyDescent="0.3">
      <c r="A587" s="61" t="s">
        <v>646</v>
      </c>
      <c r="B587" s="84">
        <v>0</v>
      </c>
      <c r="C587" s="84">
        <v>1543.44</v>
      </c>
      <c r="D587" s="84">
        <v>-1543.44</v>
      </c>
    </row>
    <row r="588" spans="1:4" x14ac:dyDescent="0.3">
      <c r="A588" s="61" t="s">
        <v>647</v>
      </c>
      <c r="B588" s="84">
        <v>0</v>
      </c>
      <c r="C588" s="84">
        <v>250</v>
      </c>
      <c r="D588" s="84">
        <v>-250</v>
      </c>
    </row>
    <row r="589" spans="1:4" x14ac:dyDescent="0.3">
      <c r="A589" s="61" t="s">
        <v>648</v>
      </c>
      <c r="B589" s="84">
        <v>0</v>
      </c>
      <c r="C589" s="84">
        <v>1255.3</v>
      </c>
      <c r="D589" s="84">
        <v>-1255.3</v>
      </c>
    </row>
    <row r="590" spans="1:4" x14ac:dyDescent="0.3">
      <c r="A590" s="61" t="s">
        <v>649</v>
      </c>
      <c r="B590" s="84">
        <v>0</v>
      </c>
      <c r="C590" s="84">
        <v>1751.72</v>
      </c>
      <c r="D590" s="84">
        <v>-1751.72</v>
      </c>
    </row>
    <row r="591" spans="1:4" x14ac:dyDescent="0.3">
      <c r="A591" s="61" t="s">
        <v>650</v>
      </c>
      <c r="B591" s="84">
        <v>0</v>
      </c>
      <c r="C591" s="84">
        <v>60</v>
      </c>
      <c r="D591" s="84">
        <v>-60</v>
      </c>
    </row>
    <row r="592" spans="1:4" x14ac:dyDescent="0.3">
      <c r="A592" s="61" t="s">
        <v>651</v>
      </c>
      <c r="B592" s="84">
        <v>0</v>
      </c>
      <c r="C592" s="84">
        <v>680</v>
      </c>
      <c r="D592" s="84">
        <v>-680</v>
      </c>
    </row>
    <row r="593" spans="1:4" x14ac:dyDescent="0.3">
      <c r="A593" s="61" t="s">
        <v>652</v>
      </c>
      <c r="B593" s="84">
        <v>0</v>
      </c>
      <c r="C593" s="84">
        <v>175.35</v>
      </c>
      <c r="D593" s="84">
        <v>-175.35</v>
      </c>
    </row>
    <row r="594" spans="1:4" x14ac:dyDescent="0.3">
      <c r="A594" s="61" t="s">
        <v>653</v>
      </c>
      <c r="B594" s="84">
        <v>0</v>
      </c>
      <c r="C594" s="84">
        <v>383.95</v>
      </c>
      <c r="D594" s="84">
        <v>-383.95</v>
      </c>
    </row>
    <row r="595" spans="1:4" x14ac:dyDescent="0.3">
      <c r="A595" s="61" t="s">
        <v>654</v>
      </c>
      <c r="B595" s="84">
        <v>0</v>
      </c>
      <c r="C595" s="84">
        <v>942.5</v>
      </c>
      <c r="D595" s="84">
        <v>-942.5</v>
      </c>
    </row>
    <row r="596" spans="1:4" x14ac:dyDescent="0.3">
      <c r="A596" s="61" t="s">
        <v>655</v>
      </c>
      <c r="B596" s="84">
        <v>0</v>
      </c>
      <c r="C596" s="84">
        <v>1914.06</v>
      </c>
      <c r="D596" s="84">
        <v>-1914.06</v>
      </c>
    </row>
    <row r="597" spans="1:4" x14ac:dyDescent="0.3">
      <c r="A597" s="61" t="s">
        <v>656</v>
      </c>
      <c r="B597" s="84">
        <v>0</v>
      </c>
      <c r="C597" s="84">
        <v>881.34</v>
      </c>
      <c r="D597" s="84">
        <v>-881.34</v>
      </c>
    </row>
    <row r="598" spans="1:4" x14ac:dyDescent="0.3">
      <c r="A598" s="61" t="s">
        <v>657</v>
      </c>
      <c r="B598" s="84">
        <v>0</v>
      </c>
      <c r="C598" s="84">
        <v>1361.81</v>
      </c>
      <c r="D598" s="84">
        <v>-1361.81</v>
      </c>
    </row>
    <row r="599" spans="1:4" x14ac:dyDescent="0.3">
      <c r="A599" s="61" t="s">
        <v>658</v>
      </c>
      <c r="B599" s="84">
        <v>0</v>
      </c>
      <c r="C599" s="84">
        <v>276</v>
      </c>
      <c r="D599" s="84">
        <v>-276</v>
      </c>
    </row>
    <row r="600" spans="1:4" x14ac:dyDescent="0.3">
      <c r="A600" s="61" t="s">
        <v>659</v>
      </c>
      <c r="B600" s="84">
        <v>0</v>
      </c>
      <c r="C600" s="84">
        <v>1956.02</v>
      </c>
      <c r="D600" s="84">
        <v>-1956.02</v>
      </c>
    </row>
    <row r="601" spans="1:4" x14ac:dyDescent="0.3">
      <c r="A601" s="61" t="s">
        <v>660</v>
      </c>
      <c r="B601" s="84">
        <v>0</v>
      </c>
      <c r="C601" s="84">
        <v>1969.34</v>
      </c>
      <c r="D601" s="84">
        <v>-1969.34</v>
      </c>
    </row>
    <row r="602" spans="1:4" x14ac:dyDescent="0.3">
      <c r="A602" s="61" t="s">
        <v>661</v>
      </c>
      <c r="B602" s="84">
        <v>0</v>
      </c>
      <c r="C602" s="84">
        <v>187.5</v>
      </c>
      <c r="D602" s="84">
        <v>-187.5</v>
      </c>
    </row>
    <row r="603" spans="1:4" x14ac:dyDescent="0.3">
      <c r="A603" s="61" t="s">
        <v>662</v>
      </c>
      <c r="B603" s="84">
        <v>0</v>
      </c>
      <c r="C603" s="84">
        <v>1025.02</v>
      </c>
      <c r="D603" s="84">
        <v>-1025.02</v>
      </c>
    </row>
    <row r="604" spans="1:4" x14ac:dyDescent="0.3">
      <c r="A604" s="61" t="s">
        <v>663</v>
      </c>
      <c r="B604" s="84">
        <v>0</v>
      </c>
      <c r="C604" s="84">
        <v>3622.05</v>
      </c>
      <c r="D604" s="84">
        <v>-3622.05</v>
      </c>
    </row>
    <row r="605" spans="1:4" x14ac:dyDescent="0.3">
      <c r="A605" s="61" t="s">
        <v>664</v>
      </c>
      <c r="B605" s="84">
        <v>0</v>
      </c>
      <c r="C605" s="84">
        <v>659.2</v>
      </c>
      <c r="D605" s="84">
        <v>-659.2</v>
      </c>
    </row>
    <row r="606" spans="1:4" x14ac:dyDescent="0.3">
      <c r="A606" s="61" t="s">
        <v>665</v>
      </c>
      <c r="B606" s="84">
        <v>0</v>
      </c>
      <c r="C606" s="84">
        <v>4446.46</v>
      </c>
      <c r="D606" s="84">
        <v>-4446.46</v>
      </c>
    </row>
    <row r="607" spans="1:4" x14ac:dyDescent="0.3">
      <c r="A607" s="61" t="s">
        <v>666</v>
      </c>
      <c r="B607" s="84">
        <v>0</v>
      </c>
      <c r="C607" s="84">
        <v>2257.4499999999998</v>
      </c>
      <c r="D607" s="84">
        <v>-2257.4499999999998</v>
      </c>
    </row>
    <row r="608" spans="1:4" x14ac:dyDescent="0.3">
      <c r="A608" s="61" t="s">
        <v>667</v>
      </c>
      <c r="B608" s="84">
        <v>0</v>
      </c>
      <c r="C608" s="84">
        <v>425.85</v>
      </c>
      <c r="D608" s="84">
        <v>-425.85</v>
      </c>
    </row>
    <row r="609" spans="1:4" x14ac:dyDescent="0.3">
      <c r="A609" s="61" t="s">
        <v>668</v>
      </c>
      <c r="B609" s="84">
        <v>0</v>
      </c>
      <c r="C609" s="84">
        <v>108</v>
      </c>
      <c r="D609" s="84">
        <v>-108</v>
      </c>
    </row>
    <row r="610" spans="1:4" x14ac:dyDescent="0.3">
      <c r="A610" s="61" t="s">
        <v>669</v>
      </c>
      <c r="B610" s="84">
        <v>0</v>
      </c>
      <c r="C610" s="84">
        <v>2092.98</v>
      </c>
      <c r="D610" s="84">
        <v>-2092.98</v>
      </c>
    </row>
    <row r="611" spans="1:4" x14ac:dyDescent="0.3">
      <c r="A611" s="61" t="s">
        <v>670</v>
      </c>
      <c r="B611" s="84">
        <v>0</v>
      </c>
      <c r="C611" s="84">
        <v>630</v>
      </c>
      <c r="D611" s="84">
        <v>-630</v>
      </c>
    </row>
    <row r="612" spans="1:4" x14ac:dyDescent="0.3">
      <c r="A612" s="61" t="s">
        <v>671</v>
      </c>
      <c r="B612" s="84">
        <v>0</v>
      </c>
      <c r="C612" s="84">
        <v>504</v>
      </c>
      <c r="D612" s="84">
        <v>-504</v>
      </c>
    </row>
    <row r="613" spans="1:4" x14ac:dyDescent="0.3">
      <c r="A613" s="61" t="s">
        <v>672</v>
      </c>
      <c r="B613" s="84">
        <v>0</v>
      </c>
      <c r="C613" s="84">
        <v>545.5</v>
      </c>
      <c r="D613" s="84">
        <v>-545.5</v>
      </c>
    </row>
    <row r="614" spans="1:4" x14ac:dyDescent="0.3">
      <c r="A614" s="61" t="s">
        <v>673</v>
      </c>
      <c r="B614" s="84">
        <v>0</v>
      </c>
      <c r="C614" s="84">
        <v>1165.5</v>
      </c>
      <c r="D614" s="84">
        <v>-1165.5</v>
      </c>
    </row>
    <row r="615" spans="1:4" x14ac:dyDescent="0.3">
      <c r="A615" s="61" t="s">
        <v>674</v>
      </c>
      <c r="B615" s="84">
        <v>0</v>
      </c>
      <c r="C615" s="84">
        <v>750.5</v>
      </c>
      <c r="D615" s="84">
        <v>-750.5</v>
      </c>
    </row>
    <row r="616" spans="1:4" x14ac:dyDescent="0.3">
      <c r="A616" s="61" t="s">
        <v>675</v>
      </c>
      <c r="B616" s="84">
        <v>0</v>
      </c>
      <c r="C616" s="84">
        <v>234</v>
      </c>
      <c r="D616" s="84">
        <v>-234</v>
      </c>
    </row>
    <row r="617" spans="1:4" x14ac:dyDescent="0.3">
      <c r="A617" s="61" t="s">
        <v>676</v>
      </c>
      <c r="B617" s="84">
        <v>0</v>
      </c>
      <c r="C617" s="84">
        <v>669.58</v>
      </c>
      <c r="D617" s="84">
        <v>-669.58</v>
      </c>
    </row>
    <row r="618" spans="1:4" x14ac:dyDescent="0.3">
      <c r="A618" s="61" t="s">
        <v>677</v>
      </c>
      <c r="B618" s="84">
        <v>0</v>
      </c>
      <c r="C618" s="84">
        <v>2199.44</v>
      </c>
      <c r="D618" s="84">
        <v>-2199.44</v>
      </c>
    </row>
    <row r="619" spans="1:4" x14ac:dyDescent="0.3">
      <c r="A619" s="61" t="s">
        <v>678</v>
      </c>
      <c r="B619" s="84">
        <v>0</v>
      </c>
      <c r="C619" s="84">
        <v>504</v>
      </c>
      <c r="D619" s="84">
        <v>-504</v>
      </c>
    </row>
    <row r="620" spans="1:4" x14ac:dyDescent="0.3">
      <c r="A620" s="61" t="s">
        <v>679</v>
      </c>
      <c r="B620" s="84">
        <v>0</v>
      </c>
      <c r="C620" s="84">
        <v>1011.42</v>
      </c>
      <c r="D620" s="84">
        <v>-1011.42</v>
      </c>
    </row>
    <row r="621" spans="1:4" x14ac:dyDescent="0.3">
      <c r="A621" s="61" t="s">
        <v>680</v>
      </c>
      <c r="B621" s="84">
        <v>0</v>
      </c>
      <c r="C621" s="84">
        <v>807.7</v>
      </c>
      <c r="D621" s="84">
        <v>-807.7</v>
      </c>
    </row>
    <row r="622" spans="1:4" x14ac:dyDescent="0.3">
      <c r="A622" s="61" t="s">
        <v>681</v>
      </c>
      <c r="B622" s="84">
        <v>0</v>
      </c>
      <c r="C622" s="84">
        <v>234</v>
      </c>
      <c r="D622" s="84">
        <v>-234</v>
      </c>
    </row>
    <row r="623" spans="1:4" x14ac:dyDescent="0.3">
      <c r="A623" s="61" t="s">
        <v>682</v>
      </c>
      <c r="B623" s="84">
        <v>0</v>
      </c>
      <c r="C623" s="84">
        <v>796.58</v>
      </c>
      <c r="D623" s="84">
        <v>-796.58</v>
      </c>
    </row>
    <row r="624" spans="1:4" x14ac:dyDescent="0.3">
      <c r="A624" s="61" t="s">
        <v>683</v>
      </c>
      <c r="B624" s="84">
        <v>0</v>
      </c>
      <c r="C624" s="84">
        <v>1103.8499999999999</v>
      </c>
      <c r="D624" s="84">
        <v>-1103.8499999999999</v>
      </c>
    </row>
    <row r="625" spans="1:4" x14ac:dyDescent="0.3">
      <c r="A625" s="61" t="s">
        <v>684</v>
      </c>
      <c r="B625" s="84">
        <v>0</v>
      </c>
      <c r="C625" s="84">
        <v>1184.19</v>
      </c>
      <c r="D625" s="84">
        <v>-1184.19</v>
      </c>
    </row>
    <row r="626" spans="1:4" x14ac:dyDescent="0.3">
      <c r="A626" s="61" t="s">
        <v>685</v>
      </c>
      <c r="B626" s="84">
        <v>0</v>
      </c>
      <c r="C626" s="84">
        <v>540.20000000000005</v>
      </c>
      <c r="D626" s="84">
        <v>-540.20000000000005</v>
      </c>
    </row>
    <row r="627" spans="1:4" x14ac:dyDescent="0.3">
      <c r="A627" s="61" t="s">
        <v>686</v>
      </c>
      <c r="B627" s="84">
        <v>0</v>
      </c>
      <c r="C627" s="84">
        <v>606</v>
      </c>
      <c r="D627" s="84">
        <v>-606</v>
      </c>
    </row>
    <row r="628" spans="1:4" x14ac:dyDescent="0.3">
      <c r="A628" s="61" t="s">
        <v>687</v>
      </c>
      <c r="B628" s="84">
        <v>0</v>
      </c>
      <c r="C628" s="84">
        <v>716.32</v>
      </c>
      <c r="D628" s="84">
        <v>-716.32</v>
      </c>
    </row>
    <row r="629" spans="1:4" x14ac:dyDescent="0.3">
      <c r="A629" s="61" t="s">
        <v>688</v>
      </c>
      <c r="B629" s="84">
        <v>0</v>
      </c>
      <c r="C629" s="84">
        <v>2189</v>
      </c>
      <c r="D629" s="84">
        <v>-2189</v>
      </c>
    </row>
    <row r="630" spans="1:4" x14ac:dyDescent="0.3">
      <c r="A630" s="61" t="s">
        <v>689</v>
      </c>
      <c r="B630" s="84">
        <v>0</v>
      </c>
      <c r="C630" s="84">
        <v>3228.72</v>
      </c>
      <c r="D630" s="84">
        <v>-3228.72</v>
      </c>
    </row>
    <row r="631" spans="1:4" x14ac:dyDescent="0.3">
      <c r="A631" s="61" t="s">
        <v>690</v>
      </c>
      <c r="B631" s="84">
        <v>0</v>
      </c>
      <c r="C631" s="84">
        <v>204</v>
      </c>
      <c r="D631" s="84">
        <v>-204</v>
      </c>
    </row>
    <row r="632" spans="1:4" x14ac:dyDescent="0.3">
      <c r="A632" s="61" t="s">
        <v>691</v>
      </c>
      <c r="B632" s="84">
        <v>0</v>
      </c>
      <c r="C632" s="84">
        <v>721.91</v>
      </c>
      <c r="D632" s="84">
        <v>-721.91</v>
      </c>
    </row>
    <row r="633" spans="1:4" x14ac:dyDescent="0.3">
      <c r="A633" s="61" t="s">
        <v>692</v>
      </c>
      <c r="B633" s="84">
        <v>0</v>
      </c>
      <c r="C633" s="84">
        <v>558.22</v>
      </c>
      <c r="D633" s="84">
        <v>-558.22</v>
      </c>
    </row>
    <row r="634" spans="1:4" x14ac:dyDescent="0.3">
      <c r="A634" s="61" t="s">
        <v>693</v>
      </c>
      <c r="B634" s="84">
        <v>0</v>
      </c>
      <c r="C634" s="84">
        <v>1248.94</v>
      </c>
      <c r="D634" s="84">
        <v>-1248.94</v>
      </c>
    </row>
    <row r="635" spans="1:4" x14ac:dyDescent="0.3">
      <c r="A635" s="61" t="s">
        <v>694</v>
      </c>
      <c r="B635" s="84">
        <v>0</v>
      </c>
      <c r="C635" s="84">
        <v>204</v>
      </c>
      <c r="D635" s="84">
        <v>-204</v>
      </c>
    </row>
    <row r="636" spans="1:4" x14ac:dyDescent="0.3">
      <c r="A636" s="61" t="s">
        <v>695</v>
      </c>
      <c r="B636" s="84">
        <v>0</v>
      </c>
      <c r="C636" s="84">
        <v>926</v>
      </c>
      <c r="D636" s="84">
        <v>-926</v>
      </c>
    </row>
    <row r="637" spans="1:4" x14ac:dyDescent="0.3">
      <c r="A637" s="61" t="s">
        <v>696</v>
      </c>
      <c r="B637" s="84">
        <v>0</v>
      </c>
      <c r="C637" s="84">
        <v>252.78</v>
      </c>
      <c r="D637" s="84">
        <v>-252.78</v>
      </c>
    </row>
    <row r="638" spans="1:4" x14ac:dyDescent="0.3">
      <c r="A638" s="61" t="s">
        <v>697</v>
      </c>
      <c r="B638" s="84">
        <v>0</v>
      </c>
      <c r="C638" s="84">
        <v>1718.28</v>
      </c>
      <c r="D638" s="84">
        <v>-1718.28</v>
      </c>
    </row>
    <row r="639" spans="1:4" x14ac:dyDescent="0.3">
      <c r="A639" s="61" t="s">
        <v>698</v>
      </c>
      <c r="B639" s="84">
        <v>0</v>
      </c>
      <c r="C639" s="84">
        <v>908.62</v>
      </c>
      <c r="D639" s="84">
        <v>-908.62</v>
      </c>
    </row>
    <row r="640" spans="1:4" x14ac:dyDescent="0.3">
      <c r="A640" s="61" t="s">
        <v>699</v>
      </c>
      <c r="B640" s="84">
        <v>0</v>
      </c>
      <c r="C640" s="84">
        <v>102</v>
      </c>
      <c r="D640" s="84">
        <v>-102</v>
      </c>
    </row>
    <row r="641" spans="1:4" x14ac:dyDescent="0.3">
      <c r="A641" s="61" t="s">
        <v>700</v>
      </c>
      <c r="B641" s="84">
        <v>0</v>
      </c>
      <c r="C641" s="84">
        <v>1009.49</v>
      </c>
      <c r="D641" s="84">
        <v>-1009.49</v>
      </c>
    </row>
    <row r="642" spans="1:4" x14ac:dyDescent="0.3">
      <c r="A642" s="61" t="s">
        <v>701</v>
      </c>
      <c r="B642" s="84">
        <v>0</v>
      </c>
      <c r="C642" s="84">
        <v>1805.2</v>
      </c>
      <c r="D642" s="84">
        <v>-1805.2</v>
      </c>
    </row>
    <row r="643" spans="1:4" x14ac:dyDescent="0.3">
      <c r="A643" s="61" t="s">
        <v>702</v>
      </c>
      <c r="B643" s="84">
        <v>0</v>
      </c>
      <c r="C643" s="84">
        <v>1425</v>
      </c>
      <c r="D643" s="84">
        <v>-1425</v>
      </c>
    </row>
    <row r="644" spans="1:4" x14ac:dyDescent="0.3">
      <c r="A644" s="61" t="s">
        <v>703</v>
      </c>
      <c r="B644" s="84">
        <v>0</v>
      </c>
      <c r="C644" s="84">
        <v>1056</v>
      </c>
      <c r="D644" s="84">
        <v>-1056</v>
      </c>
    </row>
    <row r="645" spans="1:4" x14ac:dyDescent="0.3">
      <c r="A645" s="61" t="s">
        <v>704</v>
      </c>
      <c r="B645" s="84">
        <v>0</v>
      </c>
      <c r="C645" s="84">
        <v>231</v>
      </c>
      <c r="D645" s="84">
        <v>-231</v>
      </c>
    </row>
    <row r="646" spans="1:4" x14ac:dyDescent="0.3">
      <c r="A646" s="61" t="s">
        <v>709</v>
      </c>
      <c r="B646" s="84">
        <v>0</v>
      </c>
      <c r="C646" s="84">
        <v>582.15</v>
      </c>
      <c r="D646" s="84">
        <v>-582.15</v>
      </c>
    </row>
    <row r="647" spans="1:4" x14ac:dyDescent="0.3">
      <c r="A647" s="61" t="s">
        <v>711</v>
      </c>
      <c r="B647" s="84">
        <v>0</v>
      </c>
      <c r="C647" s="84">
        <v>1287.32</v>
      </c>
      <c r="D647" s="84">
        <v>-1287.32</v>
      </c>
    </row>
    <row r="648" spans="1:4" x14ac:dyDescent="0.3">
      <c r="A648" s="61" t="s">
        <v>712</v>
      </c>
      <c r="B648" s="84">
        <v>0</v>
      </c>
      <c r="C648" s="84">
        <v>1574.23</v>
      </c>
      <c r="D648" s="84">
        <v>-1574.23</v>
      </c>
    </row>
    <row r="649" spans="1:4" x14ac:dyDescent="0.3">
      <c r="A649" s="61" t="s">
        <v>713</v>
      </c>
      <c r="B649" s="84">
        <v>0</v>
      </c>
      <c r="C649" s="84">
        <v>4840.87</v>
      </c>
      <c r="D649" s="84">
        <v>-4840.87</v>
      </c>
    </row>
    <row r="650" spans="1:4" x14ac:dyDescent="0.3">
      <c r="A650" s="61" t="s">
        <v>714</v>
      </c>
      <c r="B650" s="84">
        <v>0</v>
      </c>
      <c r="C650" s="84">
        <v>378.25</v>
      </c>
      <c r="D650" s="84">
        <v>-378.25</v>
      </c>
    </row>
    <row r="651" spans="1:4" x14ac:dyDescent="0.3">
      <c r="A651" s="61" t="s">
        <v>715</v>
      </c>
      <c r="B651" s="84">
        <v>0</v>
      </c>
      <c r="C651" s="84">
        <v>365</v>
      </c>
      <c r="D651" s="84">
        <v>-365</v>
      </c>
    </row>
    <row r="652" spans="1:4" x14ac:dyDescent="0.3">
      <c r="A652" s="61" t="s">
        <v>716</v>
      </c>
      <c r="B652" s="84">
        <v>0</v>
      </c>
      <c r="C652" s="84">
        <v>244.8</v>
      </c>
      <c r="D652" s="84">
        <v>-244.8</v>
      </c>
    </row>
    <row r="653" spans="1:4" x14ac:dyDescent="0.3">
      <c r="A653" s="61" t="s">
        <v>717</v>
      </c>
      <c r="B653" s="84">
        <v>0</v>
      </c>
      <c r="C653" s="84">
        <v>60</v>
      </c>
      <c r="D653" s="84">
        <v>-60</v>
      </c>
    </row>
    <row r="654" spans="1:4" x14ac:dyDescent="0.3">
      <c r="A654" s="61" t="s">
        <v>718</v>
      </c>
      <c r="B654" s="84">
        <v>0</v>
      </c>
      <c r="C654" s="84">
        <v>42</v>
      </c>
      <c r="D654" s="84">
        <v>-42</v>
      </c>
    </row>
    <row r="655" spans="1:4" x14ac:dyDescent="0.3">
      <c r="A655" s="61" t="s">
        <v>719</v>
      </c>
      <c r="B655" s="84">
        <v>0</v>
      </c>
      <c r="C655" s="84">
        <v>1986.33</v>
      </c>
      <c r="D655" s="84">
        <v>-1986.33</v>
      </c>
    </row>
    <row r="656" spans="1:4" x14ac:dyDescent="0.3">
      <c r="A656" s="61" t="s">
        <v>720</v>
      </c>
      <c r="B656" s="84">
        <v>0</v>
      </c>
      <c r="C656" s="84">
        <v>2868</v>
      </c>
      <c r="D656" s="84">
        <v>-2868</v>
      </c>
    </row>
    <row r="657" spans="1:4" x14ac:dyDescent="0.3">
      <c r="A657" s="61" t="s">
        <v>721</v>
      </c>
      <c r="B657" s="84">
        <v>0</v>
      </c>
      <c r="C657" s="84">
        <v>1378.01</v>
      </c>
      <c r="D657" s="84">
        <v>-1378.01</v>
      </c>
    </row>
    <row r="658" spans="1:4" x14ac:dyDescent="0.3">
      <c r="A658" s="61" t="s">
        <v>722</v>
      </c>
      <c r="B658" s="84">
        <v>0</v>
      </c>
      <c r="C658" s="84">
        <v>712.2</v>
      </c>
      <c r="D658" s="84">
        <v>-712.2</v>
      </c>
    </row>
    <row r="659" spans="1:4" x14ac:dyDescent="0.3">
      <c r="A659" s="61" t="s">
        <v>723</v>
      </c>
      <c r="B659" s="84">
        <v>0</v>
      </c>
      <c r="C659" s="84">
        <v>4438.72</v>
      </c>
      <c r="D659" s="84">
        <v>-4438.72</v>
      </c>
    </row>
    <row r="660" spans="1:4" x14ac:dyDescent="0.3">
      <c r="A660" s="61" t="s">
        <v>724</v>
      </c>
      <c r="B660" s="84">
        <v>0</v>
      </c>
      <c r="C660" s="84">
        <v>2120.6</v>
      </c>
      <c r="D660" s="84">
        <v>-2120.6</v>
      </c>
    </row>
    <row r="661" spans="1:4" x14ac:dyDescent="0.3">
      <c r="A661" s="61" t="s">
        <v>725</v>
      </c>
      <c r="B661" s="84">
        <v>0</v>
      </c>
      <c r="C661" s="84">
        <v>2054</v>
      </c>
      <c r="D661" s="84">
        <v>-2054</v>
      </c>
    </row>
    <row r="662" spans="1:4" x14ac:dyDescent="0.3">
      <c r="A662" s="61" t="s">
        <v>726</v>
      </c>
      <c r="B662" s="84">
        <v>0</v>
      </c>
      <c r="C662" s="84">
        <v>841</v>
      </c>
      <c r="D662" s="84">
        <v>-841</v>
      </c>
    </row>
    <row r="663" spans="1:4" x14ac:dyDescent="0.3">
      <c r="A663" s="61" t="s">
        <v>727</v>
      </c>
      <c r="B663" s="84">
        <v>0</v>
      </c>
      <c r="C663" s="84">
        <v>1391.34</v>
      </c>
      <c r="D663" s="84">
        <v>-1391.34</v>
      </c>
    </row>
    <row r="664" spans="1:4" x14ac:dyDescent="0.3">
      <c r="A664" s="61" t="s">
        <v>728</v>
      </c>
      <c r="B664" s="84">
        <v>0</v>
      </c>
      <c r="C664" s="84">
        <v>1642.86</v>
      </c>
      <c r="D664" s="84">
        <v>-1642.86</v>
      </c>
    </row>
    <row r="665" spans="1:4" x14ac:dyDescent="0.3">
      <c r="A665" s="61" t="s">
        <v>729</v>
      </c>
      <c r="B665" s="84">
        <v>0</v>
      </c>
      <c r="C665" s="84">
        <v>3241.44</v>
      </c>
      <c r="D665" s="84">
        <v>-3241.44</v>
      </c>
    </row>
    <row r="666" spans="1:4" x14ac:dyDescent="0.3">
      <c r="A666" s="61" t="s">
        <v>730</v>
      </c>
      <c r="B666" s="84">
        <v>0</v>
      </c>
      <c r="C666" s="84">
        <v>2942.4</v>
      </c>
      <c r="D666" s="84">
        <v>-2942.4</v>
      </c>
    </row>
    <row r="667" spans="1:4" x14ac:dyDescent="0.3">
      <c r="A667" s="61" t="s">
        <v>731</v>
      </c>
      <c r="B667" s="84">
        <v>0</v>
      </c>
      <c r="C667" s="84">
        <v>2534.84</v>
      </c>
      <c r="D667" s="84">
        <v>-2534.84</v>
      </c>
    </row>
    <row r="668" spans="1:4" x14ac:dyDescent="0.3">
      <c r="A668" s="61" t="s">
        <v>732</v>
      </c>
      <c r="B668" s="84">
        <v>0</v>
      </c>
      <c r="C668" s="84">
        <v>1577.21</v>
      </c>
      <c r="D668" s="84">
        <v>-1577.21</v>
      </c>
    </row>
    <row r="669" spans="1:4" x14ac:dyDescent="0.3">
      <c r="A669" s="61" t="s">
        <v>733</v>
      </c>
      <c r="B669" s="84">
        <v>0</v>
      </c>
      <c r="C669" s="84">
        <v>2711.55</v>
      </c>
      <c r="D669" s="84">
        <v>-2711.55</v>
      </c>
    </row>
    <row r="670" spans="1:4" x14ac:dyDescent="0.3">
      <c r="A670" s="61" t="s">
        <v>734</v>
      </c>
      <c r="B670" s="84">
        <v>0</v>
      </c>
      <c r="C670" s="84">
        <v>581.70000000000005</v>
      </c>
      <c r="D670" s="84">
        <v>-581.70000000000005</v>
      </c>
    </row>
    <row r="671" spans="1:4" x14ac:dyDescent="0.3">
      <c r="A671" s="61" t="s">
        <v>735</v>
      </c>
      <c r="B671" s="84">
        <v>0</v>
      </c>
      <c r="C671" s="84">
        <v>1586.83</v>
      </c>
      <c r="D671" s="84">
        <v>-1586.83</v>
      </c>
    </row>
    <row r="672" spans="1:4" x14ac:dyDescent="0.3">
      <c r="A672" s="61" t="s">
        <v>736</v>
      </c>
      <c r="B672" s="84">
        <v>0</v>
      </c>
      <c r="C672" s="84">
        <v>285</v>
      </c>
      <c r="D672" s="84">
        <v>-285</v>
      </c>
    </row>
    <row r="673" spans="1:4" x14ac:dyDescent="0.3">
      <c r="A673" s="61" t="s">
        <v>737</v>
      </c>
      <c r="B673" s="84">
        <v>0</v>
      </c>
      <c r="C673" s="84">
        <v>563.98</v>
      </c>
      <c r="D673" s="84">
        <v>-563.98</v>
      </c>
    </row>
    <row r="674" spans="1:4" x14ac:dyDescent="0.3">
      <c r="A674" s="61" t="s">
        <v>738</v>
      </c>
      <c r="B674" s="84">
        <v>0</v>
      </c>
      <c r="C674" s="84">
        <v>3682</v>
      </c>
      <c r="D674" s="84">
        <v>-3682</v>
      </c>
    </row>
    <row r="675" spans="1:4" x14ac:dyDescent="0.3">
      <c r="A675" s="61" t="s">
        <v>739</v>
      </c>
      <c r="B675" s="84">
        <v>0</v>
      </c>
      <c r="C675" s="84">
        <v>156</v>
      </c>
      <c r="D675" s="84">
        <v>-156</v>
      </c>
    </row>
    <row r="676" spans="1:4" x14ac:dyDescent="0.3">
      <c r="A676" s="61" t="s">
        <v>740</v>
      </c>
      <c r="B676" s="84">
        <v>0</v>
      </c>
      <c r="C676" s="84">
        <v>426.62</v>
      </c>
      <c r="D676" s="84">
        <v>-426.62</v>
      </c>
    </row>
    <row r="677" spans="1:4" x14ac:dyDescent="0.3">
      <c r="A677" s="61" t="s">
        <v>741</v>
      </c>
      <c r="B677" s="84">
        <v>0</v>
      </c>
      <c r="C677" s="84">
        <v>758.5</v>
      </c>
      <c r="D677" s="84">
        <v>-758.5</v>
      </c>
    </row>
    <row r="678" spans="1:4" x14ac:dyDescent="0.3">
      <c r="A678" s="61" t="s">
        <v>742</v>
      </c>
      <c r="B678" s="84">
        <v>0</v>
      </c>
      <c r="C678" s="84">
        <v>306.16000000000003</v>
      </c>
      <c r="D678" s="84">
        <v>-306.16000000000003</v>
      </c>
    </row>
    <row r="679" spans="1:4" x14ac:dyDescent="0.3">
      <c r="A679" s="61" t="s">
        <v>743</v>
      </c>
      <c r="B679" s="84">
        <v>0</v>
      </c>
      <c r="C679" s="84">
        <v>3706.21</v>
      </c>
      <c r="D679" s="84">
        <v>-3706.21</v>
      </c>
    </row>
    <row r="680" spans="1:4" x14ac:dyDescent="0.3">
      <c r="A680" s="61" t="s">
        <v>744</v>
      </c>
      <c r="B680" s="84">
        <v>0</v>
      </c>
      <c r="C680" s="84">
        <v>2141.48</v>
      </c>
      <c r="D680" s="84">
        <v>-2141.48</v>
      </c>
    </row>
    <row r="681" spans="1:4" x14ac:dyDescent="0.3">
      <c r="A681" s="61" t="s">
        <v>745</v>
      </c>
      <c r="B681" s="84">
        <v>0</v>
      </c>
      <c r="C681" s="84">
        <v>856.2</v>
      </c>
      <c r="D681" s="84">
        <v>-856.2</v>
      </c>
    </row>
    <row r="682" spans="1:4" x14ac:dyDescent="0.3">
      <c r="A682" s="61" t="s">
        <v>746</v>
      </c>
      <c r="B682" s="84">
        <v>0</v>
      </c>
      <c r="C682" s="84">
        <v>1154</v>
      </c>
      <c r="D682" s="84">
        <v>-1154</v>
      </c>
    </row>
    <row r="683" spans="1:4" x14ac:dyDescent="0.3">
      <c r="A683" s="61" t="s">
        <v>747</v>
      </c>
      <c r="B683" s="84">
        <v>0</v>
      </c>
      <c r="C683" s="84">
        <v>1417.9</v>
      </c>
      <c r="D683" s="84">
        <v>-1417.9</v>
      </c>
    </row>
    <row r="684" spans="1:4" x14ac:dyDescent="0.3">
      <c r="A684" s="61" t="s">
        <v>748</v>
      </c>
      <c r="B684" s="84">
        <v>0</v>
      </c>
      <c r="C684" s="84">
        <v>873.41</v>
      </c>
      <c r="D684" s="84">
        <v>-873.41</v>
      </c>
    </row>
    <row r="685" spans="1:4" x14ac:dyDescent="0.3">
      <c r="A685" s="61" t="s">
        <v>749</v>
      </c>
      <c r="B685" s="84">
        <v>0</v>
      </c>
      <c r="C685" s="84">
        <v>2756.98</v>
      </c>
      <c r="D685" s="84">
        <v>-2756.98</v>
      </c>
    </row>
    <row r="686" spans="1:4" x14ac:dyDescent="0.3">
      <c r="A686" s="61" t="s">
        <v>750</v>
      </c>
      <c r="B686" s="84">
        <v>0</v>
      </c>
      <c r="C686" s="84">
        <v>576.01</v>
      </c>
      <c r="D686" s="84">
        <v>-576.01</v>
      </c>
    </row>
    <row r="687" spans="1:4" x14ac:dyDescent="0.3">
      <c r="A687" s="61" t="s">
        <v>751</v>
      </c>
      <c r="B687" s="84">
        <v>0</v>
      </c>
      <c r="C687" s="84">
        <v>160</v>
      </c>
      <c r="D687" s="84">
        <v>-160</v>
      </c>
    </row>
    <row r="688" spans="1:4" x14ac:dyDescent="0.3">
      <c r="A688" s="61" t="s">
        <v>752</v>
      </c>
      <c r="B688" s="84">
        <v>0</v>
      </c>
      <c r="C688" s="84">
        <v>704.11</v>
      </c>
      <c r="D688" s="84">
        <v>-704.11</v>
      </c>
    </row>
    <row r="689" spans="1:4" x14ac:dyDescent="0.3">
      <c r="A689" s="61" t="s">
        <v>753</v>
      </c>
      <c r="B689" s="84">
        <v>0</v>
      </c>
      <c r="C689" s="84">
        <v>3108.41</v>
      </c>
      <c r="D689" s="84">
        <v>-3108.41</v>
      </c>
    </row>
    <row r="690" spans="1:4" x14ac:dyDescent="0.3">
      <c r="A690" s="61" t="s">
        <v>754</v>
      </c>
      <c r="B690" s="84">
        <v>0</v>
      </c>
      <c r="C690" s="84">
        <v>130</v>
      </c>
      <c r="D690" s="84">
        <v>-130</v>
      </c>
    </row>
    <row r="691" spans="1:4" x14ac:dyDescent="0.3">
      <c r="A691" s="61" t="s">
        <v>755</v>
      </c>
      <c r="B691" s="84">
        <v>0</v>
      </c>
      <c r="C691" s="84">
        <v>1628.86</v>
      </c>
      <c r="D691" s="84">
        <v>-1628.86</v>
      </c>
    </row>
    <row r="692" spans="1:4" x14ac:dyDescent="0.3">
      <c r="A692" s="61" t="s">
        <v>756</v>
      </c>
      <c r="B692" s="84">
        <v>0</v>
      </c>
      <c r="C692" s="84">
        <v>1756.12</v>
      </c>
      <c r="D692" s="84">
        <v>-1756.12</v>
      </c>
    </row>
    <row r="693" spans="1:4" x14ac:dyDescent="0.3">
      <c r="A693" s="61" t="s">
        <v>757</v>
      </c>
      <c r="B693" s="84">
        <v>0</v>
      </c>
      <c r="C693" s="84">
        <v>453.9</v>
      </c>
      <c r="D693" s="84">
        <v>-453.9</v>
      </c>
    </row>
    <row r="694" spans="1:4" x14ac:dyDescent="0.3">
      <c r="A694" s="61" t="s">
        <v>758</v>
      </c>
      <c r="B694" s="84">
        <v>0</v>
      </c>
      <c r="C694" s="84">
        <v>374.4</v>
      </c>
      <c r="D694" s="84">
        <v>-374.4</v>
      </c>
    </row>
    <row r="695" spans="1:4" x14ac:dyDescent="0.3">
      <c r="A695" s="61" t="s">
        <v>759</v>
      </c>
      <c r="B695" s="84">
        <v>0</v>
      </c>
      <c r="C695" s="84">
        <v>1785.16</v>
      </c>
      <c r="D695" s="84">
        <v>-1785.16</v>
      </c>
    </row>
    <row r="696" spans="1:4" x14ac:dyDescent="0.3">
      <c r="A696" s="61" t="s">
        <v>760</v>
      </c>
      <c r="B696" s="84">
        <v>0</v>
      </c>
      <c r="C696" s="84">
        <v>5480</v>
      </c>
      <c r="D696" s="84">
        <v>-5480</v>
      </c>
    </row>
    <row r="697" spans="1:4" x14ac:dyDescent="0.3">
      <c r="A697" s="61" t="s">
        <v>761</v>
      </c>
      <c r="B697" s="84">
        <v>0</v>
      </c>
      <c r="C697" s="84">
        <v>2540.88</v>
      </c>
      <c r="D697" s="84">
        <v>-2540.88</v>
      </c>
    </row>
    <row r="698" spans="1:4" x14ac:dyDescent="0.3">
      <c r="A698" s="61" t="s">
        <v>762</v>
      </c>
      <c r="B698" s="84">
        <v>0</v>
      </c>
      <c r="C698" s="84">
        <v>2268.17</v>
      </c>
      <c r="D698" s="84">
        <v>-2268.17</v>
      </c>
    </row>
    <row r="699" spans="1:4" x14ac:dyDescent="0.3">
      <c r="A699" s="61" t="s">
        <v>763</v>
      </c>
      <c r="B699" s="84">
        <v>0</v>
      </c>
      <c r="C699" s="84">
        <v>878.3</v>
      </c>
      <c r="D699" s="84">
        <v>-878.3</v>
      </c>
    </row>
    <row r="700" spans="1:4" x14ac:dyDescent="0.3">
      <c r="A700" s="61" t="s">
        <v>764</v>
      </c>
      <c r="B700" s="84">
        <v>0</v>
      </c>
      <c r="C700" s="84">
        <v>2344</v>
      </c>
      <c r="D700" s="84">
        <v>-2344</v>
      </c>
    </row>
    <row r="701" spans="1:4" x14ac:dyDescent="0.3">
      <c r="A701" s="61" t="s">
        <v>765</v>
      </c>
      <c r="B701" s="84">
        <v>0</v>
      </c>
      <c r="C701" s="84">
        <v>6703.19</v>
      </c>
      <c r="D701" s="84">
        <v>-6703.19</v>
      </c>
    </row>
    <row r="702" spans="1:4" x14ac:dyDescent="0.3">
      <c r="A702" s="61" t="s">
        <v>766</v>
      </c>
      <c r="B702" s="84">
        <v>0</v>
      </c>
      <c r="C702" s="84">
        <v>2812.09</v>
      </c>
      <c r="D702" s="84">
        <v>-2812.09</v>
      </c>
    </row>
    <row r="703" spans="1:4" x14ac:dyDescent="0.3">
      <c r="A703" s="61" t="s">
        <v>767</v>
      </c>
      <c r="B703" s="84">
        <v>0</v>
      </c>
      <c r="C703" s="84">
        <v>5834.06</v>
      </c>
      <c r="D703" s="84">
        <v>-5834.06</v>
      </c>
    </row>
    <row r="704" spans="1:4" x14ac:dyDescent="0.3">
      <c r="A704" s="61" t="s">
        <v>768</v>
      </c>
      <c r="B704" s="84">
        <v>0</v>
      </c>
      <c r="C704" s="84">
        <v>2149.2800000000002</v>
      </c>
      <c r="D704" s="84">
        <v>-2149.2800000000002</v>
      </c>
    </row>
    <row r="705" spans="1:4" x14ac:dyDescent="0.3">
      <c r="A705" s="61" t="s">
        <v>769</v>
      </c>
      <c r="B705" s="84">
        <v>0</v>
      </c>
      <c r="C705" s="84">
        <v>1864.22</v>
      </c>
      <c r="D705" s="84">
        <v>-1864.22</v>
      </c>
    </row>
    <row r="706" spans="1:4" x14ac:dyDescent="0.3">
      <c r="A706" s="61" t="s">
        <v>770</v>
      </c>
      <c r="B706" s="84">
        <v>0</v>
      </c>
      <c r="C706" s="84">
        <v>2254.1999999999998</v>
      </c>
      <c r="D706" s="84">
        <v>-2254.1999999999998</v>
      </c>
    </row>
    <row r="707" spans="1:4" x14ac:dyDescent="0.3">
      <c r="A707" s="61" t="s">
        <v>771</v>
      </c>
      <c r="B707" s="84">
        <v>0</v>
      </c>
      <c r="C707" s="84">
        <v>2035</v>
      </c>
      <c r="D707" s="84">
        <v>-2035</v>
      </c>
    </row>
    <row r="708" spans="1:4" x14ac:dyDescent="0.3">
      <c r="A708" s="61" t="s">
        <v>772</v>
      </c>
      <c r="B708" s="84">
        <v>0</v>
      </c>
      <c r="C708" s="84">
        <v>2052.59</v>
      </c>
      <c r="D708" s="84">
        <v>-2052.59</v>
      </c>
    </row>
    <row r="709" spans="1:4" x14ac:dyDescent="0.3">
      <c r="A709" s="61" t="s">
        <v>773</v>
      </c>
      <c r="B709" s="84">
        <v>0</v>
      </c>
      <c r="C709" s="84">
        <v>527.70000000000005</v>
      </c>
      <c r="D709" s="84">
        <v>-527.70000000000005</v>
      </c>
    </row>
    <row r="710" spans="1:4" x14ac:dyDescent="0.3">
      <c r="A710" s="61" t="s">
        <v>774</v>
      </c>
      <c r="B710" s="84">
        <v>0</v>
      </c>
      <c r="C710" s="84">
        <v>315</v>
      </c>
      <c r="D710" s="84">
        <v>-315</v>
      </c>
    </row>
    <row r="711" spans="1:4" x14ac:dyDescent="0.3">
      <c r="A711" s="61" t="s">
        <v>775</v>
      </c>
      <c r="B711" s="84">
        <v>0</v>
      </c>
      <c r="C711" s="84">
        <v>190</v>
      </c>
      <c r="D711" s="84">
        <v>-190</v>
      </c>
    </row>
    <row r="712" spans="1:4" x14ac:dyDescent="0.3">
      <c r="A712" s="61" t="s">
        <v>776</v>
      </c>
      <c r="B712" s="84">
        <v>0</v>
      </c>
      <c r="C712" s="84">
        <v>1005</v>
      </c>
      <c r="D712" s="84">
        <v>-1005</v>
      </c>
    </row>
    <row r="713" spans="1:4" x14ac:dyDescent="0.3">
      <c r="A713" s="61" t="s">
        <v>777</v>
      </c>
      <c r="B713" s="84">
        <v>0</v>
      </c>
      <c r="C713" s="84">
        <v>915.24</v>
      </c>
      <c r="D713" s="84">
        <v>-915.24</v>
      </c>
    </row>
    <row r="714" spans="1:4" x14ac:dyDescent="0.3">
      <c r="A714" s="61" t="s">
        <v>778</v>
      </c>
      <c r="B714" s="84">
        <v>0</v>
      </c>
      <c r="C714" s="84">
        <v>1535</v>
      </c>
      <c r="D714" s="84">
        <v>-1535</v>
      </c>
    </row>
    <row r="715" spans="1:4" x14ac:dyDescent="0.3">
      <c r="A715" s="61" t="s">
        <v>779</v>
      </c>
      <c r="B715" s="84">
        <v>0</v>
      </c>
      <c r="C715" s="84">
        <v>4939.51</v>
      </c>
      <c r="D715" s="84">
        <v>-4939.51</v>
      </c>
    </row>
    <row r="716" spans="1:4" x14ac:dyDescent="0.3">
      <c r="A716" s="61" t="s">
        <v>780</v>
      </c>
      <c r="B716" s="84">
        <v>0</v>
      </c>
      <c r="C716" s="84">
        <v>212.95</v>
      </c>
      <c r="D716" s="84">
        <v>-212.95</v>
      </c>
    </row>
    <row r="717" spans="1:4" x14ac:dyDescent="0.3">
      <c r="A717" s="61" t="s">
        <v>781</v>
      </c>
      <c r="B717" s="84">
        <v>0</v>
      </c>
      <c r="C717" s="84">
        <v>722.25</v>
      </c>
      <c r="D717" s="84">
        <v>-722.25</v>
      </c>
    </row>
    <row r="718" spans="1:4" x14ac:dyDescent="0.3">
      <c r="A718" s="61" t="s">
        <v>782</v>
      </c>
      <c r="B718" s="84">
        <v>0</v>
      </c>
      <c r="C718" s="84">
        <v>1247.75</v>
      </c>
      <c r="D718" s="84">
        <v>-1247.75</v>
      </c>
    </row>
    <row r="719" spans="1:4" x14ac:dyDescent="0.3">
      <c r="A719" s="61" t="s">
        <v>783</v>
      </c>
      <c r="B719" s="84">
        <v>0</v>
      </c>
      <c r="C719" s="84">
        <v>1601.16</v>
      </c>
      <c r="D719" s="84">
        <v>-1601.16</v>
      </c>
    </row>
    <row r="720" spans="1:4" x14ac:dyDescent="0.3">
      <c r="A720" s="61" t="s">
        <v>784</v>
      </c>
      <c r="B720" s="84">
        <v>0</v>
      </c>
      <c r="C720" s="84">
        <v>140.5</v>
      </c>
      <c r="D720" s="84">
        <v>-140.5</v>
      </c>
    </row>
    <row r="721" spans="1:4" x14ac:dyDescent="0.3">
      <c r="A721" s="61" t="s">
        <v>785</v>
      </c>
      <c r="B721" s="84">
        <v>0</v>
      </c>
      <c r="C721" s="84">
        <v>2700</v>
      </c>
      <c r="D721" s="84">
        <v>-2700</v>
      </c>
    </row>
    <row r="722" spans="1:4" x14ac:dyDescent="0.3">
      <c r="A722" s="61" t="s">
        <v>786</v>
      </c>
      <c r="B722" s="84">
        <v>0</v>
      </c>
      <c r="C722" s="84">
        <v>1025.3</v>
      </c>
      <c r="D722" s="84">
        <v>-1025.3</v>
      </c>
    </row>
    <row r="723" spans="1:4" x14ac:dyDescent="0.3">
      <c r="A723" s="61" t="s">
        <v>787</v>
      </c>
      <c r="B723" s="84">
        <v>0</v>
      </c>
      <c r="C723" s="84">
        <v>840.1</v>
      </c>
      <c r="D723" s="84">
        <v>-840.1</v>
      </c>
    </row>
    <row r="724" spans="1:4" x14ac:dyDescent="0.3">
      <c r="A724" s="61" t="s">
        <v>788</v>
      </c>
      <c r="B724" s="84">
        <v>0</v>
      </c>
      <c r="C724" s="84">
        <v>2374.1799999999998</v>
      </c>
      <c r="D724" s="84">
        <v>-2374.1799999999998</v>
      </c>
    </row>
    <row r="725" spans="1:4" x14ac:dyDescent="0.3">
      <c r="A725" s="61" t="s">
        <v>789</v>
      </c>
      <c r="B725" s="84">
        <v>0</v>
      </c>
      <c r="C725" s="84">
        <v>897.08</v>
      </c>
      <c r="D725" s="84">
        <v>-897.08</v>
      </c>
    </row>
    <row r="726" spans="1:4" x14ac:dyDescent="0.3">
      <c r="A726" s="61" t="s">
        <v>790</v>
      </c>
      <c r="B726" s="84">
        <v>0</v>
      </c>
      <c r="C726" s="84">
        <v>112</v>
      </c>
      <c r="D726" s="84">
        <v>-112</v>
      </c>
    </row>
    <row r="727" spans="1:4" x14ac:dyDescent="0.3">
      <c r="A727" s="61" t="s">
        <v>791</v>
      </c>
      <c r="B727" s="84">
        <v>0</v>
      </c>
      <c r="C727" s="84">
        <v>633.85</v>
      </c>
      <c r="D727" s="84">
        <v>-633.85</v>
      </c>
    </row>
    <row r="728" spans="1:4" x14ac:dyDescent="0.3">
      <c r="A728" s="61" t="s">
        <v>792</v>
      </c>
      <c r="B728" s="84">
        <v>0</v>
      </c>
      <c r="C728" s="84">
        <v>104</v>
      </c>
      <c r="D728" s="84">
        <v>-104</v>
      </c>
    </row>
    <row r="729" spans="1:4" x14ac:dyDescent="0.3">
      <c r="A729" s="61" t="s">
        <v>793</v>
      </c>
      <c r="B729" s="84">
        <v>0</v>
      </c>
      <c r="C729" s="84">
        <v>90</v>
      </c>
      <c r="D729" s="84">
        <v>-90</v>
      </c>
    </row>
    <row r="730" spans="1:4" x14ac:dyDescent="0.3">
      <c r="A730" s="61" t="s">
        <v>794</v>
      </c>
      <c r="B730" s="84">
        <v>0</v>
      </c>
      <c r="C730" s="84">
        <v>2157.25</v>
      </c>
      <c r="D730" s="84">
        <v>-2157.25</v>
      </c>
    </row>
    <row r="731" spans="1:4" x14ac:dyDescent="0.3">
      <c r="A731" s="61" t="s">
        <v>795</v>
      </c>
      <c r="B731" s="84">
        <v>0</v>
      </c>
      <c r="C731" s="84">
        <v>244.8</v>
      </c>
      <c r="D731" s="84">
        <v>-244.8</v>
      </c>
    </row>
    <row r="732" spans="1:4" x14ac:dyDescent="0.3">
      <c r="A732" s="61" t="s">
        <v>796</v>
      </c>
      <c r="B732" s="84">
        <v>0</v>
      </c>
      <c r="C732" s="84">
        <v>3126.75</v>
      </c>
      <c r="D732" s="84">
        <v>-3126.75</v>
      </c>
    </row>
    <row r="733" spans="1:4" x14ac:dyDescent="0.3">
      <c r="A733" s="61" t="s">
        <v>797</v>
      </c>
      <c r="B733" s="84">
        <v>0</v>
      </c>
      <c r="C733" s="84">
        <v>1402.86</v>
      </c>
      <c r="D733" s="84">
        <v>-1402.86</v>
      </c>
    </row>
    <row r="734" spans="1:4" x14ac:dyDescent="0.3">
      <c r="A734" s="61" t="s">
        <v>798</v>
      </c>
      <c r="B734" s="84">
        <v>0</v>
      </c>
      <c r="C734" s="84">
        <v>1061</v>
      </c>
      <c r="D734" s="84">
        <v>-1061</v>
      </c>
    </row>
    <row r="735" spans="1:4" x14ac:dyDescent="0.3">
      <c r="A735" s="61" t="s">
        <v>799</v>
      </c>
      <c r="B735" s="84">
        <v>0</v>
      </c>
      <c r="C735" s="84">
        <v>360</v>
      </c>
      <c r="D735" s="84">
        <v>-360</v>
      </c>
    </row>
    <row r="736" spans="1:4" x14ac:dyDescent="0.3">
      <c r="A736" s="61" t="s">
        <v>800</v>
      </c>
      <c r="B736" s="84">
        <v>0</v>
      </c>
      <c r="C736" s="84">
        <v>378</v>
      </c>
      <c r="D736" s="84">
        <v>-378</v>
      </c>
    </row>
    <row r="737" spans="1:4" x14ac:dyDescent="0.3">
      <c r="A737" s="61" t="s">
        <v>801</v>
      </c>
      <c r="B737" s="84">
        <v>0</v>
      </c>
      <c r="C737" s="84">
        <v>121.44</v>
      </c>
      <c r="D737" s="84">
        <v>-121.44</v>
      </c>
    </row>
    <row r="738" spans="1:4" x14ac:dyDescent="0.3">
      <c r="A738" s="61" t="s">
        <v>802</v>
      </c>
      <c r="B738" s="84">
        <v>0</v>
      </c>
      <c r="C738" s="84">
        <v>1343.32</v>
      </c>
      <c r="D738" s="84">
        <v>-1343.32</v>
      </c>
    </row>
    <row r="739" spans="1:4" x14ac:dyDescent="0.3">
      <c r="A739" s="61" t="s">
        <v>803</v>
      </c>
      <c r="B739" s="84">
        <v>0</v>
      </c>
      <c r="C739" s="84">
        <v>1235.77</v>
      </c>
      <c r="D739" s="84">
        <v>-1235.77</v>
      </c>
    </row>
    <row r="740" spans="1:4" x14ac:dyDescent="0.3">
      <c r="A740" s="61" t="s">
        <v>804</v>
      </c>
      <c r="B740" s="84">
        <v>0</v>
      </c>
      <c r="C740" s="84">
        <v>2500</v>
      </c>
      <c r="D740" s="84">
        <v>-2500</v>
      </c>
    </row>
    <row r="741" spans="1:4" x14ac:dyDescent="0.3">
      <c r="A741" s="61" t="s">
        <v>805</v>
      </c>
      <c r="B741" s="84">
        <v>0</v>
      </c>
      <c r="C741" s="84">
        <v>163.5</v>
      </c>
      <c r="D741" s="84">
        <v>-163.5</v>
      </c>
    </row>
    <row r="742" spans="1:4" x14ac:dyDescent="0.3">
      <c r="A742" s="61" t="s">
        <v>806</v>
      </c>
      <c r="B742" s="84">
        <v>0</v>
      </c>
      <c r="C742" s="84">
        <v>233.26</v>
      </c>
      <c r="D742" s="84">
        <v>-233.26</v>
      </c>
    </row>
    <row r="743" spans="1:4" x14ac:dyDescent="0.3">
      <c r="A743" s="61" t="s">
        <v>807</v>
      </c>
      <c r="B743" s="84">
        <v>0</v>
      </c>
      <c r="C743" s="84">
        <v>102.8</v>
      </c>
      <c r="D743" s="84">
        <v>-102.8</v>
      </c>
    </row>
    <row r="744" spans="1:4" x14ac:dyDescent="0.3">
      <c r="A744" s="61" t="s">
        <v>808</v>
      </c>
      <c r="B744" s="84">
        <v>0</v>
      </c>
      <c r="C744" s="84">
        <v>500</v>
      </c>
      <c r="D744" s="84">
        <v>-500</v>
      </c>
    </row>
    <row r="745" spans="1:4" x14ac:dyDescent="0.3">
      <c r="A745" s="61" t="s">
        <v>810</v>
      </c>
      <c r="B745" s="84">
        <v>0</v>
      </c>
      <c r="C745" s="84">
        <v>1390</v>
      </c>
      <c r="D745" s="84">
        <v>-1390</v>
      </c>
    </row>
    <row r="746" spans="1:4" x14ac:dyDescent="0.3">
      <c r="A746" s="61" t="s">
        <v>811</v>
      </c>
      <c r="B746" s="84">
        <v>0</v>
      </c>
      <c r="C746" s="84">
        <v>325</v>
      </c>
      <c r="D746" s="84">
        <v>-325</v>
      </c>
    </row>
    <row r="747" spans="1:4" x14ac:dyDescent="0.3">
      <c r="A747" s="61" t="s">
        <v>812</v>
      </c>
      <c r="B747" s="84">
        <v>0</v>
      </c>
      <c r="C747" s="84">
        <v>1820.7</v>
      </c>
      <c r="D747" s="84">
        <v>-1820.7</v>
      </c>
    </row>
    <row r="748" spans="1:4" x14ac:dyDescent="0.3">
      <c r="A748" s="61" t="s">
        <v>813</v>
      </c>
      <c r="B748" s="84">
        <v>0</v>
      </c>
      <c r="C748" s="84">
        <v>366</v>
      </c>
      <c r="D748" s="84">
        <v>-366</v>
      </c>
    </row>
    <row r="749" spans="1:4" x14ac:dyDescent="0.3">
      <c r="A749" s="61" t="s">
        <v>814</v>
      </c>
      <c r="B749" s="84">
        <v>0</v>
      </c>
      <c r="C749" s="84">
        <v>586.04999999999995</v>
      </c>
      <c r="D749" s="84">
        <v>-586.04999999999995</v>
      </c>
    </row>
    <row r="750" spans="1:4" x14ac:dyDescent="0.3">
      <c r="A750" s="61" t="s">
        <v>815</v>
      </c>
      <c r="B750" s="84">
        <v>0</v>
      </c>
      <c r="C750" s="84">
        <v>295.83</v>
      </c>
      <c r="D750" s="84">
        <v>-295.83</v>
      </c>
    </row>
    <row r="751" spans="1:4" x14ac:dyDescent="0.3">
      <c r="A751" s="61" t="s">
        <v>816</v>
      </c>
      <c r="B751" s="84">
        <v>0</v>
      </c>
      <c r="C751" s="84">
        <v>1514.29</v>
      </c>
      <c r="D751" s="84">
        <v>-1514.29</v>
      </c>
    </row>
    <row r="752" spans="1:4" x14ac:dyDescent="0.3">
      <c r="A752" s="61" t="s">
        <v>817</v>
      </c>
      <c r="B752" s="84">
        <v>0</v>
      </c>
      <c r="C752" s="84">
        <v>48</v>
      </c>
      <c r="D752" s="84">
        <v>-48</v>
      </c>
    </row>
    <row r="753" spans="1:4" x14ac:dyDescent="0.3">
      <c r="A753" s="61" t="s">
        <v>818</v>
      </c>
      <c r="B753" s="84">
        <v>0</v>
      </c>
      <c r="C753" s="84">
        <v>1050</v>
      </c>
      <c r="D753" s="84">
        <v>-1050</v>
      </c>
    </row>
    <row r="754" spans="1:4" x14ac:dyDescent="0.3">
      <c r="A754" s="61" t="s">
        <v>819</v>
      </c>
      <c r="B754" s="84">
        <v>0</v>
      </c>
      <c r="C754" s="84">
        <v>2963.22</v>
      </c>
      <c r="D754" s="84">
        <v>-2963.22</v>
      </c>
    </row>
    <row r="755" spans="1:4" x14ac:dyDescent="0.3">
      <c r="A755" s="61" t="s">
        <v>820</v>
      </c>
      <c r="B755" s="84">
        <v>0</v>
      </c>
      <c r="C755" s="84">
        <v>862.37</v>
      </c>
      <c r="D755" s="84">
        <v>-862.37</v>
      </c>
    </row>
    <row r="756" spans="1:4" x14ac:dyDescent="0.3">
      <c r="A756" s="61" t="s">
        <v>821</v>
      </c>
      <c r="B756" s="84">
        <v>0</v>
      </c>
      <c r="C756" s="84">
        <v>204</v>
      </c>
      <c r="D756" s="84">
        <v>-204</v>
      </c>
    </row>
    <row r="757" spans="1:4" x14ac:dyDescent="0.3">
      <c r="A757" s="61" t="s">
        <v>822</v>
      </c>
      <c r="B757" s="84">
        <v>0</v>
      </c>
      <c r="C757" s="84">
        <v>781.43</v>
      </c>
      <c r="D757" s="84">
        <v>-781.43</v>
      </c>
    </row>
    <row r="758" spans="1:4" x14ac:dyDescent="0.3">
      <c r="A758" s="61" t="s">
        <v>823</v>
      </c>
      <c r="B758" s="84">
        <v>0</v>
      </c>
      <c r="C758" s="84">
        <v>1467.28</v>
      </c>
      <c r="D758" s="84">
        <v>-1467.28</v>
      </c>
    </row>
    <row r="759" spans="1:4" x14ac:dyDescent="0.3">
      <c r="A759" s="61" t="s">
        <v>824</v>
      </c>
      <c r="B759" s="84">
        <v>0</v>
      </c>
      <c r="C759" s="84">
        <v>1186</v>
      </c>
      <c r="D759" s="84">
        <v>-1186</v>
      </c>
    </row>
    <row r="760" spans="1:4" x14ac:dyDescent="0.3">
      <c r="A760" s="61" t="s">
        <v>825</v>
      </c>
      <c r="B760" s="84">
        <v>0</v>
      </c>
      <c r="C760" s="84">
        <v>1025.5999999999999</v>
      </c>
      <c r="D760" s="84">
        <v>-1025.5999999999999</v>
      </c>
    </row>
    <row r="761" spans="1:4" x14ac:dyDescent="0.3">
      <c r="A761" s="61" t="s">
        <v>826</v>
      </c>
      <c r="B761" s="84">
        <v>0</v>
      </c>
      <c r="C761" s="84">
        <v>6663.9</v>
      </c>
      <c r="D761" s="84">
        <v>-6663.9</v>
      </c>
    </row>
    <row r="762" spans="1:4" x14ac:dyDescent="0.3">
      <c r="A762" s="61" t="s">
        <v>827</v>
      </c>
      <c r="B762" s="84">
        <v>0</v>
      </c>
      <c r="C762" s="84">
        <v>65</v>
      </c>
      <c r="D762" s="84">
        <v>-65</v>
      </c>
    </row>
    <row r="763" spans="1:4" x14ac:dyDescent="0.3">
      <c r="A763" s="61" t="s">
        <v>828</v>
      </c>
      <c r="B763" s="84">
        <v>0</v>
      </c>
      <c r="C763" s="84">
        <v>982.32</v>
      </c>
      <c r="D763" s="84">
        <v>-982.32</v>
      </c>
    </row>
    <row r="764" spans="1:4" x14ac:dyDescent="0.3">
      <c r="A764" s="61" t="s">
        <v>829</v>
      </c>
      <c r="B764" s="84">
        <v>0</v>
      </c>
      <c r="C764" s="84">
        <v>366</v>
      </c>
      <c r="D764" s="84">
        <v>-366</v>
      </c>
    </row>
    <row r="765" spans="1:4" x14ac:dyDescent="0.3">
      <c r="A765" s="61" t="s">
        <v>830</v>
      </c>
      <c r="B765" s="84">
        <v>0</v>
      </c>
      <c r="C765" s="84">
        <v>1045</v>
      </c>
      <c r="D765" s="84">
        <v>-1045</v>
      </c>
    </row>
    <row r="766" spans="1:4" x14ac:dyDescent="0.3">
      <c r="A766" s="61" t="s">
        <v>831</v>
      </c>
      <c r="B766" s="84">
        <v>0</v>
      </c>
      <c r="C766" s="84">
        <v>1064.02</v>
      </c>
      <c r="D766" s="84">
        <v>-1064.02</v>
      </c>
    </row>
    <row r="767" spans="1:4" x14ac:dyDescent="0.3">
      <c r="A767" s="61" t="s">
        <v>832</v>
      </c>
      <c r="B767" s="84">
        <v>0</v>
      </c>
      <c r="C767" s="84">
        <v>1572.16</v>
      </c>
      <c r="D767" s="84">
        <v>-1572.16</v>
      </c>
    </row>
    <row r="768" spans="1:4" x14ac:dyDescent="0.3">
      <c r="A768" s="61" t="s">
        <v>833</v>
      </c>
      <c r="B768" s="84">
        <v>0</v>
      </c>
      <c r="C768" s="84">
        <v>1095</v>
      </c>
      <c r="D768" s="84">
        <v>-1095</v>
      </c>
    </row>
    <row r="769" spans="1:4" x14ac:dyDescent="0.3">
      <c r="A769" s="61" t="s">
        <v>834</v>
      </c>
      <c r="B769" s="84">
        <v>0</v>
      </c>
      <c r="C769" s="84">
        <v>334.64</v>
      </c>
      <c r="D769" s="84">
        <v>-334.64</v>
      </c>
    </row>
    <row r="770" spans="1:4" x14ac:dyDescent="0.3">
      <c r="A770" s="61" t="s">
        <v>835</v>
      </c>
      <c r="B770" s="84">
        <v>0</v>
      </c>
      <c r="C770" s="84">
        <v>2344.98</v>
      </c>
      <c r="D770" s="84">
        <v>-2344.98</v>
      </c>
    </row>
    <row r="771" spans="1:4" x14ac:dyDescent="0.3">
      <c r="A771" s="61" t="s">
        <v>836</v>
      </c>
      <c r="B771" s="84">
        <v>0</v>
      </c>
      <c r="C771" s="84">
        <v>104</v>
      </c>
      <c r="D771" s="84">
        <v>-104</v>
      </c>
    </row>
    <row r="772" spans="1:4" x14ac:dyDescent="0.3">
      <c r="A772" s="61" t="s">
        <v>837</v>
      </c>
      <c r="B772" s="84">
        <v>0</v>
      </c>
      <c r="C772" s="84">
        <v>856.83</v>
      </c>
      <c r="D772" s="84">
        <v>-856.83</v>
      </c>
    </row>
    <row r="773" spans="1:4" x14ac:dyDescent="0.3">
      <c r="A773" s="61" t="s">
        <v>838</v>
      </c>
      <c r="B773" s="84">
        <v>0</v>
      </c>
      <c r="C773" s="84">
        <v>690</v>
      </c>
      <c r="D773" s="84">
        <v>-690</v>
      </c>
    </row>
    <row r="774" spans="1:4" x14ac:dyDescent="0.3">
      <c r="A774" s="61" t="s">
        <v>839</v>
      </c>
      <c r="B774" s="84">
        <v>0</v>
      </c>
      <c r="C774" s="84">
        <v>1304.68</v>
      </c>
      <c r="D774" s="84">
        <v>-1304.68</v>
      </c>
    </row>
    <row r="775" spans="1:4" x14ac:dyDescent="0.3">
      <c r="A775" s="61" t="s">
        <v>840</v>
      </c>
      <c r="B775" s="84">
        <v>0</v>
      </c>
      <c r="C775" s="84">
        <v>1962.7</v>
      </c>
      <c r="D775" s="84">
        <v>-1962.7</v>
      </c>
    </row>
    <row r="776" spans="1:4" x14ac:dyDescent="0.3">
      <c r="A776" s="61" t="s">
        <v>841</v>
      </c>
      <c r="B776" s="84">
        <v>0</v>
      </c>
      <c r="C776" s="84">
        <v>130</v>
      </c>
      <c r="D776" s="84">
        <v>-130</v>
      </c>
    </row>
    <row r="777" spans="1:4" x14ac:dyDescent="0.3">
      <c r="A777" s="61" t="s">
        <v>842</v>
      </c>
      <c r="B777" s="84">
        <v>0</v>
      </c>
      <c r="C777" s="84">
        <v>1758</v>
      </c>
      <c r="D777" s="84">
        <v>-1758</v>
      </c>
    </row>
    <row r="778" spans="1:4" x14ac:dyDescent="0.3">
      <c r="A778" s="61" t="s">
        <v>843</v>
      </c>
      <c r="B778" s="84">
        <v>0</v>
      </c>
      <c r="C778" s="84">
        <v>794.55</v>
      </c>
      <c r="D778" s="84">
        <v>-794.55</v>
      </c>
    </row>
    <row r="779" spans="1:4" x14ac:dyDescent="0.3">
      <c r="A779" s="61" t="s">
        <v>844</v>
      </c>
      <c r="B779" s="84">
        <v>0</v>
      </c>
      <c r="C779" s="84">
        <v>1323</v>
      </c>
      <c r="D779" s="84">
        <v>-1323</v>
      </c>
    </row>
    <row r="780" spans="1:4" x14ac:dyDescent="0.3">
      <c r="A780" s="61" t="s">
        <v>845</v>
      </c>
      <c r="B780" s="84">
        <v>0</v>
      </c>
      <c r="C780" s="84">
        <v>791.1</v>
      </c>
      <c r="D780" s="84">
        <v>-791.1</v>
      </c>
    </row>
    <row r="781" spans="1:4" x14ac:dyDescent="0.3">
      <c r="A781" s="61" t="s">
        <v>846</v>
      </c>
      <c r="B781" s="84">
        <v>0</v>
      </c>
      <c r="C781" s="84">
        <v>840</v>
      </c>
      <c r="D781" s="84">
        <v>-840</v>
      </c>
    </row>
    <row r="782" spans="1:4" x14ac:dyDescent="0.3">
      <c r="A782" s="61" t="s">
        <v>853</v>
      </c>
      <c r="B782" s="84">
        <v>0</v>
      </c>
      <c r="C782" s="84">
        <v>1058.96</v>
      </c>
      <c r="D782" s="84">
        <v>-1058.96</v>
      </c>
    </row>
    <row r="783" spans="1:4" x14ac:dyDescent="0.3">
      <c r="A783" s="61" t="s">
        <v>854</v>
      </c>
      <c r="B783" s="84">
        <v>0</v>
      </c>
      <c r="C783" s="84">
        <v>1497</v>
      </c>
      <c r="D783" s="84">
        <v>-1497</v>
      </c>
    </row>
    <row r="784" spans="1:4" x14ac:dyDescent="0.3">
      <c r="A784" s="61" t="s">
        <v>855</v>
      </c>
      <c r="B784" s="84">
        <v>0</v>
      </c>
      <c r="C784" s="84">
        <v>1699.38</v>
      </c>
      <c r="D784" s="84">
        <v>-1699.38</v>
      </c>
    </row>
    <row r="785" spans="1:4" x14ac:dyDescent="0.3">
      <c r="A785" s="61" t="s">
        <v>856</v>
      </c>
      <c r="B785" s="84">
        <v>0</v>
      </c>
      <c r="C785" s="84">
        <v>2342.1</v>
      </c>
      <c r="D785" s="84">
        <v>-2342.1</v>
      </c>
    </row>
    <row r="786" spans="1:4" x14ac:dyDescent="0.3">
      <c r="A786" s="61" t="s">
        <v>857</v>
      </c>
      <c r="B786" s="84">
        <v>0</v>
      </c>
      <c r="C786" s="84">
        <v>2534.34</v>
      </c>
      <c r="D786" s="84">
        <v>-2534.34</v>
      </c>
    </row>
    <row r="787" spans="1:4" x14ac:dyDescent="0.3">
      <c r="A787" s="61" t="s">
        <v>858</v>
      </c>
      <c r="B787" s="84">
        <v>0</v>
      </c>
      <c r="C787" s="84">
        <v>169.22</v>
      </c>
      <c r="D787" s="84">
        <v>-169.22</v>
      </c>
    </row>
    <row r="788" spans="1:4" x14ac:dyDescent="0.3">
      <c r="A788" s="61" t="s">
        <v>859</v>
      </c>
      <c r="B788" s="84">
        <v>0</v>
      </c>
      <c r="C788" s="84">
        <v>59.25</v>
      </c>
      <c r="D788" s="84">
        <v>-59.25</v>
      </c>
    </row>
    <row r="789" spans="1:4" x14ac:dyDescent="0.3">
      <c r="A789" s="61" t="s">
        <v>860</v>
      </c>
      <c r="B789" s="84">
        <v>0</v>
      </c>
      <c r="C789" s="84">
        <v>1509</v>
      </c>
      <c r="D789" s="84">
        <v>-1509</v>
      </c>
    </row>
    <row r="790" spans="1:4" x14ac:dyDescent="0.3">
      <c r="A790" s="61" t="s">
        <v>861</v>
      </c>
      <c r="B790" s="84">
        <v>0</v>
      </c>
      <c r="C790" s="84">
        <v>3066.05</v>
      </c>
      <c r="D790" s="84">
        <v>-3066.05</v>
      </c>
    </row>
    <row r="791" spans="1:4" x14ac:dyDescent="0.3">
      <c r="A791" s="61" t="s">
        <v>862</v>
      </c>
      <c r="B791" s="84">
        <v>0</v>
      </c>
      <c r="C791" s="84">
        <v>563.1</v>
      </c>
      <c r="D791" s="84">
        <v>-563.1</v>
      </c>
    </row>
    <row r="792" spans="1:4" x14ac:dyDescent="0.3">
      <c r="A792" s="61" t="s">
        <v>863</v>
      </c>
      <c r="B792" s="84">
        <v>0</v>
      </c>
      <c r="C792" s="84">
        <v>354</v>
      </c>
      <c r="D792" s="84">
        <v>-354</v>
      </c>
    </row>
    <row r="793" spans="1:4" x14ac:dyDescent="0.3">
      <c r="A793" s="61" t="s">
        <v>864</v>
      </c>
      <c r="B793" s="84">
        <v>0</v>
      </c>
      <c r="C793" s="84">
        <v>667</v>
      </c>
      <c r="D793" s="84">
        <v>-667</v>
      </c>
    </row>
    <row r="794" spans="1:4" x14ac:dyDescent="0.3">
      <c r="A794" s="61" t="s">
        <v>865</v>
      </c>
      <c r="B794" s="84">
        <v>0</v>
      </c>
      <c r="C794" s="84">
        <v>397.99</v>
      </c>
      <c r="D794" s="84">
        <v>-397.99</v>
      </c>
    </row>
    <row r="795" spans="1:4" x14ac:dyDescent="0.3">
      <c r="A795" s="61" t="s">
        <v>866</v>
      </c>
      <c r="B795" s="84">
        <v>0</v>
      </c>
      <c r="C795" s="84">
        <v>496.8</v>
      </c>
      <c r="D795" s="84">
        <v>-496.8</v>
      </c>
    </row>
    <row r="796" spans="1:4" x14ac:dyDescent="0.3">
      <c r="A796" s="61" t="s">
        <v>867</v>
      </c>
      <c r="B796" s="84">
        <v>0</v>
      </c>
      <c r="C796" s="84">
        <v>394.48</v>
      </c>
      <c r="D796" s="84">
        <v>-394.48</v>
      </c>
    </row>
    <row r="797" spans="1:4" x14ac:dyDescent="0.3">
      <c r="A797" s="61" t="s">
        <v>868</v>
      </c>
      <c r="B797" s="84">
        <v>0</v>
      </c>
      <c r="C797" s="84">
        <v>2135.88</v>
      </c>
      <c r="D797" s="84">
        <v>-2135.88</v>
      </c>
    </row>
    <row r="798" spans="1:4" x14ac:dyDescent="0.3">
      <c r="A798" s="61" t="s">
        <v>869</v>
      </c>
      <c r="B798" s="84">
        <v>0</v>
      </c>
      <c r="C798" s="84">
        <v>1667.45</v>
      </c>
      <c r="D798" s="84">
        <v>-1667.45</v>
      </c>
    </row>
    <row r="799" spans="1:4" x14ac:dyDescent="0.3">
      <c r="A799" s="61" t="s">
        <v>870</v>
      </c>
      <c r="B799" s="84">
        <v>0</v>
      </c>
      <c r="C799" s="84">
        <v>3172.22</v>
      </c>
      <c r="D799" s="84">
        <v>-3172.22</v>
      </c>
    </row>
    <row r="800" spans="1:4" x14ac:dyDescent="0.3">
      <c r="A800" s="61" t="s">
        <v>871</v>
      </c>
      <c r="B800" s="84">
        <v>0</v>
      </c>
      <c r="C800" s="84">
        <v>570</v>
      </c>
      <c r="D800" s="84">
        <v>-570</v>
      </c>
    </row>
    <row r="801" spans="1:4" x14ac:dyDescent="0.3">
      <c r="A801" s="61" t="s">
        <v>872</v>
      </c>
      <c r="B801" s="84">
        <v>0</v>
      </c>
      <c r="C801" s="84">
        <v>1848</v>
      </c>
      <c r="D801" s="84">
        <v>-1848</v>
      </c>
    </row>
    <row r="802" spans="1:4" x14ac:dyDescent="0.3">
      <c r="A802" s="61" t="s">
        <v>873</v>
      </c>
      <c r="B802" s="84">
        <v>0</v>
      </c>
      <c r="C802" s="84">
        <v>5716.54</v>
      </c>
      <c r="D802" s="84">
        <v>-5716.54</v>
      </c>
    </row>
    <row r="803" spans="1:4" x14ac:dyDescent="0.3">
      <c r="A803" s="61" t="s">
        <v>874</v>
      </c>
      <c r="B803" s="84">
        <v>0</v>
      </c>
      <c r="C803" s="84">
        <v>514.79999999999995</v>
      </c>
      <c r="D803" s="84">
        <v>-514.79999999999995</v>
      </c>
    </row>
    <row r="804" spans="1:4" x14ac:dyDescent="0.3">
      <c r="A804" s="61" t="s">
        <v>875</v>
      </c>
      <c r="B804" s="84">
        <v>0</v>
      </c>
      <c r="C804" s="84">
        <v>1775.77</v>
      </c>
      <c r="D804" s="84">
        <v>-1775.77</v>
      </c>
    </row>
    <row r="805" spans="1:4" x14ac:dyDescent="0.3">
      <c r="A805" s="61" t="s">
        <v>876</v>
      </c>
      <c r="B805" s="84">
        <v>0</v>
      </c>
      <c r="C805" s="84">
        <v>162</v>
      </c>
      <c r="D805" s="84">
        <v>-162</v>
      </c>
    </row>
    <row r="806" spans="1:4" x14ac:dyDescent="0.3">
      <c r="A806" s="61" t="s">
        <v>877</v>
      </c>
      <c r="B806" s="84">
        <v>0</v>
      </c>
      <c r="C806" s="84">
        <v>5517.32</v>
      </c>
      <c r="D806" s="84">
        <v>-5517.32</v>
      </c>
    </row>
    <row r="807" spans="1:4" x14ac:dyDescent="0.3">
      <c r="A807" s="61" t="s">
        <v>878</v>
      </c>
      <c r="B807" s="84">
        <v>0</v>
      </c>
      <c r="C807" s="84">
        <v>6765.59</v>
      </c>
      <c r="D807" s="84">
        <v>-6765.59</v>
      </c>
    </row>
    <row r="808" spans="1:4" x14ac:dyDescent="0.3">
      <c r="A808" s="61" t="s">
        <v>879</v>
      </c>
      <c r="B808" s="84">
        <v>0</v>
      </c>
      <c r="C808" s="84">
        <v>1124.1500000000001</v>
      </c>
      <c r="D808" s="84">
        <v>-1124.1500000000001</v>
      </c>
    </row>
    <row r="809" spans="1:4" x14ac:dyDescent="0.3">
      <c r="A809" s="61" t="s">
        <v>880</v>
      </c>
      <c r="B809" s="84">
        <v>0</v>
      </c>
      <c r="C809" s="84">
        <v>1462.05</v>
      </c>
      <c r="D809" s="84">
        <v>-1462.05</v>
      </c>
    </row>
    <row r="810" spans="1:4" x14ac:dyDescent="0.3">
      <c r="A810" s="61" t="s">
        <v>881</v>
      </c>
      <c r="B810" s="84">
        <v>0</v>
      </c>
      <c r="C810" s="84">
        <v>1788.12</v>
      </c>
      <c r="D810" s="84">
        <v>-1788.12</v>
      </c>
    </row>
    <row r="811" spans="1:4" x14ac:dyDescent="0.3">
      <c r="A811" s="61" t="s">
        <v>882</v>
      </c>
      <c r="B811" s="84">
        <v>0</v>
      </c>
      <c r="C811" s="84">
        <v>1786.7</v>
      </c>
      <c r="D811" s="84">
        <v>-1786.7</v>
      </c>
    </row>
    <row r="812" spans="1:4" x14ac:dyDescent="0.3">
      <c r="A812" s="61" t="s">
        <v>883</v>
      </c>
      <c r="B812" s="84">
        <v>0</v>
      </c>
      <c r="C812" s="84">
        <v>89</v>
      </c>
      <c r="D812" s="84">
        <v>-89</v>
      </c>
    </row>
    <row r="813" spans="1:4" x14ac:dyDescent="0.3">
      <c r="A813" s="61" t="s">
        <v>884</v>
      </c>
      <c r="B813" s="84">
        <v>0</v>
      </c>
      <c r="C813" s="84">
        <v>1382.16</v>
      </c>
      <c r="D813" s="84">
        <v>-1382.16</v>
      </c>
    </row>
    <row r="814" spans="1:4" x14ac:dyDescent="0.3">
      <c r="A814" s="61" t="s">
        <v>885</v>
      </c>
      <c r="B814" s="84">
        <v>0</v>
      </c>
      <c r="C814" s="84">
        <v>1125</v>
      </c>
      <c r="D814" s="84">
        <v>-1125</v>
      </c>
    </row>
    <row r="815" spans="1:4" x14ac:dyDescent="0.3">
      <c r="A815" s="61" t="s">
        <v>886</v>
      </c>
      <c r="B815" s="84">
        <v>0</v>
      </c>
      <c r="C815" s="84">
        <v>1400.1</v>
      </c>
      <c r="D815" s="84">
        <v>-1400.1</v>
      </c>
    </row>
    <row r="816" spans="1:4" x14ac:dyDescent="0.3">
      <c r="A816" s="61" t="s">
        <v>887</v>
      </c>
      <c r="B816" s="84">
        <v>0</v>
      </c>
      <c r="C816" s="84">
        <v>255</v>
      </c>
      <c r="D816" s="84">
        <v>-255</v>
      </c>
    </row>
    <row r="817" spans="1:4" x14ac:dyDescent="0.3">
      <c r="A817" s="61" t="s">
        <v>888</v>
      </c>
      <c r="B817" s="84">
        <v>0</v>
      </c>
      <c r="C817" s="84">
        <v>912.61</v>
      </c>
      <c r="D817" s="84">
        <v>-912.61</v>
      </c>
    </row>
    <row r="818" spans="1:4" x14ac:dyDescent="0.3">
      <c r="A818" s="61" t="s">
        <v>889</v>
      </c>
      <c r="B818" s="84">
        <v>0</v>
      </c>
      <c r="C818" s="84">
        <v>364.32</v>
      </c>
      <c r="D818" s="84">
        <v>-364.32</v>
      </c>
    </row>
    <row r="819" spans="1:4" x14ac:dyDescent="0.3">
      <c r="A819" s="61" t="s">
        <v>890</v>
      </c>
      <c r="B819" s="84">
        <v>0</v>
      </c>
      <c r="C819" s="84">
        <v>1153.43</v>
      </c>
      <c r="D819" s="84">
        <v>-1153.43</v>
      </c>
    </row>
    <row r="820" spans="1:4" x14ac:dyDescent="0.3">
      <c r="A820" s="61" t="s">
        <v>891</v>
      </c>
      <c r="B820" s="84">
        <v>0</v>
      </c>
      <c r="C820" s="84">
        <v>1669.53</v>
      </c>
      <c r="D820" s="84">
        <v>-1669.53</v>
      </c>
    </row>
    <row r="821" spans="1:4" x14ac:dyDescent="0.3">
      <c r="A821" s="61" t="s">
        <v>892</v>
      </c>
      <c r="B821" s="84">
        <v>0</v>
      </c>
      <c r="C821" s="84">
        <v>1678.27</v>
      </c>
      <c r="D821" s="84">
        <v>-1678.27</v>
      </c>
    </row>
    <row r="822" spans="1:4" x14ac:dyDescent="0.3">
      <c r="A822" s="61" t="s">
        <v>893</v>
      </c>
      <c r="B822" s="84">
        <v>0</v>
      </c>
      <c r="C822" s="84">
        <v>2600.6999999999998</v>
      </c>
      <c r="D822" s="84">
        <v>-2600.6999999999998</v>
      </c>
    </row>
    <row r="823" spans="1:4" x14ac:dyDescent="0.3">
      <c r="A823" s="61" t="s">
        <v>894</v>
      </c>
      <c r="B823" s="84">
        <v>0</v>
      </c>
      <c r="C823" s="84">
        <v>624</v>
      </c>
      <c r="D823" s="84">
        <v>-624</v>
      </c>
    </row>
    <row r="824" spans="1:4" x14ac:dyDescent="0.3">
      <c r="A824" s="61" t="s">
        <v>895</v>
      </c>
      <c r="B824" s="84">
        <v>0</v>
      </c>
      <c r="C824" s="84">
        <v>324.39999999999998</v>
      </c>
      <c r="D824" s="84">
        <v>-324.39999999999998</v>
      </c>
    </row>
    <row r="825" spans="1:4" x14ac:dyDescent="0.3">
      <c r="A825" s="61" t="s">
        <v>896</v>
      </c>
      <c r="B825" s="84">
        <v>0</v>
      </c>
      <c r="C825" s="84">
        <v>2239.1</v>
      </c>
      <c r="D825" s="84">
        <v>-2239.1</v>
      </c>
    </row>
    <row r="826" spans="1:4" x14ac:dyDescent="0.3">
      <c r="A826" s="61" t="s">
        <v>897</v>
      </c>
      <c r="B826" s="84">
        <v>0</v>
      </c>
      <c r="C826" s="84">
        <v>3086.07</v>
      </c>
      <c r="D826" s="84">
        <v>-3086.07</v>
      </c>
    </row>
    <row r="827" spans="1:4" x14ac:dyDescent="0.3">
      <c r="A827" s="61" t="s">
        <v>898</v>
      </c>
      <c r="B827" s="84">
        <v>0</v>
      </c>
      <c r="C827" s="84">
        <v>562.79999999999995</v>
      </c>
      <c r="D827" s="84">
        <v>-562.79999999999995</v>
      </c>
    </row>
    <row r="828" spans="1:4" x14ac:dyDescent="0.3">
      <c r="A828" s="61" t="s">
        <v>899</v>
      </c>
      <c r="B828" s="84">
        <v>0</v>
      </c>
      <c r="C828" s="84">
        <v>280.8</v>
      </c>
      <c r="D828" s="84">
        <v>-280.8</v>
      </c>
    </row>
    <row r="829" spans="1:4" x14ac:dyDescent="0.3">
      <c r="A829" s="61" t="s">
        <v>900</v>
      </c>
      <c r="B829" s="84">
        <v>0</v>
      </c>
      <c r="C829" s="84">
        <v>780</v>
      </c>
      <c r="D829" s="84">
        <v>-780</v>
      </c>
    </row>
    <row r="830" spans="1:4" x14ac:dyDescent="0.3">
      <c r="A830" s="61" t="s">
        <v>901</v>
      </c>
      <c r="B830" s="84">
        <v>0</v>
      </c>
      <c r="C830" s="84">
        <v>1284.92</v>
      </c>
      <c r="D830" s="84">
        <v>-1284.92</v>
      </c>
    </row>
    <row r="831" spans="1:4" x14ac:dyDescent="0.3">
      <c r="A831" s="61" t="s">
        <v>902</v>
      </c>
      <c r="B831" s="84">
        <v>0</v>
      </c>
      <c r="C831" s="84">
        <v>4525.8</v>
      </c>
      <c r="D831" s="84">
        <v>-4525.8</v>
      </c>
    </row>
    <row r="832" spans="1:4" x14ac:dyDescent="0.3">
      <c r="A832" s="61" t="s">
        <v>903</v>
      </c>
      <c r="B832" s="84">
        <v>0</v>
      </c>
      <c r="C832" s="84">
        <v>1373.52</v>
      </c>
      <c r="D832" s="84">
        <v>-1373.52</v>
      </c>
    </row>
    <row r="833" spans="1:4" x14ac:dyDescent="0.3">
      <c r="A833" s="61" t="s">
        <v>904</v>
      </c>
      <c r="B833" s="84">
        <v>0</v>
      </c>
      <c r="C833" s="84">
        <v>1156.04</v>
      </c>
      <c r="D833" s="84">
        <v>-1156.04</v>
      </c>
    </row>
    <row r="834" spans="1:4" x14ac:dyDescent="0.3">
      <c r="A834" s="61" t="s">
        <v>905</v>
      </c>
      <c r="B834" s="84">
        <v>0</v>
      </c>
      <c r="C834" s="84">
        <v>1916.88</v>
      </c>
      <c r="D834" s="84">
        <v>-1916.88</v>
      </c>
    </row>
    <row r="835" spans="1:4" x14ac:dyDescent="0.3">
      <c r="A835" s="61" t="s">
        <v>906</v>
      </c>
      <c r="B835" s="84">
        <v>0</v>
      </c>
      <c r="C835" s="84">
        <v>6349.91</v>
      </c>
      <c r="D835" s="84">
        <v>-6349.91</v>
      </c>
    </row>
    <row r="836" spans="1:4" x14ac:dyDescent="0.3">
      <c r="A836" s="61" t="s">
        <v>907</v>
      </c>
      <c r="B836" s="84">
        <v>0</v>
      </c>
      <c r="C836" s="84">
        <v>405.6</v>
      </c>
      <c r="D836" s="84">
        <v>-405.6</v>
      </c>
    </row>
    <row r="837" spans="1:4" x14ac:dyDescent="0.3">
      <c r="A837" s="61" t="s">
        <v>908</v>
      </c>
      <c r="B837" s="84">
        <v>0</v>
      </c>
      <c r="C837" s="84">
        <v>7151.65</v>
      </c>
      <c r="D837" s="84">
        <v>-7151.65</v>
      </c>
    </row>
    <row r="838" spans="1:4" x14ac:dyDescent="0.3">
      <c r="A838" s="61" t="s">
        <v>909</v>
      </c>
      <c r="B838" s="84">
        <v>0</v>
      </c>
      <c r="C838" s="84">
        <v>564.29999999999995</v>
      </c>
      <c r="D838" s="84">
        <v>-564.29999999999995</v>
      </c>
    </row>
    <row r="839" spans="1:4" x14ac:dyDescent="0.3">
      <c r="A839" s="61" t="s">
        <v>910</v>
      </c>
      <c r="B839" s="84">
        <v>0</v>
      </c>
      <c r="C839" s="84">
        <v>2179.5100000000002</v>
      </c>
      <c r="D839" s="84">
        <v>-2179.5100000000002</v>
      </c>
    </row>
    <row r="840" spans="1:4" x14ac:dyDescent="0.3">
      <c r="A840" s="61" t="s">
        <v>911</v>
      </c>
      <c r="B840" s="84">
        <v>0</v>
      </c>
      <c r="C840" s="84">
        <v>730</v>
      </c>
      <c r="D840" s="84">
        <v>-730</v>
      </c>
    </row>
    <row r="841" spans="1:4" x14ac:dyDescent="0.3">
      <c r="A841" s="61" t="s">
        <v>912</v>
      </c>
      <c r="B841" s="84">
        <v>0</v>
      </c>
      <c r="C841" s="84">
        <v>503.41</v>
      </c>
      <c r="D841" s="84">
        <v>-503.41</v>
      </c>
    </row>
    <row r="842" spans="1:4" x14ac:dyDescent="0.3">
      <c r="A842" s="61" t="s">
        <v>913</v>
      </c>
      <c r="B842" s="84">
        <v>0</v>
      </c>
      <c r="C842" s="84">
        <v>3154.6</v>
      </c>
      <c r="D842" s="84">
        <v>-3154.6</v>
      </c>
    </row>
    <row r="843" spans="1:4" x14ac:dyDescent="0.3">
      <c r="A843" s="61" t="s">
        <v>914</v>
      </c>
      <c r="B843" s="84">
        <v>0</v>
      </c>
      <c r="C843" s="84">
        <v>3947.02</v>
      </c>
      <c r="D843" s="84">
        <v>-3947.02</v>
      </c>
    </row>
    <row r="844" spans="1:4" x14ac:dyDescent="0.3">
      <c r="A844" s="61" t="s">
        <v>915</v>
      </c>
      <c r="B844" s="84">
        <v>0</v>
      </c>
      <c r="C844" s="84">
        <v>3798.05</v>
      </c>
      <c r="D844" s="84">
        <v>-3798.05</v>
      </c>
    </row>
    <row r="845" spans="1:4" x14ac:dyDescent="0.3">
      <c r="A845" s="61" t="s">
        <v>916</v>
      </c>
      <c r="B845" s="84">
        <v>0</v>
      </c>
      <c r="C845" s="84">
        <v>573</v>
      </c>
      <c r="D845" s="84">
        <v>-573</v>
      </c>
    </row>
    <row r="846" spans="1:4" x14ac:dyDescent="0.3">
      <c r="A846" s="61" t="s">
        <v>917</v>
      </c>
      <c r="B846" s="84">
        <v>0</v>
      </c>
      <c r="C846" s="84">
        <v>4803.84</v>
      </c>
      <c r="D846" s="84">
        <v>-4803.84</v>
      </c>
    </row>
    <row r="847" spans="1:4" x14ac:dyDescent="0.3">
      <c r="A847" s="61" t="s">
        <v>918</v>
      </c>
      <c r="B847" s="84">
        <v>0</v>
      </c>
      <c r="C847" s="84">
        <v>12253.11</v>
      </c>
      <c r="D847" s="84">
        <v>-12253.11</v>
      </c>
    </row>
    <row r="848" spans="1:4" x14ac:dyDescent="0.3">
      <c r="A848" s="61" t="s">
        <v>919</v>
      </c>
      <c r="B848" s="84">
        <v>0</v>
      </c>
      <c r="C848" s="84">
        <v>1878.15</v>
      </c>
      <c r="D848" s="84">
        <v>-1878.15</v>
      </c>
    </row>
    <row r="849" spans="1:4" x14ac:dyDescent="0.3">
      <c r="A849" s="61" t="s">
        <v>920</v>
      </c>
      <c r="B849" s="84">
        <v>0</v>
      </c>
      <c r="C849" s="84">
        <v>298.52</v>
      </c>
      <c r="D849" s="84">
        <v>-298.52</v>
      </c>
    </row>
    <row r="850" spans="1:4" x14ac:dyDescent="0.3">
      <c r="A850" s="61" t="s">
        <v>921</v>
      </c>
      <c r="B850" s="84">
        <v>0</v>
      </c>
      <c r="C850" s="84">
        <v>3295.15</v>
      </c>
      <c r="D850" s="84">
        <v>-3295.15</v>
      </c>
    </row>
    <row r="851" spans="1:4" x14ac:dyDescent="0.3">
      <c r="A851" s="61" t="s">
        <v>922</v>
      </c>
      <c r="B851" s="84">
        <v>0</v>
      </c>
      <c r="C851" s="84">
        <v>1804.5</v>
      </c>
      <c r="D851" s="84">
        <v>-1804.5</v>
      </c>
    </row>
    <row r="852" spans="1:4" x14ac:dyDescent="0.3">
      <c r="A852" s="61" t="s">
        <v>923</v>
      </c>
      <c r="B852" s="84">
        <v>0</v>
      </c>
      <c r="C852" s="84">
        <v>355.4</v>
      </c>
      <c r="D852" s="84">
        <v>-355.4</v>
      </c>
    </row>
    <row r="853" spans="1:4" x14ac:dyDescent="0.3">
      <c r="A853" s="61" t="s">
        <v>924</v>
      </c>
      <c r="B853" s="84">
        <v>0</v>
      </c>
      <c r="C853" s="84">
        <v>1152</v>
      </c>
      <c r="D853" s="84">
        <v>-1152</v>
      </c>
    </row>
    <row r="854" spans="1:4" x14ac:dyDescent="0.3">
      <c r="A854" s="61" t="s">
        <v>925</v>
      </c>
      <c r="B854" s="84">
        <v>0</v>
      </c>
      <c r="C854" s="84">
        <v>3667.68</v>
      </c>
      <c r="D854" s="84">
        <v>-3667.68</v>
      </c>
    </row>
    <row r="855" spans="1:4" x14ac:dyDescent="0.3">
      <c r="A855" s="61" t="s">
        <v>926</v>
      </c>
      <c r="B855" s="84">
        <v>0</v>
      </c>
      <c r="C855" s="84">
        <v>370</v>
      </c>
      <c r="D855" s="84">
        <v>-370</v>
      </c>
    </row>
    <row r="856" spans="1:4" x14ac:dyDescent="0.3">
      <c r="A856" s="61" t="s">
        <v>927</v>
      </c>
      <c r="B856" s="84">
        <v>0</v>
      </c>
      <c r="C856" s="84">
        <v>1454.32</v>
      </c>
      <c r="D856" s="84">
        <v>-1454.32</v>
      </c>
    </row>
    <row r="857" spans="1:4" x14ac:dyDescent="0.3">
      <c r="A857" s="61" t="s">
        <v>928</v>
      </c>
      <c r="B857" s="84">
        <v>0</v>
      </c>
      <c r="C857" s="84">
        <v>2240</v>
      </c>
      <c r="D857" s="84">
        <v>-2240</v>
      </c>
    </row>
    <row r="858" spans="1:4" x14ac:dyDescent="0.3">
      <c r="A858" s="61" t="s">
        <v>929</v>
      </c>
      <c r="B858" s="84">
        <v>0</v>
      </c>
      <c r="C858" s="84">
        <v>730</v>
      </c>
      <c r="D858" s="84">
        <v>-730</v>
      </c>
    </row>
    <row r="859" spans="1:4" x14ac:dyDescent="0.3">
      <c r="A859" s="61" t="s">
        <v>930</v>
      </c>
      <c r="B859" s="84">
        <v>0</v>
      </c>
      <c r="C859" s="84">
        <v>1196.99</v>
      </c>
      <c r="D859" s="84">
        <v>-1196.99</v>
      </c>
    </row>
    <row r="860" spans="1:4" x14ac:dyDescent="0.3">
      <c r="A860" s="61" t="s">
        <v>931</v>
      </c>
      <c r="B860" s="84">
        <v>0</v>
      </c>
      <c r="C860" s="84">
        <v>2274</v>
      </c>
      <c r="D860" s="84">
        <v>-2274</v>
      </c>
    </row>
    <row r="861" spans="1:4" x14ac:dyDescent="0.3">
      <c r="A861" s="61" t="s">
        <v>932</v>
      </c>
      <c r="B861" s="84">
        <v>0</v>
      </c>
      <c r="C861" s="84">
        <v>850</v>
      </c>
      <c r="D861" s="84">
        <v>-850</v>
      </c>
    </row>
    <row r="862" spans="1:4" x14ac:dyDescent="0.3">
      <c r="A862" s="61" t="s">
        <v>933</v>
      </c>
      <c r="B862" s="84">
        <v>0</v>
      </c>
      <c r="C862" s="84">
        <v>2472.66</v>
      </c>
      <c r="D862" s="84">
        <v>-2472.66</v>
      </c>
    </row>
    <row r="863" spans="1:4" x14ac:dyDescent="0.3">
      <c r="A863" s="61" t="s">
        <v>934</v>
      </c>
      <c r="B863" s="84">
        <v>0</v>
      </c>
      <c r="C863" s="84">
        <v>4477.12</v>
      </c>
      <c r="D863" s="84">
        <v>-4477.12</v>
      </c>
    </row>
    <row r="864" spans="1:4" x14ac:dyDescent="0.3">
      <c r="A864" s="61" t="s">
        <v>935</v>
      </c>
      <c r="B864" s="84">
        <v>0</v>
      </c>
      <c r="C864" s="84">
        <v>1406.16</v>
      </c>
      <c r="D864" s="84">
        <v>-1406.16</v>
      </c>
    </row>
    <row r="865" spans="1:4" x14ac:dyDescent="0.3">
      <c r="A865" s="61" t="s">
        <v>936</v>
      </c>
      <c r="B865" s="84">
        <v>0</v>
      </c>
      <c r="C865" s="84">
        <v>3336.06</v>
      </c>
      <c r="D865" s="84">
        <v>-3336.06</v>
      </c>
    </row>
    <row r="866" spans="1:4" x14ac:dyDescent="0.3">
      <c r="A866" s="61" t="s">
        <v>937</v>
      </c>
      <c r="B866" s="84">
        <v>0</v>
      </c>
      <c r="C866" s="84">
        <v>3386.1</v>
      </c>
      <c r="D866" s="84">
        <v>-3386.1</v>
      </c>
    </row>
    <row r="867" spans="1:4" x14ac:dyDescent="0.3">
      <c r="A867" s="61" t="s">
        <v>938</v>
      </c>
      <c r="B867" s="84">
        <v>0</v>
      </c>
      <c r="C867" s="84">
        <v>885.2</v>
      </c>
      <c r="D867" s="84">
        <v>-885.2</v>
      </c>
    </row>
    <row r="868" spans="1:4" x14ac:dyDescent="0.3">
      <c r="A868" s="61" t="s">
        <v>939</v>
      </c>
      <c r="B868" s="84">
        <v>0</v>
      </c>
      <c r="C868" s="84">
        <v>1611.75</v>
      </c>
      <c r="D868" s="84">
        <v>-1611.75</v>
      </c>
    </row>
    <row r="869" spans="1:4" x14ac:dyDescent="0.3">
      <c r="A869" s="61" t="s">
        <v>940</v>
      </c>
      <c r="B869" s="84">
        <v>0</v>
      </c>
      <c r="C869" s="84">
        <v>2407.31</v>
      </c>
      <c r="D869" s="84">
        <v>-2407.31</v>
      </c>
    </row>
    <row r="870" spans="1:4" x14ac:dyDescent="0.3">
      <c r="A870" s="61" t="s">
        <v>941</v>
      </c>
      <c r="B870" s="84">
        <v>0</v>
      </c>
      <c r="C870" s="84">
        <v>264</v>
      </c>
      <c r="D870" s="84">
        <v>-264</v>
      </c>
    </row>
    <row r="871" spans="1:4" x14ac:dyDescent="0.3">
      <c r="A871" s="53" t="s">
        <v>80</v>
      </c>
      <c r="B871" s="84">
        <v>0</v>
      </c>
      <c r="C871" s="84">
        <v>17900</v>
      </c>
      <c r="D871" s="84">
        <v>-17900</v>
      </c>
    </row>
    <row r="872" spans="1:4" x14ac:dyDescent="0.3">
      <c r="A872" s="61" t="s">
        <v>847</v>
      </c>
      <c r="B872" s="84">
        <v>0</v>
      </c>
      <c r="C872" s="84">
        <v>17900</v>
      </c>
      <c r="D872" s="84">
        <v>-17900</v>
      </c>
    </row>
    <row r="873" spans="1:4" x14ac:dyDescent="0.3">
      <c r="A873" s="53" t="s">
        <v>81</v>
      </c>
      <c r="B873" s="84">
        <v>0</v>
      </c>
      <c r="C873" s="84">
        <v>11708</v>
      </c>
      <c r="D873" s="84">
        <v>-11708</v>
      </c>
    </row>
    <row r="874" spans="1:4" x14ac:dyDescent="0.3">
      <c r="A874" s="61" t="s">
        <v>848</v>
      </c>
      <c r="B874" s="84">
        <v>0</v>
      </c>
      <c r="C874" s="84">
        <v>11708</v>
      </c>
      <c r="D874" s="84">
        <v>-11708</v>
      </c>
    </row>
    <row r="875" spans="1:4" x14ac:dyDescent="0.3">
      <c r="A875" s="49" t="s">
        <v>24</v>
      </c>
      <c r="B875" s="84">
        <v>1335973.25</v>
      </c>
      <c r="C875" s="84">
        <v>1362935.5599999994</v>
      </c>
      <c r="D875" s="84">
        <v>-26962.309999999357</v>
      </c>
    </row>
  </sheetData>
  <mergeCells count="2">
    <mergeCell ref="A1:B1"/>
    <mergeCell ref="A2:B2"/>
  </mergeCells>
  <pageMargins left="0.70866141732283472" right="0.70866141732283472" top="0.51" bottom="0.28000000000000003" header="0.31496062992125984" footer="0.31496062992125984"/>
  <pageSetup scale="86" orientation="portrait" horizont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C00000"/>
    <pageSetUpPr fitToPage="1"/>
  </sheetPr>
  <dimension ref="A1:M16"/>
  <sheetViews>
    <sheetView showGridLines="0" tabSelected="1" zoomScale="90" zoomScaleNormal="90" zoomScaleSheetLayoutView="100" workbookViewId="0">
      <selection activeCell="C4" sqref="C4"/>
    </sheetView>
  </sheetViews>
  <sheetFormatPr baseColWidth="10" defaultColWidth="11" defaultRowHeight="14.4" x14ac:dyDescent="0.3"/>
  <cols>
    <col min="1" max="1" width="19.8984375" style="62" customWidth="1"/>
    <col min="2" max="13" width="13" style="62" customWidth="1"/>
    <col min="14" max="14" width="4.5" style="62" customWidth="1"/>
    <col min="15" max="16384" width="11" style="62"/>
  </cols>
  <sheetData>
    <row r="1" spans="1:13" ht="25.8" x14ac:dyDescent="0.5">
      <c r="A1" s="114" t="s">
        <v>948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ht="18" x14ac:dyDescent="0.35">
      <c r="A2" s="115" t="s">
        <v>57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13" ht="15" thickBot="1" x14ac:dyDescent="0.35"/>
    <row r="4" spans="1:13" ht="16.2" thickBot="1" x14ac:dyDescent="0.35">
      <c r="A4" s="63" t="s">
        <v>46</v>
      </c>
      <c r="B4" s="64">
        <v>2022</v>
      </c>
    </row>
    <row r="5" spans="1:13" ht="6.75" customHeight="1" x14ac:dyDescent="0.3"/>
    <row r="6" spans="1:13" x14ac:dyDescent="0.3">
      <c r="A6" s="65" t="s">
        <v>45</v>
      </c>
      <c r="B6" s="66">
        <f>SUMIF(Base!H:H,"&lt;"&amp;ANALISIS!B4,Base!E:E)-SUMIF(Base!H:H,"&lt;"&amp;ANALISIS!B4,Base!F:F)</f>
        <v>0</v>
      </c>
    </row>
    <row r="7" spans="1:13" x14ac:dyDescent="0.3">
      <c r="A7" s="67"/>
      <c r="B7" s="68"/>
    </row>
    <row r="8" spans="1:13" hidden="1" x14ac:dyDescent="0.3">
      <c r="A8" s="69">
        <f ca="1">YEAR(TODAY())</f>
        <v>2022</v>
      </c>
      <c r="B8" s="70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</row>
    <row r="9" spans="1:13" hidden="1" x14ac:dyDescent="0.3">
      <c r="A9" s="72">
        <f ca="1">MONTH(TODAY())</f>
        <v>10</v>
      </c>
      <c r="B9" s="72">
        <v>1</v>
      </c>
      <c r="C9" s="72">
        <v>2</v>
      </c>
      <c r="D9" s="72">
        <v>3</v>
      </c>
      <c r="E9" s="72">
        <v>4</v>
      </c>
      <c r="F9" s="72">
        <v>5</v>
      </c>
      <c r="G9" s="72">
        <v>6</v>
      </c>
      <c r="H9" s="72">
        <v>7</v>
      </c>
      <c r="I9" s="72">
        <v>8</v>
      </c>
      <c r="J9" s="72">
        <v>9</v>
      </c>
      <c r="K9" s="72">
        <v>10</v>
      </c>
      <c r="L9" s="72">
        <v>11</v>
      </c>
      <c r="M9" s="72">
        <v>12</v>
      </c>
    </row>
    <row r="10" spans="1:13" s="74" customFormat="1" x14ac:dyDescent="0.3">
      <c r="A10" s="73" t="s">
        <v>43</v>
      </c>
      <c r="B10" s="73" t="s">
        <v>31</v>
      </c>
      <c r="C10" s="73" t="s">
        <v>32</v>
      </c>
      <c r="D10" s="73" t="s">
        <v>33</v>
      </c>
      <c r="E10" s="73" t="s">
        <v>34</v>
      </c>
      <c r="F10" s="73" t="s">
        <v>35</v>
      </c>
      <c r="G10" s="73" t="s">
        <v>36</v>
      </c>
      <c r="H10" s="73" t="s">
        <v>37</v>
      </c>
      <c r="I10" s="73" t="s">
        <v>38</v>
      </c>
      <c r="J10" s="73" t="s">
        <v>39</v>
      </c>
      <c r="K10" s="73" t="s">
        <v>40</v>
      </c>
      <c r="L10" s="73" t="s">
        <v>41</v>
      </c>
      <c r="M10" s="73" t="s">
        <v>42</v>
      </c>
    </row>
    <row r="11" spans="1:13" s="76" customFormat="1" x14ac:dyDescent="0.3">
      <c r="A11" s="75" t="s">
        <v>23</v>
      </c>
      <c r="B11" s="85">
        <f>SUMIFS(Base!$E:$E,Base!$G:$G,ANALISIS!B$9,Base!$H:$H,ANALISIS!$B$4)</f>
        <v>0</v>
      </c>
      <c r="C11" s="85">
        <f>SUMIFS(Base!$E:$E,Base!$G:$G,ANALISIS!C$9,Base!$H:$H,ANALISIS!$B$4)</f>
        <v>0</v>
      </c>
      <c r="D11" s="85">
        <f>SUMIFS(Base!$E:$E,Base!$G:$G,ANALISIS!D$9,Base!$H:$H,ANALISIS!$B$4)</f>
        <v>0</v>
      </c>
      <c r="E11" s="85">
        <f>SUMIFS(Base!$E:$E,Base!$G:$G,ANALISIS!E$9,Base!$H:$H,ANALISIS!$B$4)</f>
        <v>0</v>
      </c>
      <c r="F11" s="85">
        <f>SUMIFS(Base!$E:$E,Base!$G:$G,ANALISIS!F$9,Base!$H:$H,ANALISIS!$B$4)</f>
        <v>0</v>
      </c>
      <c r="G11" s="85">
        <f>SUMIFS(Base!$E:$E,Base!$G:$G,ANALISIS!G$9,Base!$H:$H,ANALISIS!$B$4)</f>
        <v>0</v>
      </c>
      <c r="H11" s="85">
        <f>SUMIFS(Base!$E:$E,Base!$G:$G,ANALISIS!H$9,Base!$H:$H,ANALISIS!$B$4)</f>
        <v>0</v>
      </c>
      <c r="I11" s="85">
        <f>SUMIFS(Base!$E:$E,Base!$G:$G,ANALISIS!I$9,Base!$H:$H,ANALISIS!$B$4)</f>
        <v>0</v>
      </c>
      <c r="J11" s="85">
        <f>SUMIFS(Base!$E:$E,Base!$G:$G,ANALISIS!J$9,Base!$H:$H,ANALISIS!$B$4)</f>
        <v>0</v>
      </c>
      <c r="K11" s="85">
        <f>SUMIFS(Base!$E:$E,Base!$G:$G,ANALISIS!K$9,Base!$H:$H,ANALISIS!$B$4)</f>
        <v>0</v>
      </c>
      <c r="L11" s="85">
        <f>SUMIFS(Base!$E:$E,Base!$G:$G,ANALISIS!L$9,Base!$H:$H,ANALISIS!$B$4)</f>
        <v>0</v>
      </c>
      <c r="M11" s="85">
        <f>SUMIFS(Base!$E:$E,Base!$G:$G,ANALISIS!M$9,Base!$H:$H,ANALISIS!$B$4)</f>
        <v>0</v>
      </c>
    </row>
    <row r="12" spans="1:13" s="76" customFormat="1" x14ac:dyDescent="0.3">
      <c r="A12" s="75" t="s">
        <v>6</v>
      </c>
      <c r="B12" s="85">
        <f>SUMIFS(Base!$F:$F,Base!$G:$G,ANALISIS!B$9,Base!$H:$H,ANALISIS!$B$4)</f>
        <v>0</v>
      </c>
      <c r="C12" s="85">
        <f>SUMIFS(Base!$F:$F,Base!$G:$G,ANALISIS!C$9,Base!$H:$H,ANALISIS!$B$4)</f>
        <v>0</v>
      </c>
      <c r="D12" s="85">
        <f>SUMIFS(Base!$F:$F,Base!$G:$G,ANALISIS!D$9,Base!$H:$H,ANALISIS!$B$4)</f>
        <v>0</v>
      </c>
      <c r="E12" s="85">
        <f>SUMIFS(Base!$F:$F,Base!$G:$G,ANALISIS!E$9,Base!$H:$H,ANALISIS!$B$4)</f>
        <v>0</v>
      </c>
      <c r="F12" s="85">
        <f>SUMIFS(Base!$F:$F,Base!$G:$G,ANALISIS!F$9,Base!$H:$H,ANALISIS!$B$4)</f>
        <v>0</v>
      </c>
      <c r="G12" s="85">
        <f>SUMIFS(Base!$F:$F,Base!$G:$G,ANALISIS!G$9,Base!$H:$H,ANALISIS!$B$4)</f>
        <v>0</v>
      </c>
      <c r="H12" s="85">
        <f>SUMIFS(Base!$F:$F,Base!$G:$G,ANALISIS!H$9,Base!$H:$H,ANALISIS!$B$4)</f>
        <v>0</v>
      </c>
      <c r="I12" s="85">
        <f>SUMIFS(Base!$F:$F,Base!$G:$G,ANALISIS!I$9,Base!$H:$H,ANALISIS!$B$4)</f>
        <v>0</v>
      </c>
      <c r="J12" s="85">
        <f>SUMIFS(Base!$F:$F,Base!$G:$G,ANALISIS!J$9,Base!$H:$H,ANALISIS!$B$4)</f>
        <v>0</v>
      </c>
      <c r="K12" s="85">
        <f>SUMIFS(Base!$F:$F,Base!$G:$G,ANALISIS!K$9,Base!$H:$H,ANALISIS!$B$4)</f>
        <v>0</v>
      </c>
      <c r="L12" s="85">
        <f>SUMIFS(Base!$F:$F,Base!$G:$G,ANALISIS!L$9,Base!$H:$H,ANALISIS!$B$4)</f>
        <v>0</v>
      </c>
      <c r="M12" s="85">
        <f>SUMIFS(Base!$F:$F,Base!$G:$G,ANALISIS!M$9,Base!$H:$H,ANALISIS!$B$4)</f>
        <v>0</v>
      </c>
    </row>
    <row r="13" spans="1:13" s="76" customFormat="1" ht="15" thickBot="1" x14ac:dyDescent="0.35">
      <c r="A13" s="77" t="s">
        <v>44</v>
      </c>
      <c r="B13" s="86">
        <f t="shared" ref="B13:M13" si="0">+B11-B12</f>
        <v>0</v>
      </c>
      <c r="C13" s="86">
        <f t="shared" si="0"/>
        <v>0</v>
      </c>
      <c r="D13" s="86">
        <f t="shared" si="0"/>
        <v>0</v>
      </c>
      <c r="E13" s="86">
        <f t="shared" si="0"/>
        <v>0</v>
      </c>
      <c r="F13" s="86">
        <f t="shared" si="0"/>
        <v>0</v>
      </c>
      <c r="G13" s="86">
        <f t="shared" si="0"/>
        <v>0</v>
      </c>
      <c r="H13" s="86">
        <f t="shared" si="0"/>
        <v>0</v>
      </c>
      <c r="I13" s="86">
        <f t="shared" si="0"/>
        <v>0</v>
      </c>
      <c r="J13" s="86">
        <f t="shared" si="0"/>
        <v>0</v>
      </c>
      <c r="K13" s="86">
        <f t="shared" si="0"/>
        <v>0</v>
      </c>
      <c r="L13" s="86">
        <f t="shared" si="0"/>
        <v>0</v>
      </c>
      <c r="M13" s="86">
        <f t="shared" si="0"/>
        <v>0</v>
      </c>
    </row>
    <row r="14" spans="1:13" s="76" customFormat="1" ht="6.75" customHeight="1" thickTop="1" x14ac:dyDescent="0.3">
      <c r="A14" s="78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</row>
    <row r="15" spans="1:13" s="76" customFormat="1" ht="15" thickBot="1" x14ac:dyDescent="0.35">
      <c r="A15" s="79" t="s">
        <v>25</v>
      </c>
      <c r="B15" s="88">
        <f ca="1">IF(A8&amp;A9&gt;=B4&amp;B9,B6+B13,0)</f>
        <v>0</v>
      </c>
      <c r="C15" s="88">
        <f ca="1">IF(VALUE($A$8&amp;$A$9)&gt;=VALUE($B$4&amp;C9),B15+C13,0)</f>
        <v>0</v>
      </c>
      <c r="D15" s="88">
        <f t="shared" ref="D15:M15" ca="1" si="1">IF(VALUE($A$8&amp;$A$9)&gt;=VALUE($B$4&amp;D9),C15+D13,0)</f>
        <v>0</v>
      </c>
      <c r="E15" s="88">
        <f t="shared" ca="1" si="1"/>
        <v>0</v>
      </c>
      <c r="F15" s="88">
        <f t="shared" ca="1" si="1"/>
        <v>0</v>
      </c>
      <c r="G15" s="88">
        <f t="shared" ca="1" si="1"/>
        <v>0</v>
      </c>
      <c r="H15" s="88">
        <f t="shared" ca="1" si="1"/>
        <v>0</v>
      </c>
      <c r="I15" s="88">
        <f t="shared" ca="1" si="1"/>
        <v>0</v>
      </c>
      <c r="J15" s="88">
        <f t="shared" ca="1" si="1"/>
        <v>0</v>
      </c>
      <c r="K15" s="88">
        <f t="shared" ca="1" si="1"/>
        <v>0</v>
      </c>
      <c r="L15" s="88">
        <f t="shared" ca="1" si="1"/>
        <v>0</v>
      </c>
      <c r="M15" s="88">
        <f t="shared" ca="1" si="1"/>
        <v>0</v>
      </c>
    </row>
    <row r="16" spans="1:13" ht="6" customHeight="1" x14ac:dyDescent="0.3"/>
  </sheetData>
  <sheetProtection algorithmName="SHA-512" hashValue="sjPxIehy8zbiks6021XFebdzHEqaIB3hQsmOMwEL+c/mQ0nHffHn9wRpPsRcui4KIChpVNsLgSygtxA/LrBqhg==" saltValue="RH1yDKrYaiLQXmwONmZ0FQ==" spinCount="100000" sheet="1" formatCells="0" formatColumns="0" formatRows="0"/>
  <mergeCells count="2">
    <mergeCell ref="A1:M1"/>
    <mergeCell ref="A2:M2"/>
  </mergeCells>
  <dataValidations count="1">
    <dataValidation type="list" allowBlank="1" showInputMessage="1" showErrorMessage="1" sqref="B4" xr:uid="{00000000-0002-0000-0600-000000000000}">
      <formula1>"2016,2017,2018,2019,2020,2021,2022,2023,2024,2025,2026,2027,2028,2029,2030,2031,2032,2033,2034,2035,2036,2037,2038,2039,2040,2041,2042,2043,2044,2045,2046,2047,2048,2049,2050"</formula1>
    </dataValidation>
  </dataValidations>
  <pageMargins left="0.54" right="0.26" top="0.36" bottom="0.32" header="0.31496062992125984" footer="0.31496062992125984"/>
  <pageSetup scale="66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tabColor rgb="FF00FF99"/>
  </sheetPr>
  <dimension ref="A1:D21"/>
  <sheetViews>
    <sheetView workbookViewId="0">
      <selection activeCell="D15" sqref="D15"/>
    </sheetView>
  </sheetViews>
  <sheetFormatPr baseColWidth="10" defaultColWidth="11.3984375" defaultRowHeight="13.8" x14ac:dyDescent="0.25"/>
  <cols>
    <col min="1" max="1" width="18.59765625" style="3" customWidth="1"/>
    <col min="2" max="2" width="19.59765625" style="4" customWidth="1"/>
    <col min="3" max="3" width="14.5" style="5" customWidth="1"/>
    <col min="4" max="4" width="17.59765625" style="4" customWidth="1"/>
    <col min="5" max="16384" width="11.3984375" style="3"/>
  </cols>
  <sheetData>
    <row r="1" spans="1:4" s="24" customFormat="1" ht="27.6" x14ac:dyDescent="0.65">
      <c r="A1" s="120" t="s">
        <v>55</v>
      </c>
      <c r="B1" s="120"/>
      <c r="C1" s="120"/>
      <c r="D1" s="120"/>
    </row>
    <row r="2" spans="1:4" s="23" customFormat="1" ht="15" x14ac:dyDescent="0.25">
      <c r="A2" s="121" t="s">
        <v>17</v>
      </c>
      <c r="B2" s="121"/>
      <c r="C2" s="121"/>
      <c r="D2" s="121"/>
    </row>
    <row r="3" spans="1:4" s="23" customFormat="1" ht="6.75" customHeight="1" thickBot="1" x14ac:dyDescent="0.3">
      <c r="B3" s="25"/>
      <c r="C3" s="26"/>
      <c r="D3" s="25"/>
    </row>
    <row r="4" spans="1:4" customFormat="1" ht="18" thickBot="1" x14ac:dyDescent="0.35">
      <c r="A4" s="10" t="s">
        <v>56</v>
      </c>
      <c r="B4" s="10" t="s">
        <v>14</v>
      </c>
      <c r="C4" s="11" t="s">
        <v>12</v>
      </c>
      <c r="D4" s="12" t="s">
        <v>13</v>
      </c>
    </row>
    <row r="5" spans="1:4" customFormat="1" x14ac:dyDescent="0.25">
      <c r="A5" s="118" t="s">
        <v>58</v>
      </c>
      <c r="B5" s="119"/>
      <c r="C5" s="96">
        <v>0</v>
      </c>
      <c r="D5" s="89">
        <f>C5</f>
        <v>0</v>
      </c>
    </row>
    <row r="6" spans="1:4" customFormat="1" x14ac:dyDescent="0.25">
      <c r="A6" s="13" t="s">
        <v>15</v>
      </c>
      <c r="B6" s="14">
        <v>100</v>
      </c>
      <c r="C6" s="27">
        <v>0</v>
      </c>
      <c r="D6" s="90">
        <f>+B6*C6</f>
        <v>0</v>
      </c>
    </row>
    <row r="7" spans="1:4" customFormat="1" x14ac:dyDescent="0.25">
      <c r="A7" s="15" t="s">
        <v>15</v>
      </c>
      <c r="B7" s="16">
        <v>20</v>
      </c>
      <c r="C7" s="28">
        <v>0</v>
      </c>
      <c r="D7" s="89">
        <f t="shared" ref="D7:D15" si="0">+B7*C7</f>
        <v>0</v>
      </c>
    </row>
    <row r="8" spans="1:4" customFormat="1" x14ac:dyDescent="0.25">
      <c r="A8" s="15" t="s">
        <v>15</v>
      </c>
      <c r="B8" s="16">
        <v>10</v>
      </c>
      <c r="C8" s="28">
        <v>0</v>
      </c>
      <c r="D8" s="89">
        <f t="shared" si="0"/>
        <v>0</v>
      </c>
    </row>
    <row r="9" spans="1:4" customFormat="1" x14ac:dyDescent="0.25">
      <c r="A9" s="15" t="s">
        <v>15</v>
      </c>
      <c r="B9" s="16">
        <v>5</v>
      </c>
      <c r="C9" s="28">
        <v>0</v>
      </c>
      <c r="D9" s="89">
        <f t="shared" si="0"/>
        <v>0</v>
      </c>
    </row>
    <row r="10" spans="1:4" customFormat="1" x14ac:dyDescent="0.25">
      <c r="A10" s="15" t="s">
        <v>15</v>
      </c>
      <c r="B10" s="16">
        <v>1</v>
      </c>
      <c r="C10" s="28">
        <v>0</v>
      </c>
      <c r="D10" s="89">
        <f t="shared" si="0"/>
        <v>0</v>
      </c>
    </row>
    <row r="11" spans="1:4" customFormat="1" x14ac:dyDescent="0.25">
      <c r="A11" s="15" t="s">
        <v>16</v>
      </c>
      <c r="B11" s="16">
        <v>1</v>
      </c>
      <c r="C11" s="28">
        <v>0</v>
      </c>
      <c r="D11" s="89">
        <f t="shared" si="0"/>
        <v>0</v>
      </c>
    </row>
    <row r="12" spans="1:4" customFormat="1" x14ac:dyDescent="0.25">
      <c r="A12" s="15" t="s">
        <v>16</v>
      </c>
      <c r="B12" s="16">
        <v>0.25</v>
      </c>
      <c r="C12" s="28">
        <v>0</v>
      </c>
      <c r="D12" s="89">
        <f t="shared" si="0"/>
        <v>0</v>
      </c>
    </row>
    <row r="13" spans="1:4" customFormat="1" x14ac:dyDescent="0.25">
      <c r="A13" s="15" t="s">
        <v>16</v>
      </c>
      <c r="B13" s="16">
        <v>0.1</v>
      </c>
      <c r="C13" s="28">
        <v>0</v>
      </c>
      <c r="D13" s="89">
        <f t="shared" si="0"/>
        <v>0</v>
      </c>
    </row>
    <row r="14" spans="1:4" customFormat="1" x14ac:dyDescent="0.25">
      <c r="A14" s="15" t="s">
        <v>16</v>
      </c>
      <c r="B14" s="16">
        <v>0.05</v>
      </c>
      <c r="C14" s="28">
        <v>0</v>
      </c>
      <c r="D14" s="89">
        <f>+B14*C14</f>
        <v>0</v>
      </c>
    </row>
    <row r="15" spans="1:4" customFormat="1" x14ac:dyDescent="0.25">
      <c r="A15" s="15" t="s">
        <v>16</v>
      </c>
      <c r="B15" s="16">
        <v>0.01</v>
      </c>
      <c r="C15" s="28">
        <v>0</v>
      </c>
      <c r="D15" s="89">
        <f t="shared" si="0"/>
        <v>0</v>
      </c>
    </row>
    <row r="16" spans="1:4" customFormat="1" ht="18" thickBot="1" x14ac:dyDescent="0.5">
      <c r="A16" s="116" t="s">
        <v>18</v>
      </c>
      <c r="B16" s="116"/>
      <c r="C16" s="116"/>
      <c r="D16" s="91">
        <f>SUM(D5:D15)</f>
        <v>0</v>
      </c>
    </row>
    <row r="17" spans="1:4" customFormat="1" ht="6" customHeight="1" thickTop="1" x14ac:dyDescent="0.25">
      <c r="B17" s="17"/>
      <c r="C17" s="1"/>
      <c r="D17" s="92"/>
    </row>
    <row r="18" spans="1:4" customFormat="1" ht="18" thickBot="1" x14ac:dyDescent="0.5">
      <c r="A18" s="116" t="s">
        <v>19</v>
      </c>
      <c r="B18" s="116"/>
      <c r="C18" s="116"/>
      <c r="D18" s="93">
        <f>SUM(Base!E:E)-SUM(Base!F:F)</f>
        <v>0</v>
      </c>
    </row>
    <row r="19" spans="1:4" customFormat="1" ht="5.25" customHeight="1" thickTop="1" x14ac:dyDescent="0.45">
      <c r="A19" s="18"/>
      <c r="B19" s="18"/>
      <c r="C19" s="18"/>
      <c r="D19" s="94"/>
    </row>
    <row r="20" spans="1:4" customFormat="1" ht="18" thickBot="1" x14ac:dyDescent="0.5">
      <c r="B20" s="117" t="str">
        <f>IF(D20&lt;0,"FALTANTE DE CAJA",IF(D20&gt;0,"SOBRANTE EN CAJA","EFECTIVO CUADRADO"))</f>
        <v>EFECTIVO CUADRADO</v>
      </c>
      <c r="C20" s="117"/>
      <c r="D20" s="95">
        <f>+D16-D18</f>
        <v>0</v>
      </c>
    </row>
    <row r="21" spans="1:4" ht="14.4" thickTop="1" x14ac:dyDescent="0.25"/>
  </sheetData>
  <sheetProtection formatCells="0"/>
  <mergeCells count="6">
    <mergeCell ref="A18:C18"/>
    <mergeCell ref="B20:C20"/>
    <mergeCell ref="A5:B5"/>
    <mergeCell ref="A1:D1"/>
    <mergeCell ref="A2:D2"/>
    <mergeCell ref="A16:C1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Ctas Ingresos</vt:lpstr>
      <vt:lpstr>Ctas Gastos</vt:lpstr>
      <vt:lpstr>Base</vt:lpstr>
      <vt:lpstr>ReporteIngresos</vt:lpstr>
      <vt:lpstr>ReporteGastos</vt:lpstr>
      <vt:lpstr>Detalle-Gastos</vt:lpstr>
      <vt:lpstr>ANALISIS</vt:lpstr>
      <vt:lpstr>ARQUEO</vt:lpstr>
      <vt:lpstr>ANALISIS!Área_de_impresión</vt:lpstr>
      <vt:lpstr>ARQUEO!Área_de_impresión</vt:lpstr>
      <vt:lpstr>Base!Área_de_impresión</vt:lpstr>
      <vt:lpstr>'Detalle-Gastos'!Área_de_impresión</vt:lpstr>
      <vt:lpstr>Gastos</vt:lpstr>
      <vt:lpstr>Ingresos</vt:lpstr>
      <vt:lpstr>Base!Títulos_a_imprimir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Luis Torres</cp:lastModifiedBy>
  <cp:lastPrinted>2018-07-17T04:09:44Z</cp:lastPrinted>
  <dcterms:created xsi:type="dcterms:W3CDTF">2015-02-02T00:58:11Z</dcterms:created>
  <dcterms:modified xsi:type="dcterms:W3CDTF">2022-10-25T13:49:42Z</dcterms:modified>
</cp:coreProperties>
</file>