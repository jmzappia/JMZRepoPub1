
<file path=[Content_Types].xml><?xml version="1.0" encoding="utf-8"?>
<Types xmlns="http://schemas.openxmlformats.org/package/2006/content-types">
  <Default Extension="xml" ContentType="application/vnd.openxmlformats-package.core-properties+xml"/>
  <Default Extension="rels" ContentType="application/vnd.openxmlformats-package.relationships+xml"/>
  <Default Extension="bin" ContentType="application/vnd.openxmlformats-officedocument.spreadsheetml.printerSettings"/>
  <Override PartName="/docMetadata/LabelInfo.xml" ContentType="application/vnd.ms-office.classificationlabels+xml"/>
  <Override PartName="/xl/workbook.xml" ContentType="application/vnd.openxmlformats-officedocument.spreadsheetml.template.main+xml"/>
  <Override PartName="/customXml/item3.xml" ContentType="application/xml"/>
  <Override PartName="/customXml/itemProps31.xml" ContentType="application/vnd.openxmlformats-officedocument.customXmlProperties+xml"/>
  <Override PartName="/xl/styles.xml" ContentType="application/vnd.openxmlformats-officedocument.spreadsheetml.styles+xml"/>
  <Override PartName="/customXml/item22.xml" ContentType="application/xml"/>
  <Override PartName="/customXml/itemProps22.xml" ContentType="application/vnd.openxmlformats-officedocument.customXmlProperti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tables/table22.xml" ContentType="application/vnd.openxmlformats-officedocument.spreadsheetml.table+xml"/>
  <Override PartName="/customXml/item13.xml" ContentType="application/xml"/>
  <Override PartName="/customXml/itemProps13.xml" ContentType="application/vnd.openxmlformats-officedocument.customXml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ustom.xml" ContentType="application/vnd.openxmlformats-officedocument.custom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package/2006/relationships/metadata/core-properties" Target="/docProps/core.xml" Id="rId3" /><Relationship Type="http://schemas.microsoft.com/office/2020/02/relationships/classificationlabels" Target="/docMetadata/LabelInfo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5" /><Relationship Type="http://schemas.openxmlformats.org/officeDocument/2006/relationships/extended-properties" Target="/docProps/app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12"/>
  <workbookPr filterPrivacy="1"/>
  <xr:revisionPtr revIDLastSave="48" documentId="13_ncr:1_{6900CBA4-6F51-4B52-8E2F-8922AEEF2E30}" xr6:coauthVersionLast="47" xr6:coauthVersionMax="47" xr10:uidLastSave="{7E4979B0-DEE5-4D18-A6BC-10A498729211}"/>
  <bookViews>
    <workbookView xWindow="-120" yWindow="-120" windowWidth="29040" windowHeight="17640" xr2:uid="{00000000-000D-0000-FFFF-FFFF00000000}"/>
  </bookViews>
  <sheets>
    <sheet name="Planificador de presupuesto" sheetId="1" r:id="rId1"/>
  </sheets>
  <definedNames>
    <definedName name="_xlnm.Print_Area" localSheetId="0">'Planificador de presupuesto'!$B$3:$J$47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1" l="1"/>
  <c r="F16" i="1" l="1"/>
  <c r="F17" i="1"/>
  <c r="F18" i="1"/>
  <c r="F19" i="1"/>
  <c r="F20" i="1"/>
  <c r="D11" i="1" l="1"/>
  <c r="E11" i="1" l="1"/>
  <c r="D10" i="1"/>
  <c r="D9" i="1"/>
  <c r="D5" i="1" l="1"/>
  <c r="D6" i="1"/>
  <c r="D7" i="1"/>
  <c r="D8" i="1"/>
  <c r="F21" i="1"/>
  <c r="D12" i="1" l="1"/>
  <c r="E7" i="1"/>
  <c r="E10" i="1"/>
  <c r="E9" i="1"/>
  <c r="E5" i="1"/>
  <c r="E8" i="1"/>
  <c r="E6" i="1" l="1"/>
  <c r="E12" i="1" s="1"/>
</calcChain>
</file>

<file path=xl/sharedStrings.xml><?xml version="1.0" encoding="utf-8"?>
<sst xmlns="http://schemas.openxmlformats.org/spreadsheetml/2006/main" count="31" uniqueCount="26">
  <si>
    <t>Planificador de presupuesto de vacaciones</t>
  </si>
  <si>
    <t>PRESUPUESTO POR CATEGORÍA</t>
  </si>
  <si>
    <t>Categorías</t>
  </si>
  <si>
    <t>Transporte</t>
  </si>
  <si>
    <t>Alojamiento</t>
  </si>
  <si>
    <t>Comida</t>
  </si>
  <si>
    <t>Actividades</t>
  </si>
  <si>
    <t>Souvenirs</t>
  </si>
  <si>
    <t>Otros</t>
  </si>
  <si>
    <t>Fondo para imprevistos</t>
  </si>
  <si>
    <t>Presupuesto total</t>
  </si>
  <si>
    <t>DETALLES DEL GASTO</t>
  </si>
  <si>
    <t>Descripción</t>
  </si>
  <si>
    <t>Tarifa aérea</t>
  </si>
  <si>
    <t>Autobús y taxi (2 días)</t>
  </si>
  <si>
    <t>Hotel (2 noches)</t>
  </si>
  <si>
    <t>Comida (2 días)</t>
  </si>
  <si>
    <t>Día 1, entradas del concierto</t>
  </si>
  <si>
    <t>Especifique otros gastos</t>
  </si>
  <si>
    <t>Presupuesto planeado</t>
  </si>
  <si>
    <t>Categoría</t>
  </si>
  <si>
    <t>Presupuesto detallado</t>
  </si>
  <si>
    <t>Cantidad</t>
  </si>
  <si>
    <t>Disponible / (superado)</t>
  </si>
  <si>
    <t>Coste unitario</t>
  </si>
  <si>
    <t>Importe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</si>
</sst>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#,##0\ &quot;€&quot;;[Red]\-#,##0\ &quot;€&quot;"/>
    <numFmt numFmtId="42" formatCode="_-* #,##0\ &quot;€&quot;_-;\-* #,##0\ &quot;€&quot;_-;_-* &quot;-&quot;\ &quot;€&quot;_-;_-@_-"/>
    <numFmt numFmtId="44" formatCode="_-* #,##0.00\ &quot;€&quot;_-;\-* #,##0.00\ &quot;€&quot;_-;_-* &quot;-&quot;??\ &quot;€&quot;_-;_-@_-"/>
    <numFmt numFmtId="164" formatCode="_(* #,##0_);_(* \(#,##0\);_(* &quot;-&quot;_);_(@_)"/>
    <numFmt numFmtId="165" formatCode="_(* #,##0.00_);_(* \(#,##0.00\);_(* &quot;-&quot;??_);_(@_)"/>
    <numFmt numFmtId="166" formatCode="#,##0\ &quot;€&quot;"/>
  </numFmts>
  <fonts count="32">
    <font>
      <sz val="11"/>
      <color theme="1"/>
      <name val="Arial Nova"/>
      <family val="2"/>
      <scheme val="minor"/>
    </font>
    <font>
      <sz val="12"/>
      <color theme="1"/>
      <name val="Arial Nova"/>
      <family val="2"/>
      <scheme val="minor"/>
    </font>
    <font>
      <sz val="16"/>
      <color theme="1"/>
      <name val="Daytona Condensed"/>
      <family val="2"/>
      <scheme val="major"/>
    </font>
    <font>
      <sz val="18"/>
      <color theme="1"/>
      <name val="Daytona Condensed"/>
      <family val="2"/>
      <scheme val="major"/>
    </font>
    <font>
      <b/>
      <sz val="12"/>
      <color theme="1"/>
      <name val="Arial Nova"/>
      <family val="2"/>
      <scheme val="minor"/>
    </font>
    <font>
      <sz val="18"/>
      <color theme="0"/>
      <name val="Daytona Condensed"/>
      <family val="2"/>
      <scheme val="major"/>
    </font>
    <font>
      <sz val="20"/>
      <color theme="4" tint="-0.499984740745262"/>
      <name val="Daytona Condensed"/>
      <family val="2"/>
      <scheme val="major"/>
    </font>
    <font>
      <sz val="14"/>
      <color theme="1" tint="0.3499862666707358"/>
      <name val="Arial Nova"/>
      <family val="2"/>
    </font>
    <font>
      <sz val="16"/>
      <color theme="1" tint="0.3499862666707358"/>
      <name val="Daytona Condensed"/>
      <family val="2"/>
      <scheme val="major"/>
    </font>
    <font>
      <sz val="54"/>
      <color theme="5" tint="-0.749992370372631"/>
      <name val="Daytona Condensed"/>
      <family val="2"/>
    </font>
    <font>
      <sz val="22"/>
      <color theme="5" tint="-0.749992370372631"/>
      <name val="Daytona Condensed"/>
      <family val="2"/>
      <scheme val="major"/>
    </font>
    <font>
      <sz val="18"/>
      <color theme="5" tint="-0.749992370372631"/>
      <name val="Daytona Condensed"/>
      <family val="2"/>
      <scheme val="major"/>
    </font>
    <font>
      <sz val="20"/>
      <color theme="5" tint="-0.749992370372631"/>
      <name val="Daytona Condensed"/>
      <family val="2"/>
    </font>
    <font>
      <b/>
      <sz val="14"/>
      <color theme="9" tint="-0.499984740745262"/>
      <name val="Arial Nova"/>
      <family val="2"/>
    </font>
    <font>
      <sz val="11"/>
      <color theme="1"/>
      <name val="Arial Nova"/>
      <family val="2"/>
      <scheme val="minor"/>
    </font>
    <font>
      <sz val="18"/>
      <color theme="3"/>
      <name val="Daytona Condensed"/>
      <family val="2"/>
      <scheme val="major"/>
    </font>
    <font>
      <b/>
      <sz val="15"/>
      <color theme="3"/>
      <name val="Arial Nova"/>
      <family val="2"/>
      <scheme val="minor"/>
    </font>
    <font>
      <b/>
      <sz val="13"/>
      <color theme="3"/>
      <name val="Arial Nova"/>
      <family val="2"/>
      <scheme val="minor"/>
    </font>
    <font>
      <b/>
      <sz val="11"/>
      <color theme="3"/>
      <name val="Arial Nova"/>
      <family val="2"/>
      <scheme val="minor"/>
    </font>
    <font>
      <sz val="11"/>
      <color rgb="FF006100"/>
      <name val="Arial Nova"/>
      <family val="2"/>
      <scheme val="minor"/>
    </font>
    <font>
      <sz val="11"/>
      <color rgb="FF9C0006"/>
      <name val="Arial Nova"/>
      <family val="2"/>
      <scheme val="minor"/>
    </font>
    <font>
      <sz val="11"/>
      <color rgb="FF9C5700"/>
      <name val="Arial Nova"/>
      <family val="2"/>
      <scheme val="minor"/>
    </font>
    <font>
      <sz val="11"/>
      <color rgb="FF3F3F76"/>
      <name val="Arial Nova"/>
      <family val="2"/>
      <scheme val="minor"/>
    </font>
    <font>
      <b/>
      <sz val="11"/>
      <color rgb="FF3F3F3F"/>
      <name val="Arial Nova"/>
      <family val="2"/>
      <scheme val="minor"/>
    </font>
    <font>
      <b/>
      <sz val="11"/>
      <color rgb="FFFA7D00"/>
      <name val="Arial Nova"/>
      <family val="2"/>
      <scheme val="minor"/>
    </font>
    <font>
      <sz val="11"/>
      <color rgb="FFFA7D00"/>
      <name val="Arial Nova"/>
      <family val="2"/>
      <scheme val="minor"/>
    </font>
    <font>
      <b/>
      <sz val="11"/>
      <color theme="0"/>
      <name val="Arial Nova"/>
      <family val="2"/>
      <scheme val="minor"/>
    </font>
    <font>
      <sz val="11"/>
      <color rgb="FFFF0000"/>
      <name val="Arial Nova"/>
      <family val="2"/>
      <scheme val="minor"/>
    </font>
    <font>
      <i/>
      <sz val="11"/>
      <color rgb="FF7F7F7F"/>
      <name val="Arial Nova"/>
      <family val="2"/>
      <scheme val="minor"/>
    </font>
    <font>
      <b/>
      <sz val="11"/>
      <color theme="1"/>
      <name val="Arial Nova"/>
      <family val="2"/>
      <scheme val="minor"/>
    </font>
    <font>
      <sz val="11"/>
      <color theme="0"/>
      <name val="Arial Nova"/>
      <family val="2"/>
      <scheme val="minor"/>
    </font>
    <font>
      <u/>
      <sz val="18"/>
      <color theme="1"/>
      <name val="Daytona Condensed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165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1" applyNumberFormat="0" applyFill="0" applyAlignment="0" applyProtection="0"/>
    <xf numFmtId="0" fontId="17" fillId="0" borderId="2" applyNumberFormat="0" applyFill="0" applyAlignment="0" applyProtection="0"/>
    <xf numFmtId="0" fontId="18" fillId="0" borderId="3" applyNumberFormat="0" applyFill="0" applyAlignment="0" applyProtection="0"/>
    <xf numFmtId="0" fontId="18" fillId="0" borderId="0" applyNumberFormat="0" applyFill="0" applyBorder="0" applyAlignment="0" applyProtection="0"/>
    <xf numFmtId="0" fontId="19" fillId="4" borderId="0" applyNumberFormat="0" applyBorder="0" applyAlignment="0" applyProtection="0"/>
    <xf numFmtId="0" fontId="20" fillId="5" borderId="0" applyNumberFormat="0" applyBorder="0" applyAlignment="0" applyProtection="0"/>
    <xf numFmtId="0" fontId="21" fillId="6" borderId="0" applyNumberFormat="0" applyBorder="0" applyAlignment="0" applyProtection="0"/>
    <xf numFmtId="0" fontId="22" fillId="7" borderId="4" applyNumberFormat="0" applyAlignment="0" applyProtection="0"/>
    <xf numFmtId="0" fontId="23" fillId="8" borderId="5" applyNumberFormat="0" applyAlignment="0" applyProtection="0"/>
    <xf numFmtId="0" fontId="24" fillId="8" borderId="4" applyNumberFormat="0" applyAlignment="0" applyProtection="0"/>
    <xf numFmtId="0" fontId="25" fillId="0" borderId="6" applyNumberFormat="0" applyFill="0" applyAlignment="0" applyProtection="0"/>
    <xf numFmtId="0" fontId="26" fillId="9" borderId="7" applyNumberFormat="0" applyAlignment="0" applyProtection="0"/>
    <xf numFmtId="0" fontId="27" fillId="0" borderId="0" applyNumberFormat="0" applyFill="0" applyBorder="0" applyAlignment="0" applyProtection="0"/>
    <xf numFmtId="0" fontId="14" fillId="10" borderId="8" applyNumberFormat="0" applyFont="0" applyAlignment="0" applyProtection="0"/>
    <xf numFmtId="0" fontId="28" fillId="0" borderId="0" applyNumberFormat="0" applyFill="0" applyBorder="0" applyAlignment="0" applyProtection="0"/>
    <xf numFmtId="0" fontId="29" fillId="0" borderId="9" applyNumberFormat="0" applyFill="0" applyAlignment="0" applyProtection="0"/>
    <xf numFmtId="0" fontId="30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30" fillId="15" borderId="0" applyNumberFormat="0" applyBorder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30" fillId="19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30" fillId="23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30" fillId="27" borderId="0" applyNumberFormat="0" applyBorder="0" applyAlignment="0" applyProtection="0"/>
    <xf numFmtId="0" fontId="14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30" fillId="31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</cellStyleXfs>
  <cellXfs count="24">
    <xf numFmtId="0" fontId="0" fillId="0" borderId="0" xfId="0"/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 indent="1"/>
    </xf>
    <xf numFmtId="0" fontId="5" fillId="0" borderId="0" xfId="0" applyFont="1" applyAlignment="1">
      <alignment vertical="center"/>
    </xf>
    <xf numFmtId="0" fontId="7" fillId="0" borderId="0" xfId="0" applyFont="1" applyAlignment="1">
      <alignment horizontal="left" vertical="center" indent="1"/>
    </xf>
    <xf numFmtId="0" fontId="6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8" fillId="3" borderId="0" xfId="0" applyFont="1" applyFill="1" applyAlignment="1">
      <alignment vertical="center"/>
    </xf>
    <xf numFmtId="0" fontId="9" fillId="3" borderId="0" xfId="0" applyFont="1" applyFill="1" applyAlignment="1">
      <alignment horizontal="left" vertical="center" indent="1"/>
    </xf>
    <xf numFmtId="0" fontId="10" fillId="3" borderId="0" xfId="0" applyFont="1" applyFill="1" applyAlignment="1">
      <alignment vertical="center"/>
    </xf>
    <xf numFmtId="0" fontId="11" fillId="3" borderId="0" xfId="0" applyFont="1" applyFill="1" applyAlignment="1">
      <alignment vertical="center"/>
    </xf>
    <xf numFmtId="0" fontId="12" fillId="3" borderId="0" xfId="0" applyFont="1" applyFill="1" applyAlignment="1">
      <alignment horizontal="left" vertical="center" indent="1"/>
    </xf>
    <xf numFmtId="0" fontId="13" fillId="0" borderId="0" xfId="0" applyFont="1" applyAlignment="1">
      <alignment horizontal="left" vertical="center" indent="1"/>
    </xf>
    <xf numFmtId="166" fontId="13" fillId="0" borderId="0" xfId="0" applyNumberFormat="1" applyFont="1" applyAlignment="1">
      <alignment horizontal="left" vertical="center" indent="1"/>
    </xf>
    <xf numFmtId="166" fontId="13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166" fontId="7" fillId="0" borderId="0" xfId="0" applyNumberFormat="1" applyFont="1" applyAlignment="1">
      <alignment horizontal="center" vertical="center"/>
    </xf>
    <xf numFmtId="6" fontId="7" fillId="0" borderId="0" xfId="0" applyNumberFormat="1" applyFont="1" applyAlignment="1">
      <alignment horizontal="center" vertical="center"/>
    </xf>
    <xf numFmtId="0" fontId="31" fillId="0" borderId="0" xfId="0" applyFont="1" applyAlignment="1">
      <alignment vertical="center"/>
    </xf>
    <xf numFmtId="6" fontId="4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</cellXfs>
  <cellStyles count="47">
    <cellStyle name="20% - Énfasis1" xfId="24" builtinId="30" customBuiltin="1"/>
    <cellStyle name="20% - Énfasis2" xfId="28" builtinId="34" customBuiltin="1"/>
    <cellStyle name="20% - Énfasis3" xfId="32" builtinId="38" customBuiltin="1"/>
    <cellStyle name="20% - Énfasis4" xfId="36" builtinId="42" customBuiltin="1"/>
    <cellStyle name="20% - Énfasis5" xfId="40" builtinId="46" customBuiltin="1"/>
    <cellStyle name="20% - Énfasis6" xfId="44" builtinId="50" customBuiltin="1"/>
    <cellStyle name="40% - Énfasis1" xfId="25" builtinId="31" customBuiltin="1"/>
    <cellStyle name="40% - Énfasis2" xfId="29" builtinId="35" customBuiltin="1"/>
    <cellStyle name="40% - Énfasis3" xfId="33" builtinId="39" customBuiltin="1"/>
    <cellStyle name="40% - Énfasis4" xfId="37" builtinId="43" customBuiltin="1"/>
    <cellStyle name="40% - Énfasis5" xfId="41" builtinId="47" customBuiltin="1"/>
    <cellStyle name="40% - Énfasis6" xfId="45" builtinId="51" customBuiltin="1"/>
    <cellStyle name="60% - Énfasis1" xfId="26" builtinId="32" customBuiltin="1"/>
    <cellStyle name="60% - Énfasis2" xfId="30" builtinId="36" customBuiltin="1"/>
    <cellStyle name="60% - Énfasis3" xfId="34" builtinId="40" customBuiltin="1"/>
    <cellStyle name="60% - Énfasis4" xfId="38" builtinId="44" customBuiltin="1"/>
    <cellStyle name="60% - Énfasis5" xfId="42" builtinId="48" customBuiltin="1"/>
    <cellStyle name="60% - Énfasis6" xfId="46" builtinId="52" customBuiltin="1"/>
    <cellStyle name="Bueno" xfId="11" builtinId="26" customBuiltin="1"/>
    <cellStyle name="Cálculo" xfId="16" builtinId="22" customBuiltin="1"/>
    <cellStyle name="Celda de comprobación" xfId="18" builtinId="23" customBuiltin="1"/>
    <cellStyle name="Celda vinculada" xfId="17" builtinId="24" customBuiltin="1"/>
    <cellStyle name="Encabezado 1" xfId="7" builtinId="16" customBuiltin="1"/>
    <cellStyle name="Encabezado 4" xfId="10" builtinId="19" customBuiltin="1"/>
    <cellStyle name="Énfasis1" xfId="23" builtinId="29" customBuiltin="1"/>
    <cellStyle name="Énfasis2" xfId="27" builtinId="33" customBuiltin="1"/>
    <cellStyle name="Énfasis3" xfId="31" builtinId="37" customBuiltin="1"/>
    <cellStyle name="Énfasis4" xfId="35" builtinId="41" customBuiltin="1"/>
    <cellStyle name="Énfasis5" xfId="39" builtinId="45" customBuiltin="1"/>
    <cellStyle name="Énfasis6" xfId="43" builtinId="49" customBuiltin="1"/>
    <cellStyle name="Entrada" xfId="14" builtinId="20" customBuiltin="1"/>
    <cellStyle name="Incorrecto" xfId="12" builtinId="27" customBuiltin="1"/>
    <cellStyle name="Millares" xfId="1" builtinId="3" customBuiltin="1"/>
    <cellStyle name="Millares [0]" xfId="2" builtinId="6" customBuiltin="1"/>
    <cellStyle name="Moneda" xfId="3" builtinId="4" customBuiltin="1"/>
    <cellStyle name="Moneda [0]" xfId="4" builtinId="7" customBuiltin="1"/>
    <cellStyle name="Neutral" xfId="13" builtinId="28" customBuiltin="1"/>
    <cellStyle name="Normal" xfId="0" builtinId="0" customBuiltin="1"/>
    <cellStyle name="Notas" xfId="20" builtinId="10" customBuiltin="1"/>
    <cellStyle name="Porcentaje" xfId="5" builtinId="5" customBuiltin="1"/>
    <cellStyle name="Salida" xfId="15" builtinId="21" customBuiltin="1"/>
    <cellStyle name="Texto de advertencia" xfId="19" builtinId="11" customBuiltin="1"/>
    <cellStyle name="Texto explicativo" xfId="21" builtinId="53" customBuiltin="1"/>
    <cellStyle name="Título" xfId="6" builtinId="15" customBuiltin="1"/>
    <cellStyle name="Título 2" xfId="8" builtinId="17" customBuiltin="1"/>
    <cellStyle name="Título 3" xfId="9" builtinId="18" customBuiltin="1"/>
    <cellStyle name="Total" xfId="22" builtinId="25" customBuiltin="1"/>
  </cellStyles>
  <dxfs count="39">
    <dxf>
      <font>
        <strike val="0"/>
        <outline val="0"/>
        <shadow val="0"/>
        <u val="none"/>
        <vertAlign val="baseline"/>
        <sz val="14"/>
        <color theme="1" tint="0.3499862666707358"/>
        <name val="Arial Nova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8"/>
        <name val="Arial Nova"/>
        <family val="2"/>
        <scheme val="none"/>
      </font>
      <numFmt numFmtId="167" formatCode="&quot;$&quot;#,##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" tint="0.3499862666707358"/>
        <name val="Arial Nova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8"/>
        <name val="Arial Nova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" tint="0.3499862666707358"/>
        <name val="Arial Nova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8"/>
        <name val="Arial Nova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" tint="0.3499862666707358"/>
        <name val="Arial Nova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8"/>
        <name val="Arial Nova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" tint="0.3499862666707358"/>
        <name val="Arial Nov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8"/>
        <name val="Arial Nov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1" tint="0.3499862666707358"/>
        <name val="Arial Nova"/>
        <scheme val="none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4"/>
        <color theme="9" tint="-0.499984740745262"/>
        <name val="Arial Nov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 tint="0.3499862666707358"/>
        <name val="Arial Nova"/>
        <scheme val="none"/>
      </font>
      <numFmt numFmtId="10" formatCode="#,##0\ &quot;€&quot;;[Red]\-#,##0\ &quot;€&quot;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 tint="0.3499862666707358"/>
        <name val="Arial Nova"/>
        <scheme val="none"/>
      </font>
      <numFmt numFmtId="10" formatCode="#,##0\ &quot;€&quot;;[Red]\-#,##0\ &quot;€&quot;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 tint="0.3499862666707358"/>
        <name val="Arial Nova"/>
        <scheme val="none"/>
      </font>
      <numFmt numFmtId="10" formatCode="#,##0\ &quot;€&quot;;[Red]\-#,##0\ &quot;€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8"/>
        <name val="Arial Nova"/>
        <family val="2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1" tint="0.3499862666707358"/>
        <name val="Arial Nova"/>
        <scheme val="none"/>
      </font>
      <alignment horizontal="left" vertical="center" textRotation="0" wrapText="0" indent="1" justifyLastLine="0" shrinkToFit="0" readingOrder="0"/>
    </dxf>
    <dxf>
      <border>
        <top style="thin">
          <color auto="1"/>
        </top>
      </border>
    </dxf>
    <dxf>
      <font>
        <strike val="0"/>
        <outline val="0"/>
        <shadow val="0"/>
        <u val="none"/>
        <vertAlign val="baseline"/>
        <sz val="14"/>
        <color theme="1" tint="0.3499862666707358"/>
        <name val="Arial Nova"/>
        <scheme val="none"/>
      </font>
    </dxf>
    <dxf>
      <font>
        <strike val="0"/>
        <outline val="0"/>
        <shadow val="0"/>
        <u val="none"/>
        <vertAlign val="baseline"/>
        <sz val="14"/>
        <color theme="1" tint="0.3499862666707358"/>
        <name val="Arial Nova"/>
        <scheme val="none"/>
      </font>
    </dxf>
    <dxf>
      <font>
        <b/>
        <strike val="0"/>
        <outline val="0"/>
        <shadow val="0"/>
        <u val="none"/>
        <vertAlign val="baseline"/>
        <sz val="14"/>
        <color theme="9" tint="-0.499984740745262"/>
        <name val="Arial Nova"/>
        <family val="2"/>
        <scheme val="none"/>
      </font>
      <alignment horizontal="left" vertical="center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theme="3"/>
        </patternFill>
      </fill>
    </dxf>
    <dxf>
      <border>
        <bottom style="thin">
          <color auto="1"/>
        </bottom>
      </border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 tint="-0.499984740745262"/>
        </patternFill>
      </fill>
    </dxf>
    <dxf>
      <border>
        <bottom style="thin">
          <color theme="4" tint="-0.499984740745262"/>
        </bottom>
      </border>
    </dxf>
    <dxf>
      <fill>
        <patternFill>
          <bgColor theme="9"/>
        </patternFill>
      </fill>
    </dxf>
    <dxf>
      <fill>
        <patternFill>
          <bgColor theme="3"/>
        </patternFill>
      </fill>
    </dxf>
    <dxf>
      <fill>
        <patternFill>
          <bgColor theme="2"/>
        </patternFill>
      </fill>
    </dxf>
    <dxf>
      <fill>
        <patternFill>
          <bgColor theme="6"/>
        </patternFill>
      </fill>
    </dxf>
  </dxfs>
  <tableStyles count="8" defaultTableStyle="TableStyleMedium2" defaultPivotStyle="PivotStyleLight16">
    <tableStyle name="Estilo de tabla dinámica 1" table="0" count="2" xr9:uid="{93B284FB-60F5-7942-8792-3E29A6152821}">
      <tableStyleElement type="headerRow" dxfId="38"/>
      <tableStyleElement type="firstRowStripe" dxfId="37"/>
    </tableStyle>
    <tableStyle name="Estilo de tabla dinámica 2" table="0" count="2" xr9:uid="{00505122-71B1-FC48-AE80-ACDDCF2B3667}">
      <tableStyleElement type="headerRow" dxfId="36"/>
      <tableStyleElement type="firstRowStripe" dxfId="35"/>
    </tableStyle>
    <tableStyle name="Estilo de tabla 1" pivot="0" count="3" xr9:uid="{1987A21F-B924-46B0-B706-159E55F2A64A}">
      <tableStyleElement type="wholeTable" dxfId="34"/>
      <tableStyleElement type="headerRow" dxfId="33"/>
      <tableStyleElement type="firstRowStripe" dxfId="32"/>
    </tableStyle>
    <tableStyle name="Estilo de tabla 2" pivot="0" count="2" xr9:uid="{916A64B7-1FAF-1E49-A469-8C130D290363}">
      <tableStyleElement type="headerRow" dxfId="31"/>
      <tableStyleElement type="firstRowStripe" dxfId="30"/>
    </tableStyle>
    <tableStyle name="Estilo de tabla 3" pivot="0" count="3" xr9:uid="{C22840AB-54AD-B846-880B-8685FD66FA9C}">
      <tableStyleElement type="headerRow" dxfId="29"/>
      <tableStyleElement type="totalRow" dxfId="28"/>
      <tableStyleElement type="firstRowStripe" dxfId="27"/>
    </tableStyle>
    <tableStyle name="Estilo de tabla 4" pivot="0" count="3" xr9:uid="{8F4DF0B0-51FF-9D4A-8488-4941CE212092}">
      <tableStyleElement type="headerRow" dxfId="26"/>
      <tableStyleElement type="totalRow" dxfId="25"/>
      <tableStyleElement type="firstRowStripe" dxfId="24"/>
    </tableStyle>
    <tableStyle name="Estilo de tabla 5" pivot="0" count="1" xr9:uid="{6BE49B79-057E-4749-90BB-FF49C93CE87F}">
      <tableStyleElement type="wholeTable" dxfId="23"/>
    </tableStyle>
    <tableStyle name="vacaciones" pivot="0" count="2" xr9:uid="{E6C30260-886E-DB47-87DD-D76B43A37DAC}">
      <tableStyleElement type="headerRow" dxfId="22"/>
      <tableStyleElement type="first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/customXml/item3.xml" Id="rId8" /><Relationship Type="http://schemas.openxmlformats.org/officeDocument/2006/relationships/styles" Target="/xl/styles.xml" Id="rId3" /><Relationship Type="http://schemas.openxmlformats.org/officeDocument/2006/relationships/customXml" Target="/customXml/item22.xml" Id="rId7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customXml" Target="/customXml/item13.xml" Id="rId6" /><Relationship Type="http://schemas.openxmlformats.org/officeDocument/2006/relationships/calcChain" Target="/xl/calcChain.xml" Id="rId5" /><Relationship Type="http://schemas.openxmlformats.org/officeDocument/2006/relationships/sharedStrings" Target="/xl/sharedStrings.xml" Id="rId4" /></Relationships>
</file>

<file path=xl/charts/_rels/chart11.xml.rels>&#65279;<?xml version="1.0" encoding="utf-8"?><Relationships xmlns="http://schemas.openxmlformats.org/package/2006/relationships"><Relationship Type="http://schemas.microsoft.com/office/2011/relationships/chartColorStyle" Target="/xl/charts/colors1.xml" Id="rId2" /><Relationship Type="http://schemas.microsoft.com/office/2011/relationships/chartStyle" Target="/xl/charts/style1.xml" Id="rId1" /></Relationships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'Planificador de presupuesto'!$D$4</c:f>
              <c:strCache>
                <c:ptCount val="1"/>
                <c:pt idx="0">
                  <c:v>Presupuesto detallado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'Planificador de presupuesto'!$D$12</c:f>
              <c:numCache>
                <c:formatCode>"€"#,##0_);[Red]\("€"#,##0\)</c:formatCode>
                <c:ptCount val="1"/>
                <c:pt idx="0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F1-4A14-8F62-E33E4B51BE7A}"/>
            </c:ext>
          </c:extLst>
        </c:ser>
        <c:ser>
          <c:idx val="1"/>
          <c:order val="1"/>
          <c:tx>
            <c:strRef>
              <c:f>'Planificador de presupuesto'!$E$4</c:f>
              <c:strCache>
                <c:ptCount val="1"/>
                <c:pt idx="0">
                  <c:v>Disponible / (superado)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'Planificador de presupuesto'!$E$12</c:f>
              <c:numCache>
                <c:formatCode>"€"#,##0_);[Red]\("€"#,##0\)</c:formatCode>
                <c:ptCount val="1"/>
                <c:pt idx="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F1-4A14-8F62-E33E4B51B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0"/>
        <c:axId val="1777306592"/>
        <c:axId val="1751409728"/>
      </c:barChart>
      <c:catAx>
        <c:axId val="17773065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1409728"/>
        <c:crosses val="autoZero"/>
        <c:auto val="1"/>
        <c:lblAlgn val="ctr"/>
        <c:lblOffset val="100"/>
        <c:noMultiLvlLbl val="0"/>
      </c:catAx>
      <c:valAx>
        <c:axId val="1751409728"/>
        <c:scaling>
          <c:orientation val="minMax"/>
        </c:scaling>
        <c:delete val="1"/>
        <c:axPos val="l"/>
        <c:numFmt formatCode="&quot;€&quot;#,##0_);[Red]\(&quot;€&quot;#,##0\)" sourceLinked="1"/>
        <c:majorTickMark val="none"/>
        <c:minorTickMark val="none"/>
        <c:tickLblPos val="nextTo"/>
        <c:crossAx val="177730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7416078436073674"/>
          <c:w val="1"/>
          <c:h val="0.105981058132280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"/>
              <a:ea typeface="Arial Nova"/>
              <a:cs typeface="Arial Nova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1.xml.rels>&#65279;<?xml version="1.0" encoding="utf-8"?><Relationships xmlns="http://schemas.openxmlformats.org/package/2006/relationships"><Relationship Type="http://schemas.openxmlformats.org/officeDocument/2006/relationships/chart" Target="/xl/charts/chart11.xml" Id="rId1" /></Relationship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118461</xdr:colOff>
      <xdr:row>2</xdr:row>
      <xdr:rowOff>0</xdr:rowOff>
    </xdr:from>
    <xdr:to>
      <xdr:col>6</xdr:col>
      <xdr:colOff>1955800</xdr:colOff>
      <xdr:row>12</xdr:row>
      <xdr:rowOff>27214</xdr:rowOff>
    </xdr:to>
    <xdr:graphicFrame macro="">
      <xdr:nvGraphicFramePr>
        <xdr:cNvPr id="4" name="Gráfico 3" descr="&quot;&quot;" title="Gráfico del planificador de presupuesto">
          <a:extLst>
            <a:ext uri="{FF2B5EF4-FFF2-40B4-BE49-F238E27FC236}">
              <a16:creationId xmlns:a16="http://schemas.microsoft.com/office/drawing/2014/main" id="{61592339-543E-430D-A8D7-5DA56D84FA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2" displayName="Tabla2" ref="B15:F21" headerRowDxfId="11" dataDxfId="10">
  <tableColumns count="5">
    <tableColumn id="1" xr3:uid="{00000000-0010-0000-0000-000001000000}" name="Descripción" totalsRowLabel="Total" dataDxfId="8" totalsRowDxfId="9"/>
    <tableColumn id="2" xr3:uid="{00000000-0010-0000-0000-000002000000}" name="Categoría" dataDxfId="6" totalsRowDxfId="7"/>
    <tableColumn id="3" xr3:uid="{00000000-0010-0000-0000-000003000000}" name="Cantidad" dataDxfId="4" totalsRowDxfId="5"/>
    <tableColumn id="4" xr3:uid="{00000000-0010-0000-0000-000004000000}" name="Coste unitario" dataDxfId="2" totalsRowDxfId="3"/>
    <tableColumn id="5" xr3:uid="{00000000-0010-0000-0000-000005000000}" name="Importe" totalsRowFunction="sum" dataDxfId="0" totalsRowDxfId="1">
      <calculatedColumnFormula>IFERROR(Tabla2[[#This Row],[Cantidad]]*Tabla2[[#This Row],[Coste unitario]],"")</calculatedColumnFormula>
    </tableColumn>
  </tableColumns>
  <tableStyleInfo name="Estilo de tabla 4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1" displayName="Tabla1" ref="B4:E12" totalsRowCount="1" headerRowDxfId="20" dataDxfId="19" totalsRowDxfId="18" totalsRowBorderDxfId="17">
  <tableColumns count="4">
    <tableColumn id="1" xr3:uid="{00000000-0010-0000-0100-000001000000}" name="Categorías" totalsRowLabel="Presupuesto total" dataDxfId="16" totalsRowDxfId="15"/>
    <tableColumn id="2" xr3:uid="{00000000-0010-0000-0100-000002000000}" name="Presupuesto planeado" totalsRowFunction="sum" dataDxfId="14"/>
    <tableColumn id="3" xr3:uid="{00000000-0010-0000-0100-000003000000}" name="Presupuesto detallado" totalsRowFunction="sum" dataDxfId="13"/>
    <tableColumn id="4" xr3:uid="{00000000-0010-0000-0100-000004000000}" name="Disponible / (superado)" totalsRowFunction="sum" dataDxfId="12">
      <calculatedColumnFormula>IFERROR(Tabla1[[#This Row],[Presupuesto planeado]]-Tabla1[[#This Row],[Presupuesto detallado]],"")</calculatedColumnFormula>
    </tableColumn>
  </tableColumns>
  <tableStyleInfo name="Estilo de tabla 4" showFirstColumn="0" showLastColumn="0" showRowStripes="1" showColumnStripes="0"/>
</table>
</file>

<file path=xl/theme/theme11.xml><?xml version="1.0" encoding="utf-8"?>
<a:theme xmlns:a="http://schemas.openxmlformats.org/drawingml/2006/main" name="Office Theme">
  <a:themeElements>
    <a:clrScheme name="Vacation Light 3">
      <a:dk1>
        <a:srgbClr val="000000"/>
      </a:dk1>
      <a:lt1>
        <a:srgbClr val="FFFFFF"/>
      </a:lt1>
      <a:dk2>
        <a:srgbClr val="C5F9E3"/>
      </a:dk2>
      <a:lt2>
        <a:srgbClr val="E7E6E6"/>
      </a:lt2>
      <a:accent1>
        <a:srgbClr val="DBFBE8"/>
      </a:accent1>
      <a:accent2>
        <a:srgbClr val="C8F2FF"/>
      </a:accent2>
      <a:accent3>
        <a:srgbClr val="FBE4E0"/>
      </a:accent3>
      <a:accent4>
        <a:srgbClr val="F5EDC1"/>
      </a:accent4>
      <a:accent5>
        <a:srgbClr val="FAD9EF"/>
      </a:accent5>
      <a:accent6>
        <a:srgbClr val="F1D5D0"/>
      </a:accent6>
      <a:hlink>
        <a:srgbClr val="0563C1"/>
      </a:hlink>
      <a:folHlink>
        <a:srgbClr val="954F72"/>
      </a:folHlink>
    </a:clrScheme>
    <a:fontScheme name="Custom 51">
      <a:majorFont>
        <a:latin typeface="Daytona Condensed"/>
        <a:ea typeface=""/>
        <a:cs typeface=""/>
      </a:majorFont>
      <a:minorFont>
        <a:latin typeface="Arial Nov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table" Target="/xl/tables/table11.xml" Id="rId3" /><Relationship Type="http://schemas.openxmlformats.org/officeDocument/2006/relationships/drawing" Target="/xl/drawings/drawing11.xml" Id="rId2" /><Relationship Type="http://schemas.openxmlformats.org/officeDocument/2006/relationships/printerSettings" Target="/xl/printerSettings/printerSettings11.bin" Id="rId1" /><Relationship Type="http://schemas.openxmlformats.org/officeDocument/2006/relationships/table" Target="/xl/tables/table22.xml" Id="rId4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G22"/>
  <sheetViews>
    <sheetView showGridLines="0" tabSelected="1" zoomScaleNormal="100" zoomScalePageLayoutView="55" workbookViewId="0"/>
  </sheetViews>
  <sheetFormatPr baseColWidth="10" defaultColWidth="8.875" defaultRowHeight="22.15" customHeight="1"/>
  <cols>
    <col min="1" max="1" width="1.875" style="4" customWidth="1"/>
    <col min="2" max="2" width="33" style="4" customWidth="1"/>
    <col min="3" max="5" width="27.25" style="18" customWidth="1"/>
    <col min="6" max="6" width="25.875" style="18" customWidth="1"/>
    <col min="7" max="7" width="25.875" style="4" customWidth="1"/>
    <col min="8" max="8" width="1.75" style="4" customWidth="1"/>
    <col min="9" max="16384" width="8.875" style="4"/>
  </cols>
  <sheetData>
    <row r="1" spans="1:7" s="1" customFormat="1" ht="108.75" customHeight="1">
      <c r="A1" s="21"/>
      <c r="B1" s="11" t="s">
        <v>0</v>
      </c>
      <c r="C1" s="12"/>
      <c r="D1" s="12"/>
      <c r="E1" s="12"/>
      <c r="F1" s="12"/>
      <c r="G1" s="13"/>
    </row>
    <row r="2" spans="1:7" s="9" customFormat="1" ht="35.25" customHeight="1">
      <c r="B2" s="8"/>
      <c r="C2" s="8"/>
      <c r="D2" s="8"/>
      <c r="E2" s="8"/>
      <c r="F2" s="8"/>
    </row>
    <row r="3" spans="1:7" s="2" customFormat="1" ht="42" customHeight="1">
      <c r="B3" s="14" t="s">
        <v>1</v>
      </c>
      <c r="C3" s="10"/>
      <c r="D3" s="10"/>
      <c r="E3" s="10"/>
      <c r="F3" s="6"/>
    </row>
    <row r="4" spans="1:7" s="3" customFormat="1" ht="30" customHeight="1">
      <c r="B4" s="16" t="s">
        <v>2</v>
      </c>
      <c r="C4" s="17" t="s">
        <v>19</v>
      </c>
      <c r="D4" s="17" t="s">
        <v>21</v>
      </c>
      <c r="E4" s="17" t="s">
        <v>23</v>
      </c>
      <c r="F4" s="18"/>
    </row>
    <row r="5" spans="1:7" ht="28.5" customHeight="1">
      <c r="B5" s="7" t="s">
        <v>3</v>
      </c>
      <c r="C5" s="20">
        <v>750</v>
      </c>
      <c r="D5" s="20">
        <f>SUMIF(Tabla2[Categoría],Tabla1[[#This Row],[Categorías]],Tabla2[Importe])</f>
        <v>720</v>
      </c>
      <c r="E5" s="20">
        <f>IFERROR(Tabla1[[#This Row],[Presupuesto planeado]]-Tabla1[[#This Row],[Presupuesto detallado]],"")</f>
        <v>30</v>
      </c>
    </row>
    <row r="6" spans="1:7" ht="28.5" customHeight="1">
      <c r="B6" s="7" t="s">
        <v>4</v>
      </c>
      <c r="C6" s="20">
        <v>250</v>
      </c>
      <c r="D6" s="20">
        <f>SUMIF(Tabla2[Categoría],Tabla1[[#This Row],[Categorías]],Tabla2[Importe])</f>
        <v>300</v>
      </c>
      <c r="E6" s="20">
        <f>IFERROR(Tabla1[[#This Row],[Presupuesto planeado]]-Tabla1[[#This Row],[Presupuesto detallado]],"")</f>
        <v>-50</v>
      </c>
    </row>
    <row r="7" spans="1:7" ht="28.5" customHeight="1">
      <c r="B7" s="7" t="s">
        <v>5</v>
      </c>
      <c r="C7" s="20">
        <v>100</v>
      </c>
      <c r="D7" s="20">
        <f>SUMIF(Tabla2[Categoría],Tabla1[[#This Row],[Categorías]],Tabla2[Importe])</f>
        <v>80</v>
      </c>
      <c r="E7" s="20">
        <f>IFERROR(Tabla1[[#This Row],[Presupuesto planeado]]-Tabla1[[#This Row],[Presupuesto detallado]],"")</f>
        <v>20</v>
      </c>
    </row>
    <row r="8" spans="1:7" ht="28.5" customHeight="1">
      <c r="B8" s="7" t="s">
        <v>6</v>
      </c>
      <c r="C8" s="20">
        <v>500</v>
      </c>
      <c r="D8" s="20">
        <f>SUMIF(Tabla2[Categoría],Tabla1[[#This Row],[Categorías]],Tabla2[Importe])</f>
        <v>500</v>
      </c>
      <c r="E8" s="20">
        <f>IFERROR(Tabla1[[#This Row],[Presupuesto planeado]]-Tabla1[[#This Row],[Presupuesto detallado]],"")</f>
        <v>0</v>
      </c>
    </row>
    <row r="9" spans="1:7" ht="28.5" customHeight="1">
      <c r="B9" s="7" t="s">
        <v>7</v>
      </c>
      <c r="C9" s="20">
        <v>50</v>
      </c>
      <c r="D9" s="20">
        <f>SUMIF(Tabla2[Categoría],Tabla1[[#This Row],[Categorías]],Tabla2[Importe])</f>
        <v>0</v>
      </c>
      <c r="E9" s="20">
        <f>IFERROR(Tabla1[[#This Row],[Presupuesto planeado]]-Tabla1[[#This Row],[Presupuesto detallado]],"")</f>
        <v>50</v>
      </c>
    </row>
    <row r="10" spans="1:7" ht="28.5" customHeight="1">
      <c r="B10" s="7" t="s">
        <v>8</v>
      </c>
      <c r="C10" s="20">
        <v>50</v>
      </c>
      <c r="D10" s="20">
        <f>SUMIF(Tabla2[Categoría],Tabla1[[#This Row],[Categorías]],Tabla2[Importe])</f>
        <v>0</v>
      </c>
      <c r="E10" s="20">
        <f>IFERROR(Tabla1[[#This Row],[Presupuesto planeado]]-Tabla1[[#This Row],[Presupuesto detallado]],"")</f>
        <v>50</v>
      </c>
    </row>
    <row r="11" spans="1:7" ht="28.5" customHeight="1">
      <c r="B11" s="7" t="s">
        <v>9</v>
      </c>
      <c r="C11" s="20">
        <v>200</v>
      </c>
      <c r="D11" s="20">
        <f>SUMIF(Tabla2[Categoría],Tabla1[[#This Row],[Categorías]],Tabla2[Importe])</f>
        <v>0</v>
      </c>
      <c r="E11" s="20">
        <f>IFERROR(Tabla1[[#This Row],[Presupuesto planeado]]-Tabla1[[#This Row],[Presupuesto detallado]],"")</f>
        <v>200</v>
      </c>
    </row>
    <row r="12" spans="1:7" ht="28.5" customHeight="1">
      <c r="B12" s="7" t="s">
        <v>10</v>
      </c>
      <c r="C12" s="20">
        <f>SUBTOTAL(109,Tabla1[Presupuesto planeado])</f>
        <v>1900</v>
      </c>
      <c r="D12" s="20">
        <f>SUBTOTAL(109,Tabla1[Presupuesto detallado])</f>
        <v>1600</v>
      </c>
      <c r="E12" s="20">
        <f>SUBTOTAL(109,Tabla1[Disponible / (superado)])</f>
        <v>300</v>
      </c>
    </row>
    <row r="13" spans="1:7" ht="30" customHeight="1">
      <c r="B13" s="5"/>
      <c r="C13" s="22"/>
      <c r="D13" s="22"/>
      <c r="E13" s="22"/>
    </row>
    <row r="14" spans="1:7" s="2" customFormat="1" ht="40.15" customHeight="1">
      <c r="B14" s="14" t="s">
        <v>11</v>
      </c>
      <c r="C14" s="10"/>
      <c r="D14" s="10"/>
      <c r="E14" s="10"/>
      <c r="F14" s="10"/>
    </row>
    <row r="15" spans="1:7" s="3" customFormat="1" ht="30" customHeight="1">
      <c r="B15" s="15" t="s">
        <v>12</v>
      </c>
      <c r="C15" s="17" t="s">
        <v>20</v>
      </c>
      <c r="D15" s="17" t="s">
        <v>22</v>
      </c>
      <c r="E15" s="17" t="s">
        <v>24</v>
      </c>
      <c r="F15" s="17" t="s">
        <v>25</v>
      </c>
    </row>
    <row r="16" spans="1:7" ht="28.5" customHeight="1">
      <c r="B16" s="7" t="s">
        <v>13</v>
      </c>
      <c r="C16" s="19" t="s">
        <v>3</v>
      </c>
      <c r="D16" s="23">
        <v>2</v>
      </c>
      <c r="E16" s="19">
        <v>300</v>
      </c>
      <c r="F16" s="19">
        <f>IFERROR(Tabla2[[#This Row],[Cantidad]]*Tabla2[[#This Row],[Coste unitario]],"")</f>
        <v>600</v>
      </c>
    </row>
    <row r="17" spans="2:6" ht="28.5" customHeight="1">
      <c r="B17" s="7" t="s">
        <v>14</v>
      </c>
      <c r="C17" s="19" t="s">
        <v>3</v>
      </c>
      <c r="D17" s="23">
        <v>4</v>
      </c>
      <c r="E17" s="19">
        <v>30</v>
      </c>
      <c r="F17" s="19">
        <f>IFERROR(Tabla2[[#This Row],[Cantidad]]*Tabla2[[#This Row],[Coste unitario]],"")</f>
        <v>120</v>
      </c>
    </row>
    <row r="18" spans="2:6" ht="28.5" customHeight="1">
      <c r="B18" s="7" t="s">
        <v>15</v>
      </c>
      <c r="C18" s="19" t="s">
        <v>4</v>
      </c>
      <c r="D18" s="23">
        <v>2</v>
      </c>
      <c r="E18" s="19">
        <v>150</v>
      </c>
      <c r="F18" s="19">
        <f>IFERROR(Tabla2[[#This Row],[Cantidad]]*Tabla2[[#This Row],[Coste unitario]],"")</f>
        <v>300</v>
      </c>
    </row>
    <row r="19" spans="2:6" ht="28.5" customHeight="1">
      <c r="B19" s="7" t="s">
        <v>16</v>
      </c>
      <c r="C19" s="19" t="s">
        <v>5</v>
      </c>
      <c r="D19" s="23">
        <v>2</v>
      </c>
      <c r="E19" s="19">
        <v>40</v>
      </c>
      <c r="F19" s="19">
        <f>IFERROR(Tabla2[[#This Row],[Cantidad]]*Tabla2[[#This Row],[Coste unitario]],"")</f>
        <v>80</v>
      </c>
    </row>
    <row r="20" spans="2:6" ht="28.5" customHeight="1">
      <c r="B20" s="7" t="s">
        <v>17</v>
      </c>
      <c r="C20" s="19" t="s">
        <v>6</v>
      </c>
      <c r="D20" s="23">
        <v>2</v>
      </c>
      <c r="E20" s="19">
        <v>250</v>
      </c>
      <c r="F20" s="19">
        <f>IFERROR(Tabla2[[#This Row],[Cantidad]]*Tabla2[[#This Row],[Coste unitario]],"")</f>
        <v>500</v>
      </c>
    </row>
    <row r="21" spans="2:6" ht="28.5" customHeight="1">
      <c r="B21" s="7" t="s">
        <v>18</v>
      </c>
      <c r="C21" s="19"/>
      <c r="D21" s="23"/>
      <c r="E21" s="19"/>
      <c r="F21" s="19">
        <f>IFERROR(Tabla2[[#This Row],[Cantidad]]*Tabla2[[#This Row],[Coste unitario]],"")</f>
        <v>0</v>
      </c>
    </row>
    <row r="22" spans="2:6" ht="28.5" customHeight="1">
      <c r="B22" s="7"/>
      <c r="C22" s="19"/>
      <c r="D22" s="23"/>
      <c r="E22" s="19"/>
      <c r="F22" s="19"/>
    </row>
  </sheetData>
  <dataValidations count="8">
    <dataValidation type="list" allowBlank="1" showInputMessage="1" showErrorMessage="1" sqref="C16:C22" xr:uid="{00000000-0002-0000-0000-000000000000}">
      <formula1>$B$5:$B$10</formula1>
    </dataValidation>
    <dataValidation allowBlank="1" showInputMessage="1" showErrorMessage="1" promptTitle="Presupuesto para vacaciones" prompt="_x000a_Esta hoja de cálculo le ayudará a planificar el presupuesto de sus próximas vacaciones._x000a__x000a_Simplemente rellene:_x000a_* Presupuesto por categoría y _x000a_* Detalles de gastos" sqref="A1:A2" xr:uid="{00000000-0002-0000-0000-000001000000}"/>
    <dataValidation allowBlank="1" showInputMessage="1" showErrorMessage="1" prompt="Escriba su presupuesto planificado para cada categoría de gastos." sqref="C4" xr:uid="{00000000-0002-0000-0000-000002000000}"/>
    <dataValidation allowBlank="1" showInputMessage="1" showErrorMessage="1" prompt="Esta columna calcula automáticamente a partir de los datos de la tabla Detalles de gastos." sqref="D4" xr:uid="{00000000-0002-0000-0000-000003000000}"/>
    <dataValidation allowBlank="1" showInputMessage="1" showErrorMessage="1" prompt="Escriba los detalles de gastos" sqref="B14" xr:uid="{00000000-0002-0000-0000-000004000000}"/>
    <dataValidation allowBlank="1" showInputMessage="1" showErrorMessage="1" prompt="Escriba su presupuesto planificado para cada categoría de gastos. _x000a__x000a_Escriba los datos en la columna Presupuesto planificado." sqref="B3" xr:uid="{00000000-0002-0000-0000-000005000000}"/>
    <dataValidation allowBlank="1" showInputMessage="1" showErrorMessage="1" prompt="Escriba las categorías de gastos en esta columna." sqref="B4" xr:uid="{00000000-0002-0000-0000-000006000000}"/>
    <dataValidation allowBlank="1" showInputMessage="1" showErrorMessage="1" prompt="Se calcula la diferencia entre el presupuesto planificado y sus detalles de gastos por categoría." sqref="E4" xr:uid="{00000000-0002-0000-0000-000007000000}"/>
  </dataValidations>
  <pageMargins left="0.7" right="0.7" top="0.75" bottom="0.75" header="0.3" footer="0.3"/>
  <pageSetup paperSize="9" scale="43" orientation="portrait" horizontalDpi="4294967293" r:id="rId1"/>
  <headerFooter>
    <oddHeader>&amp;C&amp;"+,Regular"&amp;24&amp;K04-049Vacation Budget Planner</oddHeader>
  </headerFooter>
  <drawing r:id="rId2"/>
  <tableParts count="2">
    <tablePart r:id="rId3"/>
    <tablePart r:id="rId4"/>
  </tableParts>
</worksheet>
</file>

<file path=customXml/_rels/item3.xml.rels>&#65279;<?xml version="1.0" encoding="utf-8"?><Relationships xmlns="http://schemas.openxmlformats.org/package/2006/relationships"><Relationship Type="http://schemas.openxmlformats.org/officeDocument/2006/relationships/customXmlProps" Target="/customXml/itemProps31.xml" Id="rId1" /></Relationships>
</file>

<file path=customXml/_rels/item13.xml.rels>&#65279;<?xml version="1.0" encoding="utf-8"?><Relationships xmlns="http://schemas.openxmlformats.org/package/2006/relationships"><Relationship Type="http://schemas.openxmlformats.org/officeDocument/2006/relationships/customXmlProps" Target="/customXml/itemProps13.xml" Id="rId1" /></Relationships>
</file>

<file path=customXml/_rels/item22.xml.rels>&#65279;<?xml version="1.0" encoding="utf-8"?><Relationships xmlns="http://schemas.openxmlformats.org/package/2006/relationships"><Relationship Type="http://schemas.openxmlformats.org/officeDocument/2006/relationships/customXmlProps" Target="/customXml/itemProps22.xml" Id="rId1" /></Relationship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2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3.xml><?xml version="1.0" encoding="utf-8"?>
<ds:datastoreItem xmlns:ds="http://schemas.openxmlformats.org/officeDocument/2006/customXml" ds:itemID="{A02EE88C-2E54-4257-9BB0-AC4B70317798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22.xml><?xml version="1.0" encoding="utf-8"?>
<ds:datastoreItem xmlns:ds="http://schemas.openxmlformats.org/officeDocument/2006/customXml" ds:itemID="{C92017F1-FD6A-401F-A108-89205144B4CB}">
  <ds:schemaRefs>
    <ds:schemaRef ds:uri="http://schemas.microsoft.com/sharepoint/v3/contenttype/forms"/>
  </ds:schemaRefs>
</ds:datastoreItem>
</file>

<file path=customXml/itemProps31.xml><?xml version="1.0" encoding="utf-8"?>
<ds:datastoreItem xmlns:ds="http://schemas.openxmlformats.org/officeDocument/2006/customXml" ds:itemID="{C326C0DB-AD12-441E-815A-B8FF36AA13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/>
</file>

<file path=docProps/app.xml><?xml version="1.0" encoding="utf-8"?>
<ap:Properties xmlns:vt="http://schemas.openxmlformats.org/officeDocument/2006/docPropsVTypes" xmlns:ap="http://schemas.openxmlformats.org/officeDocument/2006/extended-properties">
  <ap:Template>TM16410088</ap:Template>
  <ap:DocSecurity>0</ap:DocSecurity>
  <ap:ScaleCrop>false</ap:ScaleCrop>
  <ap:HeadingPairs>
    <vt:vector baseType="variant" size="4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ap:HeadingPairs>
  <ap:TitlesOfParts>
    <vt:vector baseType="lpstr" size="2">
      <vt:lpstr>Planificador de presupuesto</vt:lpstr>
      <vt:lpstr>'Planificador de presupuesto'!Área_de_impresión</vt:lpstr>
    </vt:vector>
  </ap:TitlesOfParts>
  <ap:Company/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2022-11-15T06:11:17Z</dcterms:created>
  <dcterms:modified xsi:type="dcterms:W3CDTF">2022-12-13T05:45:33Z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