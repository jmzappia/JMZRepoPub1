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727" codeName="{9351B8E1-9728-8E5E-8161-817DCB669FF3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.docs.live.net/b98e41fc05090364/Ofimatica Empresarial/PLANTILLAS YOUTUBE/ORDEN DE COMPRAS/"/>
    </mc:Choice>
  </mc:AlternateContent>
  <xr:revisionPtr revIDLastSave="542" documentId="8_{D4B72C25-2BAA-4DD7-B703-D76806ED9B63}" xr6:coauthVersionLast="43" xr6:coauthVersionMax="43" xr10:uidLastSave="{58FAE750-E561-4F25-8F77-59085BE198FE}"/>
  <bookViews>
    <workbookView xWindow="-108" yWindow="-108" windowWidth="23256" windowHeight="12576" activeTab="2" xr2:uid="{0741531E-9158-4887-9B3D-D60592463BBC}"/>
  </bookViews>
  <sheets>
    <sheet name="Productos" sheetId="2" r:id="rId1"/>
    <sheet name="Proveedor" sheetId="4" r:id="rId2"/>
    <sheet name="Orden de compra" sheetId="1" r:id="rId3"/>
    <sheet name="Calculos" sheetId="3" state="veryHidden" r:id="rId4"/>
  </sheets>
  <definedNames>
    <definedName name="_xlnm.Print_Area" localSheetId="2">'Orden de compra'!$A$1:$J$57</definedName>
    <definedName name="CIQWBGuid" hidden="1">"2cd8126d-26c3-430c-b7fa-a069e3a1fc62"</definedName>
    <definedName name="IQ_CH" hidden="1">110000</definedName>
    <definedName name="IQ_CQ" hidden="1">5000</definedName>
    <definedName name="IQ_CY" hidden="1">10000</definedName>
    <definedName name="IQ_DAILY" hidden="1">500000</definedName>
    <definedName name="IQ_DNTM" hidden="1">700000</definedName>
    <definedName name="IQ_FH" hidden="1">100000</definedName>
    <definedName name="IQ_FQ" hidden="1">500</definedName>
    <definedName name="IQ_FWD_CY" hidden="1">10001</definedName>
    <definedName name="IQ_FWD_CY1" hidden="1">10002</definedName>
    <definedName name="IQ_FWD_CY2" hidden="1">10003</definedName>
    <definedName name="IQ_FWD_FY" hidden="1">1001</definedName>
    <definedName name="IQ_FWD_FY1" hidden="1">1002</definedName>
    <definedName name="IQ_FWD_FY2" hidden="1">1003</definedName>
    <definedName name="IQ_FWD_Q" hidden="1">501</definedName>
    <definedName name="IQ_FWD_Q1" hidden="1">502</definedName>
    <definedName name="IQ_FWD_Q2" hidden="1">503</definedName>
    <definedName name="IQ_FY" hidden="1">1000</definedName>
    <definedName name="IQ_LATESTK" hidden="1">1000</definedName>
    <definedName name="IQ_LATESTQ" hidden="1">500</definedName>
    <definedName name="IQ_LTM" hidden="1">2000</definedName>
    <definedName name="IQ_LTMMONTH" hidden="1">120000</definedName>
    <definedName name="IQ_MONTH" hidden="1">15000</definedName>
    <definedName name="IQ_MTD" hidden="1">800000</definedName>
    <definedName name="IQ_NAMES_REVISION_DATE_" hidden="1">41666.7099189815</definedName>
    <definedName name="IQ_NTM" hidden="1">6000</definedName>
    <definedName name="IQ_QTD" hidden="1">750000</definedName>
    <definedName name="IQ_TODAY" hidden="1">0</definedName>
    <definedName name="IQ_WEEK" hidden="1">50000</definedName>
    <definedName name="IQ_YTD" hidden="1">3000</definedName>
    <definedName name="IQ_YTDMONTH" hidden="1">130000</definedName>
    <definedName name="Limpiar">'Orden de compra'!$C$10:$C$14,'Orden de compra'!$B$17:$I$17,'Orden de compra'!$B$20:$H$39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I39" i="1" l="1"/>
  <c r="I38" i="1"/>
  <c r="I37" i="1"/>
  <c r="I36" i="1"/>
  <c r="I35" i="1"/>
  <c r="I34" i="1"/>
  <c r="I33" i="1"/>
  <c r="I32" i="1"/>
  <c r="I31" i="1"/>
  <c r="I30" i="1"/>
  <c r="I29" i="1"/>
  <c r="I28" i="1"/>
  <c r="I27" i="1"/>
  <c r="I26" i="1"/>
  <c r="I25" i="1"/>
  <c r="I24" i="1"/>
  <c r="I23" i="1"/>
  <c r="I22" i="1"/>
  <c r="I21" i="1"/>
  <c r="I20" i="1"/>
  <c r="B5" i="3" l="1"/>
  <c r="I42" i="1"/>
  <c r="I43" i="1" s="1"/>
  <c r="I41" i="1" l="1"/>
  <c r="I46" i="1" s="1"/>
</calcChain>
</file>

<file path=xl/sharedStrings.xml><?xml version="1.0" encoding="utf-8"?>
<sst xmlns="http://schemas.openxmlformats.org/spreadsheetml/2006/main" count="170" uniqueCount="158">
  <si>
    <t>ORDEN DE COMPRA</t>
  </si>
  <si>
    <t>SUBTOTAL</t>
  </si>
  <si>
    <t>IMPUESTO</t>
  </si>
  <si>
    <t>ENVIO</t>
  </si>
  <si>
    <t>TOTAL</t>
  </si>
  <si>
    <t>Ciudad: San Salvdor</t>
  </si>
  <si>
    <t>Teléfono: 2535-2575</t>
  </si>
  <si>
    <t>E-mail: miempresa@gmail.com</t>
  </si>
  <si>
    <t>Dirección: 6° Av. 91, Calle El Amigo, # 25-2</t>
  </si>
  <si>
    <t>Código postal: 2535-2575</t>
  </si>
  <si>
    <t>EMPRESA XYZ</t>
  </si>
  <si>
    <t>Fecha:</t>
  </si>
  <si>
    <t>OC# :</t>
  </si>
  <si>
    <t>Hecho por:</t>
  </si>
  <si>
    <t>PROVEEDOR</t>
  </si>
  <si>
    <t>ENVIAR A</t>
  </si>
  <si>
    <t>Cualquier consulta sobre este pedido puede comunicarse con nosotros</t>
  </si>
  <si>
    <t>Telf: 555-555-555, Email: etorres@ofimaticaempresarial.com</t>
  </si>
  <si>
    <t xml:space="preserve">Búsquenos en: </t>
  </si>
  <si>
    <t>CODIGO</t>
  </si>
  <si>
    <t>PRODUCTO</t>
  </si>
  <si>
    <t>CANTIDAD</t>
  </si>
  <si>
    <t>PRECIO UNIT</t>
  </si>
  <si>
    <t>SOLICITADO POR</t>
  </si>
  <si>
    <t>CONDICIONES DE ENVÍO</t>
  </si>
  <si>
    <t>TERMINOS DE PAGO</t>
  </si>
  <si>
    <t>COMENTARIOS E INTRUCCIONES DE ENVIO</t>
  </si>
  <si>
    <t>IVA</t>
  </si>
  <si>
    <t>IMPONIBLE</t>
  </si>
  <si>
    <t>OTROS</t>
  </si>
  <si>
    <t>ARTICULO</t>
  </si>
  <si>
    <t>TAIC0382</t>
  </si>
  <si>
    <t>ABRAZADERA DE 9 PZS AJUSTABLE PIT BULL TOOLS</t>
  </si>
  <si>
    <t>OC125</t>
  </si>
  <si>
    <t>ACEITERA 125CC MAR-RAM FLEXIBLE</t>
  </si>
  <si>
    <t>OC500</t>
  </si>
  <si>
    <t>ACEITERA 500CC MAR-RAM FLEXIBLE</t>
  </si>
  <si>
    <t>AM200MR</t>
  </si>
  <si>
    <t>ACEITERA MAR-RAM 200CC PROFESIONAL</t>
  </si>
  <si>
    <t>AM300MR</t>
  </si>
  <si>
    <t>ACEITERA MAR-RAM 300CC PROFESIONAL</t>
  </si>
  <si>
    <t>ADAPTADOR 3 PZS MAR-RAM</t>
  </si>
  <si>
    <t>IA03-F</t>
  </si>
  <si>
    <t>ADAPTADOR 3 PZS MAR-RAM IMPACTO</t>
  </si>
  <si>
    <t>DR3412MR</t>
  </si>
  <si>
    <t>ADAPTADOR 3/4 A 1/2 MAR-RAM REDUCCION</t>
  </si>
  <si>
    <t>DR2MR</t>
  </si>
  <si>
    <t>ADAPTADOR MAR-RAM 2 PZS 3/8A1/4 1/2A3/8</t>
  </si>
  <si>
    <t>JA4MR</t>
  </si>
  <si>
    <t>AFINACION 4 PZS 1/2 MAR-RAM PROFESIONAL</t>
  </si>
  <si>
    <t>JA4MR-F</t>
  </si>
  <si>
    <t>AFINACION 4 PZS FLEXIBLE MAR-RAM 1/2 MAT</t>
  </si>
  <si>
    <t>DCS05-F</t>
  </si>
  <si>
    <t>ARCO P/CALAR 5 SEGUETAS RAM-TOOLS</t>
  </si>
  <si>
    <t>ARCO12MR</t>
  </si>
  <si>
    <t>ARCO P/SEGUETA MAR-RAM CUADRADO M/AMARIL</t>
  </si>
  <si>
    <t>ARCO P/SEGUETA MINI ECONOMICO *</t>
  </si>
  <si>
    <t>RS</t>
  </si>
  <si>
    <t>ASPERSOR GRIRATORIO MAR-RAM</t>
  </si>
  <si>
    <t>AEE1534MR</t>
  </si>
  <si>
    <t>AUTOCLER 15 PZS MAR-RAM ENT 3/4 ASTRIADO</t>
  </si>
  <si>
    <t>A1434MR</t>
  </si>
  <si>
    <t>AUTOCLER 15 PZS MAR-RAM ENTRADA DE 3/4</t>
  </si>
  <si>
    <t>A1612MR</t>
  </si>
  <si>
    <t>AUTOCLER 16 PZS MAR-RAM PROF MILIMETRICO</t>
  </si>
  <si>
    <t>A1714MMR</t>
  </si>
  <si>
    <t>AUTOCLER 17 PZS 1/4" MAR-RAM MM. ROJO</t>
  </si>
  <si>
    <t>SK17</t>
  </si>
  <si>
    <t>AUTOCLER 17 PZS 1/4" MAR-RAM STD AZUL</t>
  </si>
  <si>
    <t>A2134MR</t>
  </si>
  <si>
    <t>AUTOCLER 21 PZS MAR-RAM ENTRADA DE 3/4"</t>
  </si>
  <si>
    <t>A2512MR</t>
  </si>
  <si>
    <t>AUTOCLER 25 PZS MAR-RAM PROF HOGAR/ CHIC</t>
  </si>
  <si>
    <t>A2512MMR</t>
  </si>
  <si>
    <t>AUTOCLER 25 PZS MAR-RAM PROFE USO TALLER</t>
  </si>
  <si>
    <t>SK25</t>
  </si>
  <si>
    <t>AUTOCLER 25 PZS MAR-RAM SK25</t>
  </si>
  <si>
    <t>A40MR</t>
  </si>
  <si>
    <t>AUTOCLER 40 PZS MAR-RAM 1/4", 3/8"</t>
  </si>
  <si>
    <t>A52MR</t>
  </si>
  <si>
    <t>AUTOCLER 52 PZS MAR-RAM PROFESINAL</t>
  </si>
  <si>
    <t>A75MR</t>
  </si>
  <si>
    <t>AUTOCLER 75 PZS MAR-RAM (1/4,3/8,1/2)</t>
  </si>
  <si>
    <t>TC07-F</t>
  </si>
  <si>
    <t>AVELLANADOR 7 PZS RAM-TOOLS</t>
  </si>
  <si>
    <t>BALLMR</t>
  </si>
  <si>
    <t>BANDOLA CON DESTORCEDOR MAR-RAM 1 PZ 5/8"</t>
  </si>
  <si>
    <t>ASL07DB</t>
  </si>
  <si>
    <t>BANDOLA DE ALUMINIO 2 PZS 7MM BR COLORES</t>
  </si>
  <si>
    <t>BGF1MR</t>
  </si>
  <si>
    <t>BANDOLA GIRATORIA CIERRE RAPIDO 1" GANCHO FIJO</t>
  </si>
  <si>
    <t>BG1MR</t>
  </si>
  <si>
    <t>BANDOLA GIRATORIA DESTORCEDOR 1"</t>
  </si>
  <si>
    <t>BMALUM8MR</t>
  </si>
  <si>
    <t>BANDOLA TIPO PERA ALUMINIO 8X80MM C/SEGURO MAR-RAM</t>
  </si>
  <si>
    <t>BMATS6MR</t>
  </si>
  <si>
    <t>BANDOLA TIPO PERA NO. 6X60MM C/SEGURO MAR-RAM</t>
  </si>
  <si>
    <t>BMA6MR</t>
  </si>
  <si>
    <t>BANDOLA TIPO PERA NO. 6X60MM MAR-RAM</t>
  </si>
  <si>
    <t>BMATS7MR</t>
  </si>
  <si>
    <t>BANDOLA TIPO PERA NO. 7X70MM C/SEGURO MAR-RAM</t>
  </si>
  <si>
    <t>BMA7MR</t>
  </si>
  <si>
    <t>BANDOLA TIPO PERA NO. 7X70MM MAR-RAM</t>
  </si>
  <si>
    <t>BMATS8MR</t>
  </si>
  <si>
    <t>BANDOLA TIPO PERA NO. 8X80MM C/SEGURO MAR-RAM</t>
  </si>
  <si>
    <t>BMA8MR</t>
  </si>
  <si>
    <t>BANDOLA TIPO PERA NO. 8X80MM MAR-RAM</t>
  </si>
  <si>
    <t>BMATS9MR</t>
  </si>
  <si>
    <t>BANDOLA TIPO PERA NO. 9X90MM C/SEGURO MAR-RAM</t>
  </si>
  <si>
    <t>BMA9MR</t>
  </si>
  <si>
    <t>BANDOLA TIPO PERA NO. 9X90MM MAR-RAM</t>
  </si>
  <si>
    <t>BMATS10MR</t>
  </si>
  <si>
    <t>BANDOLA TIPO PERA NO.10X100MM C/SEGURO MAR-RAM</t>
  </si>
  <si>
    <t>BMATS12MR</t>
  </si>
  <si>
    <t>BANDOLA TIPO PERA NO.12X140MM C/SEGURO MAR-RAM</t>
  </si>
  <si>
    <t>BERBIQUI ECONOMICO #12</t>
  </si>
  <si>
    <t>BB10MR</t>
  </si>
  <si>
    <t>BOMBA DE MANO 10" MAR-RAM BALONERA</t>
  </si>
  <si>
    <t>BP15MR</t>
  </si>
  <si>
    <t>BOMBA DE MANO 15" MAR-RAM</t>
  </si>
  <si>
    <t>BP20MR</t>
  </si>
  <si>
    <t>BOMBA DE MANO 20" MAR-RAM BP20MR</t>
  </si>
  <si>
    <t>BAPMR</t>
  </si>
  <si>
    <t>BOMBA DE PIE MAR-RAM BAPMR</t>
  </si>
  <si>
    <t>MZSP</t>
  </si>
  <si>
    <t>BOMBA DE SIFON PLASTICA P/GAS MAR-RAM</t>
  </si>
  <si>
    <t>BOMBA EXTRACTORA DE LIQUIDOS MAR-RAM</t>
  </si>
  <si>
    <t>BZ5MR</t>
  </si>
  <si>
    <t>BOZAL PARA PERRO NO.5 MAR-RAM</t>
  </si>
  <si>
    <t>BZ6MR</t>
  </si>
  <si>
    <t>BOZAL PARA PERRO NO.6 MAR-RAM</t>
  </si>
  <si>
    <t>BZ7MR</t>
  </si>
  <si>
    <t>BOZAL PARA PERRO NO.7 MAR-RAM</t>
  </si>
  <si>
    <t>LISTA DE PRODUCTOS</t>
  </si>
  <si>
    <t>FILA</t>
  </si>
  <si>
    <t>PRECIO</t>
  </si>
  <si>
    <t>Empresa:</t>
  </si>
  <si>
    <t>Dirección:</t>
  </si>
  <si>
    <t>Ciudad:</t>
  </si>
  <si>
    <t>Telf:</t>
  </si>
  <si>
    <t>Email:</t>
  </si>
  <si>
    <t>Dirección</t>
  </si>
  <si>
    <t>Ciudad</t>
  </si>
  <si>
    <t>Teléfono</t>
  </si>
  <si>
    <t>Email</t>
  </si>
  <si>
    <t>María Eugenia Perez</t>
  </si>
  <si>
    <t>Av. 90, Calle 3, Bloc 1</t>
  </si>
  <si>
    <t>San Salvador</t>
  </si>
  <si>
    <t>7125-3225</t>
  </si>
  <si>
    <t>mperez@gmail.com</t>
  </si>
  <si>
    <t>Christofer Miguel Andubar</t>
  </si>
  <si>
    <t>cmiguel@gmail.com</t>
  </si>
  <si>
    <t>#</t>
  </si>
  <si>
    <t>Proveedor</t>
  </si>
  <si>
    <t>LISTA DE PROVEEDORES</t>
  </si>
  <si>
    <t>JOSUE HERNANDEZ</t>
  </si>
  <si>
    <t>Autorizado por:</t>
  </si>
  <si>
    <t>JOEL MARQUEZ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</si>
</sst>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/mm/yyyy;@"/>
  </numFmts>
  <fonts count="14" x14ac:knownFonts="1">
    <font>
      <sz val="11"/>
      <color theme="1"/>
      <name val="Century Gothic"/>
      <family val="2"/>
      <scheme val="minor"/>
    </font>
    <font>
      <sz val="11"/>
      <color theme="1"/>
      <name val="Calibri"/>
      <family val="2"/>
    </font>
    <font>
      <b/>
      <sz val="22"/>
      <color theme="4"/>
      <name val="Calibri"/>
      <family val="2"/>
    </font>
    <font>
      <b/>
      <sz val="11"/>
      <color theme="0"/>
      <name val="Calibri"/>
      <family val="2"/>
    </font>
    <font>
      <sz val="10"/>
      <name val="Trebuchet MS"/>
      <family val="2"/>
    </font>
    <font>
      <b/>
      <sz val="12"/>
      <color theme="0"/>
      <name val="Calibri"/>
      <family val="2"/>
    </font>
    <font>
      <sz val="12"/>
      <color theme="1"/>
      <name val="Calibri"/>
      <family val="2"/>
    </font>
    <font>
      <b/>
      <sz val="20"/>
      <color theme="4"/>
      <name val="Arial"/>
      <family val="2"/>
    </font>
    <font>
      <sz val="11"/>
      <color theme="4"/>
      <name val="Calibri"/>
      <family val="2"/>
    </font>
    <font>
      <b/>
      <sz val="11"/>
      <color theme="4"/>
      <name val="Calibri"/>
      <family val="2"/>
    </font>
    <font>
      <i/>
      <sz val="11"/>
      <color theme="4"/>
      <name val="Calibri"/>
      <family val="2"/>
    </font>
    <font>
      <b/>
      <sz val="18"/>
      <color theme="4"/>
      <name val="Calibri"/>
      <family val="2"/>
    </font>
    <font>
      <u/>
      <sz val="11"/>
      <color theme="10"/>
      <name val="Century Gothic"/>
      <family val="2"/>
      <scheme val="minor"/>
    </font>
    <font>
      <u/>
      <sz val="11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0" tint="-4.9989318521683403E-2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/>
      <top/>
      <bottom style="medium">
        <color indexed="64"/>
      </bottom>
      <diagonal/>
    </border>
    <border>
      <left style="thick">
        <color indexed="64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ck">
        <color indexed="64"/>
      </right>
      <top/>
      <bottom/>
      <diagonal/>
    </border>
    <border>
      <left style="thick">
        <color indexed="64"/>
      </left>
      <right style="thick">
        <color indexed="64"/>
      </right>
      <top/>
      <bottom style="thick">
        <color indexed="64"/>
      </bottom>
      <diagonal/>
    </border>
  </borders>
  <cellStyleXfs count="3">
    <xf numFmtId="0" fontId="0" fillId="0" borderId="0"/>
    <xf numFmtId="0" fontId="4" fillId="0" borderId="0"/>
    <xf numFmtId="0" fontId="12" fillId="0" borderId="0" applyNumberFormat="0" applyFill="0" applyBorder="0" applyAlignment="0" applyProtection="0"/>
  </cellStyleXfs>
  <cellXfs count="63">
    <xf numFmtId="0" fontId="0" fillId="0" borderId="0" xfId="0"/>
    <xf numFmtId="0" fontId="1" fillId="0" borderId="0" xfId="0" applyFont="1" applyProtection="1">
      <protection locked="0"/>
    </xf>
    <xf numFmtId="0" fontId="1" fillId="0" borderId="0" xfId="0" applyFont="1"/>
    <xf numFmtId="49" fontId="1" fillId="0" borderId="1" xfId="0" applyNumberFormat="1" applyFont="1" applyBorder="1" applyProtection="1">
      <protection locked="0"/>
    </xf>
    <xf numFmtId="2" fontId="1" fillId="0" borderId="1" xfId="0" applyNumberFormat="1" applyFont="1" applyBorder="1" applyAlignment="1" applyProtection="1">
      <alignment horizontal="right"/>
      <protection locked="0"/>
    </xf>
    <xf numFmtId="0" fontId="1" fillId="0" borderId="0" xfId="0" applyFont="1" applyAlignment="1">
      <alignment horizontal="center"/>
    </xf>
    <xf numFmtId="0" fontId="8" fillId="0" borderId="0" xfId="0" applyFont="1" applyProtection="1">
      <protection locked="0"/>
    </xf>
    <xf numFmtId="0" fontId="8" fillId="0" borderId="1" xfId="0" applyNumberFormat="1" applyFont="1" applyBorder="1" applyAlignment="1" applyProtection="1">
      <alignment horizontal="left" vertical="center"/>
      <protection locked="0"/>
    </xf>
    <xf numFmtId="0" fontId="8" fillId="0" borderId="6" xfId="0" applyFont="1" applyBorder="1" applyAlignment="1" applyProtection="1">
      <protection locked="0"/>
    </xf>
    <xf numFmtId="0" fontId="8" fillId="0" borderId="0" xfId="0" applyFont="1" applyBorder="1" applyAlignment="1" applyProtection="1">
      <protection locked="0"/>
    </xf>
    <xf numFmtId="2" fontId="8" fillId="2" borderId="7" xfId="0" applyNumberFormat="1" applyFont="1" applyFill="1" applyBorder="1" applyProtection="1">
      <protection locked="0"/>
    </xf>
    <xf numFmtId="0" fontId="11" fillId="0" borderId="0" xfId="0" applyFont="1"/>
    <xf numFmtId="0" fontId="1" fillId="0" borderId="0" xfId="0" applyNumberFormat="1" applyFont="1" applyAlignment="1">
      <alignment horizontal="center"/>
    </xf>
    <xf numFmtId="0" fontId="3" fillId="4" borderId="0" xfId="0" applyFont="1" applyFill="1" applyAlignment="1">
      <alignment horizontal="center"/>
    </xf>
    <xf numFmtId="49" fontId="1" fillId="0" borderId="0" xfId="0" applyNumberFormat="1" applyFont="1"/>
    <xf numFmtId="0" fontId="3" fillId="4" borderId="1" xfId="0" applyFont="1" applyFill="1" applyBorder="1"/>
    <xf numFmtId="0" fontId="1" fillId="0" borderId="1" xfId="0" applyFont="1" applyBorder="1" applyAlignment="1">
      <alignment horizontal="center"/>
    </xf>
    <xf numFmtId="2" fontId="1" fillId="0" borderId="0" xfId="0" applyNumberFormat="1" applyFont="1"/>
    <xf numFmtId="2" fontId="3" fillId="4" borderId="0" xfId="0" applyNumberFormat="1" applyFont="1" applyFill="1" applyAlignment="1">
      <alignment horizontal="center"/>
    </xf>
    <xf numFmtId="2" fontId="1" fillId="0" borderId="1" xfId="0" applyNumberFormat="1" applyFont="1" applyBorder="1" applyAlignment="1" applyProtection="1">
      <alignment horizontal="center"/>
      <protection locked="0"/>
    </xf>
    <xf numFmtId="0" fontId="13" fillId="0" borderId="0" xfId="2" applyFont="1"/>
    <xf numFmtId="0" fontId="1" fillId="0" borderId="2" xfId="0" applyFont="1" applyBorder="1" applyAlignment="1" applyProtection="1">
      <protection locked="0"/>
    </xf>
    <xf numFmtId="0" fontId="1" fillId="0" borderId="4" xfId="0" applyFont="1" applyBorder="1" applyAlignment="1" applyProtection="1">
      <protection locked="0"/>
    </xf>
    <xf numFmtId="0" fontId="1" fillId="0" borderId="3" xfId="0" applyFont="1" applyBorder="1" applyAlignment="1" applyProtection="1">
      <protection locked="0"/>
    </xf>
    <xf numFmtId="0" fontId="7" fillId="0" borderId="0" xfId="0" applyFont="1" applyAlignment="1" applyProtection="1">
      <alignment horizontal="right"/>
      <protection locked="0"/>
    </xf>
    <xf numFmtId="0" fontId="2" fillId="0" borderId="0" xfId="0" applyFont="1" applyAlignment="1" applyProtection="1">
      <alignment horizontal="center"/>
      <protection locked="0"/>
    </xf>
    <xf numFmtId="0" fontId="9" fillId="0" borderId="0" xfId="0" applyFont="1" applyAlignment="1" applyProtection="1">
      <alignment horizontal="right" indent="1"/>
      <protection locked="0"/>
    </xf>
    <xf numFmtId="164" fontId="8" fillId="0" borderId="1" xfId="0" applyNumberFormat="1" applyFont="1" applyBorder="1" applyAlignment="1" applyProtection="1">
      <alignment horizontal="left" vertical="center"/>
      <protection locked="0"/>
    </xf>
    <xf numFmtId="0" fontId="5" fillId="4" borderId="0" xfId="0" applyFont="1" applyFill="1" applyAlignment="1" applyProtection="1">
      <alignment vertical="center"/>
      <protection locked="0"/>
    </xf>
    <xf numFmtId="0" fontId="5" fillId="4" borderId="0" xfId="0" applyFont="1" applyFill="1" applyProtection="1">
      <protection locked="0"/>
    </xf>
    <xf numFmtId="0" fontId="5" fillId="2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3" fillId="4" borderId="1" xfId="0" applyFont="1" applyFill="1" applyBorder="1" applyAlignment="1" applyProtection="1">
      <alignment horizontal="center" vertical="center"/>
      <protection locked="0"/>
    </xf>
    <xf numFmtId="2" fontId="8" fillId="5" borderId="0" xfId="0" applyNumberFormat="1" applyFont="1" applyFill="1" applyBorder="1" applyProtection="1">
      <protection locked="0"/>
    </xf>
    <xf numFmtId="2" fontId="8" fillId="2" borderId="0" xfId="0" applyNumberFormat="1" applyFont="1" applyFill="1" applyBorder="1" applyProtection="1">
      <protection locked="0"/>
    </xf>
    <xf numFmtId="0" fontId="9" fillId="3" borderId="0" xfId="0" applyFont="1" applyFill="1" applyProtection="1">
      <protection locked="0"/>
    </xf>
    <xf numFmtId="2" fontId="9" fillId="3" borderId="0" xfId="0" applyNumberFormat="1" applyFont="1" applyFill="1" applyProtection="1">
      <protection locked="0"/>
    </xf>
    <xf numFmtId="0" fontId="8" fillId="0" borderId="6" xfId="0" applyFont="1" applyBorder="1" applyProtection="1">
      <protection locked="0"/>
    </xf>
    <xf numFmtId="0" fontId="10" fillId="0" borderId="0" xfId="0" applyFont="1" applyProtection="1">
      <protection locked="0"/>
    </xf>
    <xf numFmtId="2" fontId="1" fillId="0" borderId="1" xfId="0" applyNumberFormat="1" applyFont="1" applyBorder="1" applyAlignment="1" applyProtection="1">
      <alignment horizontal="right" vertical="center" indent="1"/>
    </xf>
    <xf numFmtId="0" fontId="1" fillId="0" borderId="8" xfId="0" applyFont="1" applyBorder="1" applyProtection="1">
      <protection locked="0"/>
    </xf>
    <xf numFmtId="0" fontId="1" fillId="0" borderId="9" xfId="0" applyFont="1" applyBorder="1" applyProtection="1">
      <protection locked="0"/>
    </xf>
    <xf numFmtId="0" fontId="6" fillId="0" borderId="9" xfId="0" applyFont="1" applyBorder="1" applyProtection="1">
      <protection locked="0"/>
    </xf>
    <xf numFmtId="0" fontId="1" fillId="0" borderId="10" xfId="0" applyFont="1" applyBorder="1" applyProtection="1">
      <protection locked="0"/>
    </xf>
    <xf numFmtId="0" fontId="8" fillId="0" borderId="0" xfId="0" applyFont="1" applyAlignment="1" applyProtection="1">
      <alignment horizontal="right"/>
      <protection locked="0"/>
    </xf>
    <xf numFmtId="0" fontId="8" fillId="0" borderId="5" xfId="0" applyFont="1" applyBorder="1" applyAlignment="1" applyProtection="1">
      <protection locked="0"/>
    </xf>
    <xf numFmtId="0" fontId="5" fillId="4" borderId="0" xfId="0" applyFont="1" applyFill="1" applyAlignment="1" applyProtection="1">
      <alignment horizontal="left" vertical="center"/>
      <protection locked="0"/>
    </xf>
    <xf numFmtId="164" fontId="1" fillId="0" borderId="1" xfId="0" applyNumberFormat="1" applyFont="1" applyBorder="1" applyAlignment="1" applyProtection="1">
      <alignment horizontal="left" vertical="center"/>
      <protection locked="0"/>
    </xf>
    <xf numFmtId="0" fontId="1" fillId="0" borderId="1" xfId="0" applyFont="1" applyBorder="1" applyAlignment="1" applyProtection="1">
      <alignment horizontal="left" vertical="center"/>
      <protection locked="0"/>
    </xf>
    <xf numFmtId="0" fontId="3" fillId="4" borderId="2" xfId="0" applyFont="1" applyFill="1" applyBorder="1" applyAlignment="1" applyProtection="1">
      <alignment horizontal="center" vertical="center"/>
      <protection locked="0"/>
    </xf>
    <xf numFmtId="0" fontId="3" fillId="4" borderId="3" xfId="0" applyFont="1" applyFill="1" applyBorder="1" applyAlignment="1" applyProtection="1">
      <alignment horizontal="center" vertical="center"/>
      <protection locked="0"/>
    </xf>
    <xf numFmtId="0" fontId="7" fillId="0" borderId="0" xfId="1" applyFont="1" applyAlignment="1" applyProtection="1">
      <alignment horizontal="center" vertical="center"/>
      <protection locked="0"/>
    </xf>
    <xf numFmtId="0" fontId="8" fillId="0" borderId="5" xfId="0" applyFont="1" applyBorder="1" applyAlignment="1" applyProtection="1">
      <alignment horizontal="center"/>
      <protection locked="0"/>
    </xf>
    <xf numFmtId="0" fontId="3" fillId="4" borderId="4" xfId="0" applyFont="1" applyFill="1" applyBorder="1" applyAlignment="1" applyProtection="1">
      <alignment horizontal="center" vertical="center"/>
      <protection locked="0"/>
    </xf>
    <xf numFmtId="0" fontId="8" fillId="0" borderId="0" xfId="0" applyFont="1" applyAlignment="1" applyProtection="1">
      <alignment horizontal="center"/>
      <protection locked="0"/>
    </xf>
    <xf numFmtId="0" fontId="1" fillId="0" borderId="2" xfId="0" applyFont="1" applyBorder="1" applyAlignment="1" applyProtection="1">
      <alignment horizontal="center" vertical="center"/>
      <protection locked="0"/>
    </xf>
    <xf numFmtId="0" fontId="1" fillId="0" borderId="4" xfId="0" applyFont="1" applyBorder="1" applyAlignment="1" applyProtection="1">
      <alignment horizontal="center" vertical="center"/>
      <protection locked="0"/>
    </xf>
    <xf numFmtId="0" fontId="1" fillId="0" borderId="3" xfId="0" applyFont="1" applyBorder="1" applyAlignment="1" applyProtection="1">
      <alignment horizontal="center" vertical="center"/>
      <protection locked="0"/>
    </xf>
    <xf numFmtId="0" fontId="9" fillId="0" borderId="0" xfId="0" applyFont="1" applyBorder="1" applyAlignment="1" applyProtection="1">
      <alignment horizontal="left"/>
      <protection locked="0"/>
    </xf>
    <xf numFmtId="0" fontId="9" fillId="0" borderId="0" xfId="0" applyFont="1" applyBorder="1" applyProtection="1">
      <protection locked="0"/>
    </xf>
    <xf numFmtId="0" fontId="3" fillId="4" borderId="1" xfId="0" applyFont="1" applyFill="1" applyBorder="1" applyAlignment="1" applyProtection="1">
      <alignment horizontal="center"/>
      <protection locked="0"/>
    </xf>
    <xf numFmtId="0" fontId="9" fillId="0" borderId="7" xfId="0" applyFont="1" applyBorder="1" applyProtection="1">
      <protection locked="0"/>
    </xf>
    <xf numFmtId="0" fontId="1" fillId="0" borderId="1" xfId="0" applyFont="1" applyBorder="1" applyAlignment="1" applyProtection="1">
      <alignment horizontal="left" vertical="top" wrapText="1"/>
      <protection locked="0"/>
    </xf>
  </cellXfs>
  <cellStyles count="3">
    <cellStyle name="Hipervínculo" xfId="2" builtinId="8"/>
    <cellStyle name="Normal" xfId="0" builtinId="0"/>
    <cellStyle name="Normal 2" xfId="1" xr:uid="{8E9F1425-EDBE-4941-9928-9C0F1D36DC4B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jpg"/><Relationship Id="rId3" Type="http://schemas.openxmlformats.org/officeDocument/2006/relationships/image" Target="../media/image4.png"/><Relationship Id="rId7" Type="http://schemas.openxmlformats.org/officeDocument/2006/relationships/image" Target="../media/image8.png"/><Relationship Id="rId12" Type="http://schemas.openxmlformats.org/officeDocument/2006/relationships/image" Target="../media/image13.png"/><Relationship Id="rId2" Type="http://schemas.openxmlformats.org/officeDocument/2006/relationships/image" Target="../media/image3.png"/><Relationship Id="rId1" Type="http://schemas.openxmlformats.org/officeDocument/2006/relationships/image" Target="../media/image2.png"/><Relationship Id="rId6" Type="http://schemas.openxmlformats.org/officeDocument/2006/relationships/image" Target="../media/image7.jpg"/><Relationship Id="rId11" Type="http://schemas.openxmlformats.org/officeDocument/2006/relationships/image" Target="../media/image12.jpg"/><Relationship Id="rId5" Type="http://schemas.openxmlformats.org/officeDocument/2006/relationships/image" Target="../media/image6.png"/><Relationship Id="rId10" Type="http://schemas.openxmlformats.org/officeDocument/2006/relationships/image" Target="../media/image11.png"/><Relationship Id="rId4" Type="http://schemas.openxmlformats.org/officeDocument/2006/relationships/image" Target="../media/image5.png"/><Relationship Id="rId9" Type="http://schemas.openxmlformats.org/officeDocument/2006/relationships/image" Target="../media/image10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541020</xdr:colOff>
      <xdr:row>1</xdr:row>
      <xdr:rowOff>68581</xdr:rowOff>
    </xdr:from>
    <xdr:to>
      <xdr:col>5</xdr:col>
      <xdr:colOff>38100</xdr:colOff>
      <xdr:row>3</xdr:row>
      <xdr:rowOff>105713</xdr:rowOff>
    </xdr:to>
    <xdr:pic macro="[0]!Select_OC">
      <xdr:nvPicPr>
        <xdr:cNvPr id="3" name="Imagen 2">
          <a:extLst>
            <a:ext uri="{FF2B5EF4-FFF2-40B4-BE49-F238E27FC236}">
              <a16:creationId xmlns:a16="http://schemas.microsoft.com/office/drawing/2014/main" id="{DD49AD3F-FB9F-4619-813A-08BD367896F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520940" y="251461"/>
          <a:ext cx="350520" cy="456232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651934</xdr:colOff>
      <xdr:row>0</xdr:row>
      <xdr:rowOff>135466</xdr:rowOff>
    </xdr:from>
    <xdr:to>
      <xdr:col>7</xdr:col>
      <xdr:colOff>127000</xdr:colOff>
      <xdr:row>2</xdr:row>
      <xdr:rowOff>82648</xdr:rowOff>
    </xdr:to>
    <xdr:pic macro="[0]!Select_OC">
      <xdr:nvPicPr>
        <xdr:cNvPr id="2" name="Imagen 1">
          <a:extLst>
            <a:ext uri="{FF2B5EF4-FFF2-40B4-BE49-F238E27FC236}">
              <a16:creationId xmlns:a16="http://schemas.microsoft.com/office/drawing/2014/main" id="{6C40C448-BD78-4F17-9B91-9368315213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48334" y="135466"/>
          <a:ext cx="330199" cy="42978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160020</xdr:colOff>
      <xdr:row>52</xdr:row>
      <xdr:rowOff>99060</xdr:rowOff>
    </xdr:from>
    <xdr:to>
      <xdr:col>1</xdr:col>
      <xdr:colOff>267997</xdr:colOff>
      <xdr:row>54</xdr:row>
      <xdr:rowOff>1297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9A5209EE-F727-42BA-B318-89481C88050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0020" y="9136380"/>
          <a:ext cx="267997" cy="267997"/>
        </a:xfrm>
        <a:prstGeom prst="rect">
          <a:avLst/>
        </a:prstGeom>
      </xdr:spPr>
    </xdr:pic>
    <xdr:clientData/>
  </xdr:twoCellAnchor>
  <xdr:twoCellAnchor editAs="oneCell">
    <xdr:from>
      <xdr:col>1</xdr:col>
      <xdr:colOff>523380</xdr:colOff>
      <xdr:row>52</xdr:row>
      <xdr:rowOff>104280</xdr:rowOff>
    </xdr:from>
    <xdr:to>
      <xdr:col>1</xdr:col>
      <xdr:colOff>791377</xdr:colOff>
      <xdr:row>54</xdr:row>
      <xdr:rowOff>285</xdr:rowOff>
    </xdr:to>
    <xdr:pic>
      <xdr:nvPicPr>
        <xdr:cNvPr id="6" name="Imagen 5">
          <a:extLst>
            <a:ext uri="{FF2B5EF4-FFF2-40B4-BE49-F238E27FC236}">
              <a16:creationId xmlns:a16="http://schemas.microsoft.com/office/drawing/2014/main" id="{9B18B7EF-66E8-4C9A-8FA2-80E4750A6F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1500" y="9141600"/>
          <a:ext cx="267997" cy="261765"/>
        </a:xfrm>
        <a:prstGeom prst="rect">
          <a:avLst/>
        </a:prstGeom>
      </xdr:spPr>
    </xdr:pic>
    <xdr:clientData/>
  </xdr:twoCellAnchor>
  <xdr:twoCellAnchor editAs="oneCell">
    <xdr:from>
      <xdr:col>1</xdr:col>
      <xdr:colOff>787680</xdr:colOff>
      <xdr:row>52</xdr:row>
      <xdr:rowOff>99060</xdr:rowOff>
    </xdr:from>
    <xdr:to>
      <xdr:col>2</xdr:col>
      <xdr:colOff>175260</xdr:colOff>
      <xdr:row>54</xdr:row>
      <xdr:rowOff>872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31A5DF42-412A-41B4-93FC-E6ED8546F1F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85800" y="9136380"/>
          <a:ext cx="286740" cy="262492"/>
        </a:xfrm>
        <a:prstGeom prst="rect">
          <a:avLst/>
        </a:prstGeom>
      </xdr:spPr>
    </xdr:pic>
    <xdr:clientData/>
  </xdr:twoCellAnchor>
  <xdr:twoCellAnchor editAs="oneCell">
    <xdr:from>
      <xdr:col>1</xdr:col>
      <xdr:colOff>236641</xdr:colOff>
      <xdr:row>52</xdr:row>
      <xdr:rowOff>95242</xdr:rowOff>
    </xdr:from>
    <xdr:to>
      <xdr:col>1</xdr:col>
      <xdr:colOff>510541</xdr:colOff>
      <xdr:row>54</xdr:row>
      <xdr:rowOff>2635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89581DD7-5A01-4D23-B9EB-38ED48717EF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4761" y="9132562"/>
          <a:ext cx="273900" cy="268073"/>
        </a:xfrm>
        <a:prstGeom prst="rect">
          <a:avLst/>
        </a:prstGeom>
      </xdr:spPr>
    </xdr:pic>
    <xdr:clientData/>
  </xdr:twoCellAnchor>
  <xdr:twoCellAnchor editAs="oneCell">
    <xdr:from>
      <xdr:col>2</xdr:col>
      <xdr:colOff>180900</xdr:colOff>
      <xdr:row>52</xdr:row>
      <xdr:rowOff>114300</xdr:rowOff>
    </xdr:from>
    <xdr:to>
      <xdr:col>2</xdr:col>
      <xdr:colOff>464820</xdr:colOff>
      <xdr:row>54</xdr:row>
      <xdr:rowOff>7620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6BE83AA8-922C-4893-991E-C6413FF1AD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00" y="9471660"/>
          <a:ext cx="283920" cy="259080"/>
        </a:xfrm>
        <a:prstGeom prst="rect">
          <a:avLst/>
        </a:prstGeom>
      </xdr:spPr>
    </xdr:pic>
    <xdr:clientData/>
  </xdr:twoCellAnchor>
  <xdr:twoCellAnchor editAs="oneCell">
    <xdr:from>
      <xdr:col>1</xdr:col>
      <xdr:colOff>15240</xdr:colOff>
      <xdr:row>0</xdr:row>
      <xdr:rowOff>30480</xdr:rowOff>
    </xdr:from>
    <xdr:to>
      <xdr:col>1</xdr:col>
      <xdr:colOff>670560</xdr:colOff>
      <xdr:row>1</xdr:row>
      <xdr:rowOff>361991</xdr:rowOff>
    </xdr:to>
    <xdr:pic>
      <xdr:nvPicPr>
        <xdr:cNvPr id="14" name="Imagen 13">
          <a:extLst>
            <a:ext uri="{FF2B5EF4-FFF2-40B4-BE49-F238E27FC236}">
              <a16:creationId xmlns:a16="http://schemas.microsoft.com/office/drawing/2014/main" id="{203E81B3-6886-4C18-8AD6-376C74C57AF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30480"/>
          <a:ext cx="655320" cy="514391"/>
        </a:xfrm>
        <a:prstGeom prst="rect">
          <a:avLst/>
        </a:prstGeom>
      </xdr:spPr>
    </xdr:pic>
    <xdr:clientData/>
  </xdr:twoCellAnchor>
  <xdr:twoCellAnchor editAs="oneCell">
    <xdr:from>
      <xdr:col>11</xdr:col>
      <xdr:colOff>253794</xdr:colOff>
      <xdr:row>11</xdr:row>
      <xdr:rowOff>30480</xdr:rowOff>
    </xdr:from>
    <xdr:to>
      <xdr:col>11</xdr:col>
      <xdr:colOff>723901</xdr:colOff>
      <xdr:row>14</xdr:row>
      <xdr:rowOff>36983</xdr:rowOff>
    </xdr:to>
    <xdr:pic macro="[0]!Limpiar_Datos">
      <xdr:nvPicPr>
        <xdr:cNvPr id="3" name="Imagen 2">
          <a:extLst>
            <a:ext uri="{FF2B5EF4-FFF2-40B4-BE49-F238E27FC236}">
              <a16:creationId xmlns:a16="http://schemas.microsoft.com/office/drawing/2014/main" id="{149B214F-700A-4E56-AB2E-F3BB61D3D7E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80574" y="2133600"/>
          <a:ext cx="470107" cy="555143"/>
        </a:xfrm>
        <a:prstGeom prst="rect">
          <a:avLst/>
        </a:prstGeom>
      </xdr:spPr>
    </xdr:pic>
    <xdr:clientData fPrintsWithSheet="0"/>
  </xdr:twoCellAnchor>
  <xdr:twoCellAnchor editAs="oneCell">
    <xdr:from>
      <xdr:col>9</xdr:col>
      <xdr:colOff>45720</xdr:colOff>
      <xdr:row>18</xdr:row>
      <xdr:rowOff>160019</xdr:rowOff>
    </xdr:from>
    <xdr:to>
      <xdr:col>10</xdr:col>
      <xdr:colOff>243840</xdr:colOff>
      <xdr:row>20</xdr:row>
      <xdr:rowOff>30596</xdr:rowOff>
    </xdr:to>
    <xdr:pic macro="[0]!Eliminar_Fila">
      <xdr:nvPicPr>
        <xdr:cNvPr id="7" name="Imagen 6">
          <a:extLst>
            <a:ext uri="{FF2B5EF4-FFF2-40B4-BE49-F238E27FC236}">
              <a16:creationId xmlns:a16="http://schemas.microsoft.com/office/drawing/2014/main" id="{DB14086A-7A87-47BE-B2E0-60E58C2FDA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6120" y="3428999"/>
          <a:ext cx="274320" cy="236337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60961</xdr:colOff>
      <xdr:row>6</xdr:row>
      <xdr:rowOff>0</xdr:rowOff>
    </xdr:from>
    <xdr:to>
      <xdr:col>11</xdr:col>
      <xdr:colOff>883921</xdr:colOff>
      <xdr:row>9</xdr:row>
      <xdr:rowOff>160020</xdr:rowOff>
    </xdr:to>
    <xdr:pic macro="[0]!Select_Proveedores">
      <xdr:nvPicPr>
        <xdr:cNvPr id="15" name="Imagen 14">
          <a:extLst>
            <a:ext uri="{FF2B5EF4-FFF2-40B4-BE49-F238E27FC236}">
              <a16:creationId xmlns:a16="http://schemas.microsoft.com/office/drawing/2014/main" id="{BF89BE09-C2B8-4794-A62F-96742FEF399D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l="13962" r="14236" b="5669"/>
        <a:stretch/>
      </xdr:blipFill>
      <xdr:spPr>
        <a:xfrm>
          <a:off x="8587741" y="1295400"/>
          <a:ext cx="822960" cy="609600"/>
        </a:xfrm>
        <a:prstGeom prst="rect">
          <a:avLst/>
        </a:prstGeom>
      </xdr:spPr>
    </xdr:pic>
    <xdr:clientData fPrintsWithSheet="0"/>
  </xdr:twoCellAnchor>
  <xdr:twoCellAnchor editAs="oneCell">
    <xdr:from>
      <xdr:col>11</xdr:col>
      <xdr:colOff>1203960</xdr:colOff>
      <xdr:row>11</xdr:row>
      <xdr:rowOff>22860</xdr:rowOff>
    </xdr:from>
    <xdr:to>
      <xdr:col>11</xdr:col>
      <xdr:colOff>1673393</xdr:colOff>
      <xdr:row>15</xdr:row>
      <xdr:rowOff>27491</xdr:rowOff>
    </xdr:to>
    <xdr:pic macro="[0]!saveAsPDF">
      <xdr:nvPicPr>
        <xdr:cNvPr id="19" name="Imagen 18">
          <a:extLst>
            <a:ext uri="{FF2B5EF4-FFF2-40B4-BE49-F238E27FC236}">
              <a16:creationId xmlns:a16="http://schemas.microsoft.com/office/drawing/2014/main" id="{CC8D58D3-6B8E-49A9-B967-A8962866B2C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9730740" y="2125980"/>
          <a:ext cx="469433" cy="682811"/>
        </a:xfrm>
        <a:prstGeom prst="rect">
          <a:avLst/>
        </a:prstGeom>
      </xdr:spPr>
    </xdr:pic>
    <xdr:clientData/>
  </xdr:twoCellAnchor>
  <xdr:twoCellAnchor editAs="oneCell">
    <xdr:from>
      <xdr:col>11</xdr:col>
      <xdr:colOff>1082040</xdr:colOff>
      <xdr:row>5</xdr:row>
      <xdr:rowOff>175261</xdr:rowOff>
    </xdr:from>
    <xdr:to>
      <xdr:col>11</xdr:col>
      <xdr:colOff>1744980</xdr:colOff>
      <xdr:row>9</xdr:row>
      <xdr:rowOff>152401</xdr:rowOff>
    </xdr:to>
    <xdr:pic macro="[0]!Select_Productos">
      <xdr:nvPicPr>
        <xdr:cNvPr id="5" name="Imagen 4">
          <a:extLst>
            <a:ext uri="{FF2B5EF4-FFF2-40B4-BE49-F238E27FC236}">
              <a16:creationId xmlns:a16="http://schemas.microsoft.com/office/drawing/2014/main" id="{5407070F-08E6-4394-9D07-F94B223752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608820" y="1280161"/>
          <a:ext cx="662940" cy="617220"/>
        </a:xfrm>
        <a:prstGeom prst="rect">
          <a:avLst/>
        </a:prstGeom>
      </xdr:spPr>
    </xdr:pic>
    <xdr:clientData/>
  </xdr:twoCellAnchor>
  <xdr:twoCellAnchor editAs="oneCell">
    <xdr:from>
      <xdr:col>3</xdr:col>
      <xdr:colOff>937260</xdr:colOff>
      <xdr:row>7</xdr:row>
      <xdr:rowOff>14941</xdr:rowOff>
    </xdr:from>
    <xdr:to>
      <xdr:col>4</xdr:col>
      <xdr:colOff>247245</xdr:colOff>
      <xdr:row>9</xdr:row>
      <xdr:rowOff>53340</xdr:rowOff>
    </xdr:to>
    <xdr:pic macro="[0]!Abrir_Proveedores">
      <xdr:nvPicPr>
        <xdr:cNvPr id="11" name="Imagen 10">
          <a:extLst>
            <a:ext uri="{FF2B5EF4-FFF2-40B4-BE49-F238E27FC236}">
              <a16:creationId xmlns:a16="http://schemas.microsoft.com/office/drawing/2014/main" id="{CD7089D2-6CE5-43B7-B7CC-E64E726283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3421380" y="1493221"/>
          <a:ext cx="331065" cy="305099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Sector">
  <a:themeElements>
    <a:clrScheme name="Sector">
      <a:dk1>
        <a:sysClr val="windowText" lastClr="000000"/>
      </a:dk1>
      <a:lt1>
        <a:sysClr val="window" lastClr="FFFFFF"/>
      </a:lt1>
      <a:dk2>
        <a:srgbClr val="146194"/>
      </a:dk2>
      <a:lt2>
        <a:srgbClr val="76DBF4"/>
      </a:lt2>
      <a:accent1>
        <a:srgbClr val="052F61"/>
      </a:accent1>
      <a:accent2>
        <a:srgbClr val="A50E82"/>
      </a:accent2>
      <a:accent3>
        <a:srgbClr val="14967C"/>
      </a:accent3>
      <a:accent4>
        <a:srgbClr val="6A9E1F"/>
      </a:accent4>
      <a:accent5>
        <a:srgbClr val="E87D37"/>
      </a:accent5>
      <a:accent6>
        <a:srgbClr val="C62324"/>
      </a:accent6>
      <a:hlink>
        <a:srgbClr val="0D2E46"/>
      </a:hlink>
      <a:folHlink>
        <a:srgbClr val="356A95"/>
      </a:folHlink>
    </a:clrScheme>
    <a:fontScheme name="Sector">
      <a:maj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Century Gothic" panose="020B0502020202020204"/>
        <a:ea typeface=""/>
        <a:cs typeface=""/>
        <a:font script="Jpan" typeface="メイリオ"/>
        <a:font script="Hang" typeface="HY중고딕"/>
        <a:font script="Hans" typeface="幼圆"/>
        <a:font script="Hant" typeface="微軟正黑體"/>
        <a:font script="Arab" typeface="Tahoma"/>
        <a:font script="Hebr" typeface="Gisha"/>
        <a:font script="Thai" typeface="Dillen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Sector">
      <a:fillStyleLst>
        <a:solidFill>
          <a:schemeClr val="phClr"/>
        </a:solidFill>
        <a:gradFill rotWithShape="1">
          <a:gsLst>
            <a:gs pos="0">
              <a:schemeClr val="phClr">
                <a:tint val="62000"/>
                <a:hueMod val="94000"/>
                <a:satMod val="140000"/>
                <a:lumMod val="110000"/>
              </a:schemeClr>
            </a:gs>
            <a:gs pos="100000">
              <a:schemeClr val="phClr">
                <a:tint val="84000"/>
                <a:satMod val="160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tint val="98000"/>
                <a:hueMod val="94000"/>
                <a:satMod val="130000"/>
                <a:lumMod val="128000"/>
              </a:schemeClr>
            </a:gs>
            <a:gs pos="100000">
              <a:schemeClr val="phClr">
                <a:shade val="94000"/>
                <a:lumMod val="88000"/>
              </a:schemeClr>
            </a:gs>
          </a:gsLst>
          <a:lin ang="5400000" scaled="0"/>
        </a:gradFill>
      </a:fillStyleLst>
      <a:lnStyleLst>
        <a:ln w="9525" cap="rnd" cmpd="sng" algn="ctr">
          <a:solidFill>
            <a:schemeClr val="phClr">
              <a:tint val="76000"/>
              <a:alpha val="60000"/>
              <a:hueMod val="94000"/>
            </a:schemeClr>
          </a:solidFill>
          <a:prstDash val="solid"/>
        </a:ln>
        <a:ln w="15875" cap="rnd" cmpd="sng" algn="ctr">
          <a:solidFill>
            <a:schemeClr val="phClr">
              <a:hueMod val="94000"/>
            </a:schemeClr>
          </a:solidFill>
          <a:prstDash val="solid"/>
        </a:ln>
        <a:ln w="28575" cap="rnd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innerShdw blurRad="25400" dist="12700" dir="13500000">
              <a:srgbClr val="000000">
                <a:alpha val="45000"/>
              </a:srgbClr>
            </a:innerShdw>
          </a:effectLst>
        </a:effectStyle>
        <a:effectStyle>
          <a:effectLst>
            <a:outerShdw blurRad="50800" dist="38100" dir="5400000" rotWithShape="0">
              <a:srgbClr val="000000">
                <a:alpha val="46000"/>
              </a:srgbClr>
            </a:outerShdw>
          </a:effectLst>
          <a:scene3d>
            <a:camera prst="orthographicFront">
              <a:rot lat="0" lon="0" rev="0"/>
            </a:camera>
            <a:lightRig rig="threePt" dir="t"/>
          </a:scene3d>
          <a:sp3d prstMaterial="plastic">
            <a:bevelT w="25400" h="25400"/>
          </a:sp3d>
        </a:effectStyle>
      </a:effectStyleLst>
      <a:bgFillStyleLst>
        <a:solidFill>
          <a:schemeClr val="phClr"/>
        </a:solidFill>
        <a:gradFill rotWithShape="1">
          <a:gsLst>
            <a:gs pos="1000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lin ang="6120000" scaled="1"/>
        </a:gradFill>
        <a:gradFill rotWithShape="1">
          <a:gsLst>
            <a:gs pos="0">
              <a:schemeClr val="phClr">
                <a:tint val="97000"/>
                <a:hueMod val="92000"/>
                <a:satMod val="169000"/>
                <a:lumMod val="164000"/>
              </a:schemeClr>
            </a:gs>
            <a:gs pos="100000">
              <a:schemeClr val="phClr">
                <a:shade val="96000"/>
                <a:satMod val="120000"/>
                <a:lumMod val="90000"/>
              </a:schemeClr>
            </a:gs>
          </a:gsLst>
          <a:path path="circle">
            <a:fillToRect b="100000"/>
          </a:path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Slice" id="{0507925B-6AC9-4358-8E18-C330545D08F8}" vid="{13FEC7C6-62A9-40C4-99D2-581AACACAA2F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mailto:cmiguel@gmail.com" TargetMode="External"/><Relationship Id="rId1" Type="http://schemas.openxmlformats.org/officeDocument/2006/relationships/hyperlink" Target="mailto:mperez@gmail.com" TargetMode="Externa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347137-C156-49DD-BADB-E502DAB602CC}">
  <sheetPr codeName="Productos">
    <tabColor theme="4" tint="0.39997558519241921"/>
  </sheetPr>
  <dimension ref="A2:C57"/>
  <sheetViews>
    <sheetView workbookViewId="0">
      <selection activeCell="C5" sqref="C5"/>
    </sheetView>
  </sheetViews>
  <sheetFormatPr baseColWidth="10" defaultRowHeight="14.4" x14ac:dyDescent="0.3"/>
  <cols>
    <col min="1" max="1" width="11.19921875" style="2"/>
    <col min="2" max="2" width="58" style="2" bestFit="1" customWidth="1"/>
    <col min="3" max="3" width="11.19921875" style="17"/>
    <col min="4" max="16384" width="11.19921875" style="2"/>
  </cols>
  <sheetData>
    <row r="2" spans="1:3" ht="23.4" x14ac:dyDescent="0.45">
      <c r="A2" s="11" t="s">
        <v>133</v>
      </c>
    </row>
    <row r="3" spans="1:3" ht="9.6" customHeight="1" x14ac:dyDescent="0.3"/>
    <row r="4" spans="1:3" x14ac:dyDescent="0.3">
      <c r="A4" s="13" t="s">
        <v>19</v>
      </c>
      <c r="B4" s="13" t="s">
        <v>30</v>
      </c>
      <c r="C4" s="18" t="s">
        <v>135</v>
      </c>
    </row>
    <row r="5" spans="1:3" x14ac:dyDescent="0.3">
      <c r="A5" s="5" t="s">
        <v>31</v>
      </c>
      <c r="B5" s="2" t="s">
        <v>32</v>
      </c>
      <c r="C5" s="17">
        <v>13</v>
      </c>
    </row>
    <row r="6" spans="1:3" x14ac:dyDescent="0.3">
      <c r="A6" s="5" t="s">
        <v>33</v>
      </c>
      <c r="B6" s="2" t="s">
        <v>34</v>
      </c>
      <c r="C6" s="17">
        <v>12</v>
      </c>
    </row>
    <row r="7" spans="1:3" x14ac:dyDescent="0.3">
      <c r="A7" s="5" t="s">
        <v>35</v>
      </c>
      <c r="B7" s="2" t="s">
        <v>36</v>
      </c>
      <c r="C7" s="17">
        <v>10</v>
      </c>
    </row>
    <row r="8" spans="1:3" x14ac:dyDescent="0.3">
      <c r="A8" s="5" t="s">
        <v>37</v>
      </c>
      <c r="B8" s="2" t="s">
        <v>38</v>
      </c>
      <c r="C8" s="17">
        <v>14</v>
      </c>
    </row>
    <row r="9" spans="1:3" x14ac:dyDescent="0.3">
      <c r="A9" s="5" t="s">
        <v>39</v>
      </c>
      <c r="B9" s="2" t="s">
        <v>40</v>
      </c>
      <c r="C9" s="17">
        <v>13</v>
      </c>
    </row>
    <row r="10" spans="1:3" x14ac:dyDescent="0.3">
      <c r="A10" s="5">
        <v>854</v>
      </c>
      <c r="B10" s="2" t="s">
        <v>41</v>
      </c>
      <c r="C10" s="17">
        <v>15</v>
      </c>
    </row>
    <row r="11" spans="1:3" x14ac:dyDescent="0.3">
      <c r="A11" s="5" t="s">
        <v>42</v>
      </c>
      <c r="B11" s="2" t="s">
        <v>43</v>
      </c>
      <c r="C11" s="17">
        <v>9</v>
      </c>
    </row>
    <row r="12" spans="1:3" x14ac:dyDescent="0.3">
      <c r="A12" s="5" t="s">
        <v>44</v>
      </c>
      <c r="B12" s="2" t="s">
        <v>45</v>
      </c>
      <c r="C12" s="17">
        <v>9</v>
      </c>
    </row>
    <row r="13" spans="1:3" x14ac:dyDescent="0.3">
      <c r="A13" s="5" t="s">
        <v>46</v>
      </c>
      <c r="B13" s="2" t="s">
        <v>47</v>
      </c>
      <c r="C13" s="17">
        <v>14</v>
      </c>
    </row>
    <row r="14" spans="1:3" x14ac:dyDescent="0.3">
      <c r="A14" s="5" t="s">
        <v>48</v>
      </c>
      <c r="B14" s="2" t="s">
        <v>49</v>
      </c>
      <c r="C14" s="17">
        <v>11</v>
      </c>
    </row>
    <row r="15" spans="1:3" x14ac:dyDescent="0.3">
      <c r="A15" s="5" t="s">
        <v>50</v>
      </c>
      <c r="B15" s="2" t="s">
        <v>51</v>
      </c>
      <c r="C15" s="17">
        <v>13</v>
      </c>
    </row>
    <row r="16" spans="1:3" x14ac:dyDescent="0.3">
      <c r="A16" s="5" t="s">
        <v>52</v>
      </c>
      <c r="B16" s="2" t="s">
        <v>53</v>
      </c>
      <c r="C16" s="17">
        <v>9</v>
      </c>
    </row>
    <row r="17" spans="1:3" x14ac:dyDescent="0.3">
      <c r="A17" s="5" t="s">
        <v>54</v>
      </c>
      <c r="B17" s="2" t="s">
        <v>55</v>
      </c>
      <c r="C17" s="17">
        <v>14</v>
      </c>
    </row>
    <row r="18" spans="1:3" x14ac:dyDescent="0.3">
      <c r="A18" s="12">
        <v>1825</v>
      </c>
      <c r="B18" s="2" t="s">
        <v>56</v>
      </c>
      <c r="C18" s="17">
        <v>11</v>
      </c>
    </row>
    <row r="19" spans="1:3" x14ac:dyDescent="0.3">
      <c r="A19" s="5" t="s">
        <v>57</v>
      </c>
      <c r="B19" s="2" t="s">
        <v>58</v>
      </c>
      <c r="C19" s="17">
        <v>12</v>
      </c>
    </row>
    <row r="20" spans="1:3" x14ac:dyDescent="0.3">
      <c r="A20" s="5" t="s">
        <v>59</v>
      </c>
      <c r="B20" s="2" t="s">
        <v>60</v>
      </c>
      <c r="C20" s="17">
        <v>13</v>
      </c>
    </row>
    <row r="21" spans="1:3" x14ac:dyDescent="0.3">
      <c r="A21" s="5" t="s">
        <v>61</v>
      </c>
      <c r="B21" s="2" t="s">
        <v>62</v>
      </c>
      <c r="C21" s="17">
        <v>14</v>
      </c>
    </row>
    <row r="22" spans="1:3" x14ac:dyDescent="0.3">
      <c r="A22" s="5" t="s">
        <v>63</v>
      </c>
      <c r="B22" s="2" t="s">
        <v>64</v>
      </c>
      <c r="C22" s="17">
        <v>13</v>
      </c>
    </row>
    <row r="23" spans="1:3" x14ac:dyDescent="0.3">
      <c r="A23" s="5" t="s">
        <v>65</v>
      </c>
      <c r="B23" s="2" t="s">
        <v>66</v>
      </c>
      <c r="C23" s="17">
        <v>14</v>
      </c>
    </row>
    <row r="24" spans="1:3" x14ac:dyDescent="0.3">
      <c r="A24" s="5" t="s">
        <v>67</v>
      </c>
      <c r="B24" s="2" t="s">
        <v>68</v>
      </c>
      <c r="C24" s="17">
        <v>9</v>
      </c>
    </row>
    <row r="25" spans="1:3" x14ac:dyDescent="0.3">
      <c r="A25" s="5" t="s">
        <v>69</v>
      </c>
      <c r="B25" s="2" t="s">
        <v>70</v>
      </c>
      <c r="C25" s="17">
        <v>9</v>
      </c>
    </row>
    <row r="26" spans="1:3" x14ac:dyDescent="0.3">
      <c r="A26" s="5" t="s">
        <v>71</v>
      </c>
      <c r="B26" s="2" t="s">
        <v>72</v>
      </c>
      <c r="C26" s="17">
        <v>15</v>
      </c>
    </row>
    <row r="27" spans="1:3" x14ac:dyDescent="0.3">
      <c r="A27" s="5" t="s">
        <v>73</v>
      </c>
      <c r="B27" s="2" t="s">
        <v>74</v>
      </c>
      <c r="C27" s="17">
        <v>12</v>
      </c>
    </row>
    <row r="28" spans="1:3" x14ac:dyDescent="0.3">
      <c r="A28" s="5" t="s">
        <v>75</v>
      </c>
      <c r="B28" s="2" t="s">
        <v>76</v>
      </c>
      <c r="C28" s="17">
        <v>13</v>
      </c>
    </row>
    <row r="29" spans="1:3" x14ac:dyDescent="0.3">
      <c r="A29" s="5" t="s">
        <v>77</v>
      </c>
      <c r="B29" s="2" t="s">
        <v>78</v>
      </c>
      <c r="C29" s="17">
        <v>13</v>
      </c>
    </row>
    <row r="30" spans="1:3" x14ac:dyDescent="0.3">
      <c r="A30" s="5" t="s">
        <v>79</v>
      </c>
      <c r="B30" s="2" t="s">
        <v>80</v>
      </c>
      <c r="C30" s="17">
        <v>15</v>
      </c>
    </row>
    <row r="31" spans="1:3" x14ac:dyDescent="0.3">
      <c r="A31" s="5" t="s">
        <v>81</v>
      </c>
      <c r="B31" s="2" t="s">
        <v>82</v>
      </c>
      <c r="C31" s="17">
        <v>10</v>
      </c>
    </row>
    <row r="32" spans="1:3" x14ac:dyDescent="0.3">
      <c r="A32" s="5" t="s">
        <v>83</v>
      </c>
      <c r="B32" s="2" t="s">
        <v>84</v>
      </c>
      <c r="C32" s="17">
        <v>11</v>
      </c>
    </row>
    <row r="33" spans="1:3" x14ac:dyDescent="0.3">
      <c r="A33" s="5" t="s">
        <v>85</v>
      </c>
      <c r="B33" s="2" t="s">
        <v>86</v>
      </c>
      <c r="C33" s="17">
        <v>15</v>
      </c>
    </row>
    <row r="34" spans="1:3" x14ac:dyDescent="0.3">
      <c r="A34" s="5" t="s">
        <v>87</v>
      </c>
      <c r="B34" s="2" t="s">
        <v>88</v>
      </c>
      <c r="C34" s="17">
        <v>9</v>
      </c>
    </row>
    <row r="35" spans="1:3" x14ac:dyDescent="0.3">
      <c r="A35" s="5" t="s">
        <v>89</v>
      </c>
      <c r="B35" s="2" t="s">
        <v>90</v>
      </c>
      <c r="C35" s="17">
        <v>9</v>
      </c>
    </row>
    <row r="36" spans="1:3" x14ac:dyDescent="0.3">
      <c r="A36" s="5" t="s">
        <v>91</v>
      </c>
      <c r="B36" s="2" t="s">
        <v>92</v>
      </c>
      <c r="C36" s="17">
        <v>9</v>
      </c>
    </row>
    <row r="37" spans="1:3" x14ac:dyDescent="0.3">
      <c r="A37" s="5" t="s">
        <v>93</v>
      </c>
      <c r="B37" s="2" t="s">
        <v>94</v>
      </c>
      <c r="C37" s="17">
        <v>11</v>
      </c>
    </row>
    <row r="38" spans="1:3" x14ac:dyDescent="0.3">
      <c r="A38" s="5" t="s">
        <v>95</v>
      </c>
      <c r="B38" s="2" t="s">
        <v>96</v>
      </c>
      <c r="C38" s="17">
        <v>11</v>
      </c>
    </row>
    <row r="39" spans="1:3" x14ac:dyDescent="0.3">
      <c r="A39" s="5" t="s">
        <v>97</v>
      </c>
      <c r="B39" s="2" t="s">
        <v>98</v>
      </c>
      <c r="C39" s="17">
        <v>13</v>
      </c>
    </row>
    <row r="40" spans="1:3" x14ac:dyDescent="0.3">
      <c r="A40" s="5" t="s">
        <v>99</v>
      </c>
      <c r="B40" s="2" t="s">
        <v>100</v>
      </c>
      <c r="C40" s="17">
        <v>10</v>
      </c>
    </row>
    <row r="41" spans="1:3" x14ac:dyDescent="0.3">
      <c r="A41" s="5" t="s">
        <v>101</v>
      </c>
      <c r="B41" s="2" t="s">
        <v>102</v>
      </c>
      <c r="C41" s="17">
        <v>9</v>
      </c>
    </row>
    <row r="42" spans="1:3" x14ac:dyDescent="0.3">
      <c r="A42" s="5" t="s">
        <v>103</v>
      </c>
      <c r="B42" s="2" t="s">
        <v>104</v>
      </c>
      <c r="C42" s="17">
        <v>11</v>
      </c>
    </row>
    <row r="43" spans="1:3" x14ac:dyDescent="0.3">
      <c r="A43" s="5" t="s">
        <v>105</v>
      </c>
      <c r="B43" s="2" t="s">
        <v>106</v>
      </c>
      <c r="C43" s="17">
        <v>9</v>
      </c>
    </row>
    <row r="44" spans="1:3" x14ac:dyDescent="0.3">
      <c r="A44" s="5" t="s">
        <v>107</v>
      </c>
      <c r="B44" s="2" t="s">
        <v>108</v>
      </c>
      <c r="C44" s="17">
        <v>13</v>
      </c>
    </row>
    <row r="45" spans="1:3" x14ac:dyDescent="0.3">
      <c r="A45" s="5" t="s">
        <v>109</v>
      </c>
      <c r="B45" s="2" t="s">
        <v>110</v>
      </c>
      <c r="C45" s="17">
        <v>11</v>
      </c>
    </row>
    <row r="46" spans="1:3" x14ac:dyDescent="0.3">
      <c r="A46" s="5" t="s">
        <v>111</v>
      </c>
      <c r="B46" s="2" t="s">
        <v>112</v>
      </c>
      <c r="C46" s="17">
        <v>15</v>
      </c>
    </row>
    <row r="47" spans="1:3" x14ac:dyDescent="0.3">
      <c r="A47" s="5" t="s">
        <v>113</v>
      </c>
      <c r="B47" s="2" t="s">
        <v>114</v>
      </c>
      <c r="C47" s="17">
        <v>9</v>
      </c>
    </row>
    <row r="48" spans="1:3" x14ac:dyDescent="0.3">
      <c r="A48" s="5">
        <v>150</v>
      </c>
      <c r="B48" s="2" t="s">
        <v>115</v>
      </c>
      <c r="C48" s="17">
        <v>13</v>
      </c>
    </row>
    <row r="49" spans="1:3" x14ac:dyDescent="0.3">
      <c r="A49" s="5" t="s">
        <v>116</v>
      </c>
      <c r="B49" s="2" t="s">
        <v>117</v>
      </c>
      <c r="C49" s="17">
        <v>11</v>
      </c>
    </row>
    <row r="50" spans="1:3" x14ac:dyDescent="0.3">
      <c r="A50" s="5" t="s">
        <v>118</v>
      </c>
      <c r="B50" s="2" t="s">
        <v>119</v>
      </c>
      <c r="C50" s="17">
        <v>9</v>
      </c>
    </row>
    <row r="51" spans="1:3" x14ac:dyDescent="0.3">
      <c r="A51" s="5" t="s">
        <v>120</v>
      </c>
      <c r="B51" s="2" t="s">
        <v>121</v>
      </c>
      <c r="C51" s="17">
        <v>10</v>
      </c>
    </row>
    <row r="52" spans="1:3" x14ac:dyDescent="0.3">
      <c r="A52" s="5" t="s">
        <v>122</v>
      </c>
      <c r="B52" s="2" t="s">
        <v>123</v>
      </c>
      <c r="C52" s="17">
        <v>14</v>
      </c>
    </row>
    <row r="53" spans="1:3" x14ac:dyDescent="0.3">
      <c r="A53" s="5" t="s">
        <v>124</v>
      </c>
      <c r="B53" s="2" t="s">
        <v>125</v>
      </c>
      <c r="C53" s="17">
        <v>10</v>
      </c>
    </row>
    <row r="54" spans="1:3" x14ac:dyDescent="0.3">
      <c r="A54" s="5">
        <v>442</v>
      </c>
      <c r="B54" s="2" t="s">
        <v>126</v>
      </c>
      <c r="C54" s="17">
        <v>13</v>
      </c>
    </row>
    <row r="55" spans="1:3" x14ac:dyDescent="0.3">
      <c r="A55" s="5" t="s">
        <v>127</v>
      </c>
      <c r="B55" s="2" t="s">
        <v>128</v>
      </c>
      <c r="C55" s="17">
        <v>10</v>
      </c>
    </row>
    <row r="56" spans="1:3" x14ac:dyDescent="0.3">
      <c r="A56" s="5" t="s">
        <v>129</v>
      </c>
      <c r="B56" s="2" t="s">
        <v>130</v>
      </c>
      <c r="C56" s="17">
        <v>13</v>
      </c>
    </row>
    <row r="57" spans="1:3" x14ac:dyDescent="0.3">
      <c r="A57" s="5" t="s">
        <v>131</v>
      </c>
      <c r="B57" s="2" t="s">
        <v>132</v>
      </c>
      <c r="C57" s="17">
        <v>10</v>
      </c>
    </row>
  </sheetData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12D92F-6D51-4720-A523-FE58D0BCF4A6}">
  <sheetPr codeName="Proveedor">
    <tabColor theme="4" tint="0.39997558519241921"/>
  </sheetPr>
  <dimension ref="A2:F7"/>
  <sheetViews>
    <sheetView zoomScale="90" zoomScaleNormal="90" workbookViewId="0">
      <selection activeCell="G8" sqref="G8"/>
    </sheetView>
  </sheetViews>
  <sheetFormatPr baseColWidth="10" defaultRowHeight="14.4" x14ac:dyDescent="0.3"/>
  <cols>
    <col min="1" max="1" width="8" style="2" bestFit="1" customWidth="1"/>
    <col min="2" max="2" width="28.19921875" style="2" customWidth="1"/>
    <col min="3" max="3" width="32.69921875" style="2" customWidth="1"/>
    <col min="4" max="4" width="14.59765625" style="2" customWidth="1"/>
    <col min="5" max="5" width="13.8984375" style="2" customWidth="1"/>
    <col min="6" max="6" width="24.69921875" style="2" customWidth="1"/>
    <col min="7" max="16384" width="11.19921875" style="2"/>
  </cols>
  <sheetData>
    <row r="2" spans="1:6" ht="23.4" x14ac:dyDescent="0.45">
      <c r="A2" s="11" t="s">
        <v>154</v>
      </c>
    </row>
    <row r="3" spans="1:6" ht="7.2" customHeight="1" x14ac:dyDescent="0.3"/>
    <row r="4" spans="1:6" x14ac:dyDescent="0.3">
      <c r="A4" s="13" t="s">
        <v>152</v>
      </c>
      <c r="B4" s="13" t="s">
        <v>153</v>
      </c>
      <c r="C4" s="13" t="s">
        <v>141</v>
      </c>
      <c r="D4" s="13" t="s">
        <v>142</v>
      </c>
      <c r="E4" s="13" t="s">
        <v>143</v>
      </c>
      <c r="F4" s="13" t="s">
        <v>144</v>
      </c>
    </row>
    <row r="5" spans="1:6" x14ac:dyDescent="0.3">
      <c r="A5" s="5">
        <v>1</v>
      </c>
      <c r="B5" s="2" t="s">
        <v>145</v>
      </c>
      <c r="C5" s="2" t="s">
        <v>146</v>
      </c>
      <c r="D5" s="5" t="s">
        <v>147</v>
      </c>
      <c r="E5" s="2" t="s">
        <v>148</v>
      </c>
      <c r="F5" s="20" t="s">
        <v>149</v>
      </c>
    </row>
    <row r="6" spans="1:6" x14ac:dyDescent="0.3">
      <c r="A6" s="5">
        <v>2</v>
      </c>
      <c r="B6" s="2" t="s">
        <v>150</v>
      </c>
      <c r="C6" s="2" t="s">
        <v>146</v>
      </c>
      <c r="D6" s="5" t="s">
        <v>147</v>
      </c>
      <c r="E6" s="2" t="s">
        <v>148</v>
      </c>
      <c r="F6" s="20" t="s">
        <v>151</v>
      </c>
    </row>
    <row r="7" spans="1:6" x14ac:dyDescent="0.3">
      <c r="A7" s="5"/>
      <c r="D7" s="5"/>
    </row>
  </sheetData>
  <hyperlinks>
    <hyperlink ref="F5" r:id="rId1" xr:uid="{852F15B3-AC0C-4F50-8680-6F9FC91FC2EA}"/>
    <hyperlink ref="F6" r:id="rId2" xr:uid="{851C4262-1E10-4A6C-88B8-5E2B1D1C7384}"/>
  </hyperlinks>
  <pageMargins left="0.7" right="0.7" top="0.75" bottom="0.75" header="0.3" footer="0.3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A75191-BA6C-4B6E-8C8F-2A4E2F52FF1D}">
  <sheetPr codeName="OC">
    <tabColor theme="4" tint="0.39997558519241921"/>
    <pageSetUpPr fitToPage="1"/>
  </sheetPr>
  <dimension ref="B2:L59"/>
  <sheetViews>
    <sheetView showGridLines="0" tabSelected="1" zoomScaleNormal="100" zoomScaleSheetLayoutView="98" workbookViewId="0">
      <selection activeCell="F5" sqref="F5"/>
    </sheetView>
  </sheetViews>
  <sheetFormatPr baseColWidth="10" defaultColWidth="9" defaultRowHeight="14.4" x14ac:dyDescent="0.3"/>
  <cols>
    <col min="1" max="1" width="1.19921875" style="1" customWidth="1"/>
    <col min="2" max="2" width="11.796875" style="1" customWidth="1"/>
    <col min="3" max="3" width="22" style="1" customWidth="1"/>
    <col min="4" max="4" width="13.3984375" style="1" customWidth="1"/>
    <col min="5" max="5" width="10.796875" style="1" customWidth="1"/>
    <col min="6" max="6" width="12.09765625" style="1" customWidth="1"/>
    <col min="7" max="7" width="10.3984375" style="1" customWidth="1"/>
    <col min="8" max="8" width="3.5" style="1" customWidth="1"/>
    <col min="9" max="9" width="16.796875" style="1" customWidth="1"/>
    <col min="10" max="10" width="1" style="1" customWidth="1"/>
    <col min="11" max="11" width="9" style="1"/>
    <col min="12" max="12" width="24.296875" style="1" customWidth="1"/>
    <col min="13" max="16384" width="9" style="1"/>
  </cols>
  <sheetData>
    <row r="2" spans="2:12" ht="28.8" x14ac:dyDescent="0.55000000000000004">
      <c r="B2" s="51" t="s">
        <v>10</v>
      </c>
      <c r="C2" s="51"/>
      <c r="D2" s="51"/>
      <c r="E2" s="51"/>
      <c r="I2" s="24" t="s">
        <v>0</v>
      </c>
      <c r="J2" s="25"/>
    </row>
    <row r="3" spans="2:12" x14ac:dyDescent="0.3">
      <c r="B3" s="6" t="s">
        <v>8</v>
      </c>
      <c r="H3" s="26" t="s">
        <v>11</v>
      </c>
      <c r="I3" s="27">
        <v>44404</v>
      </c>
    </row>
    <row r="4" spans="2:12" x14ac:dyDescent="0.3">
      <c r="B4" s="6" t="s">
        <v>5</v>
      </c>
      <c r="H4" s="26" t="s">
        <v>12</v>
      </c>
      <c r="I4" s="7">
        <v>1</v>
      </c>
    </row>
    <row r="5" spans="2:12" ht="15" thickBot="1" x14ac:dyDescent="0.35">
      <c r="B5" s="6" t="s">
        <v>7</v>
      </c>
    </row>
    <row r="6" spans="2:12" ht="15" thickTop="1" x14ac:dyDescent="0.3">
      <c r="B6" s="6" t="s">
        <v>9</v>
      </c>
      <c r="L6" s="40"/>
    </row>
    <row r="7" spans="2:12" x14ac:dyDescent="0.3">
      <c r="B7" s="6" t="s">
        <v>6</v>
      </c>
      <c r="L7" s="41"/>
    </row>
    <row r="8" spans="2:12" ht="5.4" customHeight="1" x14ac:dyDescent="0.3">
      <c r="L8" s="41"/>
    </row>
    <row r="9" spans="2:12" s="31" customFormat="1" ht="15.6" x14ac:dyDescent="0.3">
      <c r="B9" s="28" t="s">
        <v>14</v>
      </c>
      <c r="C9" s="29"/>
      <c r="D9" s="29"/>
      <c r="E9" s="30"/>
      <c r="F9" s="46" t="s">
        <v>15</v>
      </c>
      <c r="G9" s="46"/>
      <c r="H9" s="46"/>
      <c r="I9" s="46"/>
      <c r="J9" s="30"/>
      <c r="L9" s="42"/>
    </row>
    <row r="10" spans="2:12" x14ac:dyDescent="0.3">
      <c r="B10" s="6" t="s">
        <v>136</v>
      </c>
      <c r="F10" s="6" t="s">
        <v>136</v>
      </c>
      <c r="L10" s="41"/>
    </row>
    <row r="11" spans="2:12" x14ac:dyDescent="0.3">
      <c r="B11" s="6" t="s">
        <v>137</v>
      </c>
      <c r="F11" s="6" t="s">
        <v>137</v>
      </c>
      <c r="L11" s="41"/>
    </row>
    <row r="12" spans="2:12" x14ac:dyDescent="0.3">
      <c r="B12" s="6" t="s">
        <v>138</v>
      </c>
      <c r="F12" s="6" t="s">
        <v>138</v>
      </c>
      <c r="L12" s="41"/>
    </row>
    <row r="13" spans="2:12" x14ac:dyDescent="0.3">
      <c r="B13" s="6" t="s">
        <v>139</v>
      </c>
      <c r="F13" s="6" t="s">
        <v>139</v>
      </c>
      <c r="L13" s="41"/>
    </row>
    <row r="14" spans="2:12" x14ac:dyDescent="0.3">
      <c r="B14" s="6" t="s">
        <v>140</v>
      </c>
      <c r="F14" s="6" t="s">
        <v>140</v>
      </c>
      <c r="L14" s="41"/>
    </row>
    <row r="15" spans="2:12" ht="10.199999999999999" customHeight="1" x14ac:dyDescent="0.3">
      <c r="L15" s="41"/>
    </row>
    <row r="16" spans="2:12" ht="15" thickBot="1" x14ac:dyDescent="0.35">
      <c r="B16" s="49" t="s">
        <v>23</v>
      </c>
      <c r="C16" s="50"/>
      <c r="D16" s="49" t="s">
        <v>25</v>
      </c>
      <c r="E16" s="50"/>
      <c r="F16" s="49" t="s">
        <v>24</v>
      </c>
      <c r="G16" s="53"/>
      <c r="H16" s="53"/>
      <c r="I16" s="50"/>
      <c r="L16" s="43"/>
    </row>
    <row r="17" spans="2:9" ht="15" thickTop="1" x14ac:dyDescent="0.3">
      <c r="B17" s="47"/>
      <c r="C17" s="47"/>
      <c r="D17" s="48"/>
      <c r="E17" s="48"/>
      <c r="F17" s="55"/>
      <c r="G17" s="56"/>
      <c r="H17" s="56"/>
      <c r="I17" s="57"/>
    </row>
    <row r="18" spans="2:9" ht="10.199999999999999" customHeight="1" x14ac:dyDescent="0.3"/>
    <row r="19" spans="2:9" x14ac:dyDescent="0.3">
      <c r="B19" s="32" t="s">
        <v>19</v>
      </c>
      <c r="C19" s="49" t="s">
        <v>20</v>
      </c>
      <c r="D19" s="53"/>
      <c r="E19" s="50"/>
      <c r="F19" s="32" t="s">
        <v>21</v>
      </c>
      <c r="G19" s="32" t="s">
        <v>22</v>
      </c>
      <c r="H19" s="32" t="s">
        <v>27</v>
      </c>
      <c r="I19" s="32" t="s">
        <v>4</v>
      </c>
    </row>
    <row r="20" spans="2:9" x14ac:dyDescent="0.3">
      <c r="B20" s="3"/>
      <c r="C20" s="21"/>
      <c r="D20" s="22"/>
      <c r="E20" s="23"/>
      <c r="F20" s="19"/>
      <c r="G20" s="4"/>
      <c r="H20" s="19"/>
      <c r="I20" s="39" t="str">
        <f>IF(B20&lt;&gt;"",F20*G20,"")</f>
        <v/>
      </c>
    </row>
    <row r="21" spans="2:9" x14ac:dyDescent="0.3">
      <c r="B21" s="3"/>
      <c r="C21" s="21"/>
      <c r="D21" s="22"/>
      <c r="E21" s="23"/>
      <c r="F21" s="19"/>
      <c r="G21" s="4"/>
      <c r="H21" s="19"/>
      <c r="I21" s="39" t="str">
        <f t="shared" ref="I21:I39" si="0">IF(B21&lt;&gt;"",F21*G21,"")</f>
        <v/>
      </c>
    </row>
    <row r="22" spans="2:9" x14ac:dyDescent="0.3">
      <c r="B22" s="3"/>
      <c r="C22" s="21"/>
      <c r="D22" s="22"/>
      <c r="E22" s="23"/>
      <c r="F22" s="19"/>
      <c r="G22" s="4"/>
      <c r="H22" s="19"/>
      <c r="I22" s="39" t="str">
        <f t="shared" si="0"/>
        <v/>
      </c>
    </row>
    <row r="23" spans="2:9" x14ac:dyDescent="0.3">
      <c r="B23" s="3"/>
      <c r="C23" s="21"/>
      <c r="D23" s="22"/>
      <c r="E23" s="23"/>
      <c r="F23" s="19"/>
      <c r="G23" s="4"/>
      <c r="H23" s="19"/>
      <c r="I23" s="39" t="str">
        <f t="shared" si="0"/>
        <v/>
      </c>
    </row>
    <row r="24" spans="2:9" x14ac:dyDescent="0.3">
      <c r="B24" s="3"/>
      <c r="C24" s="21"/>
      <c r="D24" s="22"/>
      <c r="E24" s="23"/>
      <c r="F24" s="19"/>
      <c r="G24" s="4"/>
      <c r="H24" s="19"/>
      <c r="I24" s="39" t="str">
        <f t="shared" si="0"/>
        <v/>
      </c>
    </row>
    <row r="25" spans="2:9" x14ac:dyDescent="0.3">
      <c r="B25" s="3"/>
      <c r="C25" s="21"/>
      <c r="D25" s="22"/>
      <c r="E25" s="23"/>
      <c r="F25" s="19"/>
      <c r="G25" s="4"/>
      <c r="H25" s="19"/>
      <c r="I25" s="39" t="str">
        <f t="shared" si="0"/>
        <v/>
      </c>
    </row>
    <row r="26" spans="2:9" x14ac:dyDescent="0.3">
      <c r="B26" s="3"/>
      <c r="C26" s="21"/>
      <c r="D26" s="22"/>
      <c r="E26" s="23"/>
      <c r="F26" s="19"/>
      <c r="G26" s="4"/>
      <c r="H26" s="19"/>
      <c r="I26" s="39" t="str">
        <f t="shared" si="0"/>
        <v/>
      </c>
    </row>
    <row r="27" spans="2:9" x14ac:dyDescent="0.3">
      <c r="B27" s="3"/>
      <c r="C27" s="21"/>
      <c r="D27" s="22"/>
      <c r="E27" s="23"/>
      <c r="F27" s="19"/>
      <c r="G27" s="4"/>
      <c r="H27" s="19"/>
      <c r="I27" s="39" t="str">
        <f t="shared" si="0"/>
        <v/>
      </c>
    </row>
    <row r="28" spans="2:9" x14ac:dyDescent="0.3">
      <c r="B28" s="3"/>
      <c r="C28" s="21"/>
      <c r="D28" s="22"/>
      <c r="E28" s="23"/>
      <c r="F28" s="19"/>
      <c r="G28" s="4"/>
      <c r="H28" s="19"/>
      <c r="I28" s="39" t="str">
        <f t="shared" si="0"/>
        <v/>
      </c>
    </row>
    <row r="29" spans="2:9" x14ac:dyDescent="0.3">
      <c r="B29" s="3"/>
      <c r="C29" s="21"/>
      <c r="D29" s="22"/>
      <c r="E29" s="23"/>
      <c r="F29" s="19"/>
      <c r="G29" s="4"/>
      <c r="H29" s="19"/>
      <c r="I29" s="39" t="str">
        <f t="shared" si="0"/>
        <v/>
      </c>
    </row>
    <row r="30" spans="2:9" x14ac:dyDescent="0.3">
      <c r="B30" s="3"/>
      <c r="C30" s="21"/>
      <c r="D30" s="22"/>
      <c r="E30" s="23"/>
      <c r="F30" s="19"/>
      <c r="G30" s="4"/>
      <c r="H30" s="19"/>
      <c r="I30" s="39" t="str">
        <f t="shared" si="0"/>
        <v/>
      </c>
    </row>
    <row r="31" spans="2:9" x14ac:dyDescent="0.3">
      <c r="B31" s="3"/>
      <c r="C31" s="21"/>
      <c r="D31" s="22"/>
      <c r="E31" s="23"/>
      <c r="F31" s="19"/>
      <c r="G31" s="4"/>
      <c r="H31" s="19"/>
      <c r="I31" s="39" t="str">
        <f t="shared" si="0"/>
        <v/>
      </c>
    </row>
    <row r="32" spans="2:9" x14ac:dyDescent="0.3">
      <c r="B32" s="3"/>
      <c r="C32" s="21"/>
      <c r="D32" s="22"/>
      <c r="E32" s="23"/>
      <c r="F32" s="19"/>
      <c r="G32" s="4"/>
      <c r="H32" s="19"/>
      <c r="I32" s="39" t="str">
        <f t="shared" si="0"/>
        <v/>
      </c>
    </row>
    <row r="33" spans="2:11" x14ac:dyDescent="0.3">
      <c r="B33" s="3"/>
      <c r="C33" s="21"/>
      <c r="D33" s="22"/>
      <c r="E33" s="23"/>
      <c r="F33" s="19"/>
      <c r="G33" s="4"/>
      <c r="H33" s="19"/>
      <c r="I33" s="39" t="str">
        <f t="shared" si="0"/>
        <v/>
      </c>
    </row>
    <row r="34" spans="2:11" x14ac:dyDescent="0.3">
      <c r="B34" s="3"/>
      <c r="C34" s="21"/>
      <c r="D34" s="22"/>
      <c r="E34" s="23"/>
      <c r="F34" s="19"/>
      <c r="G34" s="4"/>
      <c r="H34" s="19"/>
      <c r="I34" s="39" t="str">
        <f t="shared" si="0"/>
        <v/>
      </c>
    </row>
    <row r="35" spans="2:11" x14ac:dyDescent="0.3">
      <c r="B35" s="3"/>
      <c r="C35" s="21"/>
      <c r="D35" s="22"/>
      <c r="E35" s="23"/>
      <c r="F35" s="19"/>
      <c r="G35" s="4"/>
      <c r="H35" s="19"/>
      <c r="I35" s="39" t="str">
        <f t="shared" si="0"/>
        <v/>
      </c>
    </row>
    <row r="36" spans="2:11" x14ac:dyDescent="0.3">
      <c r="B36" s="3"/>
      <c r="C36" s="21"/>
      <c r="D36" s="22"/>
      <c r="E36" s="23"/>
      <c r="F36" s="19"/>
      <c r="G36" s="4"/>
      <c r="H36" s="19"/>
      <c r="I36" s="39" t="str">
        <f t="shared" si="0"/>
        <v/>
      </c>
    </row>
    <row r="37" spans="2:11" x14ac:dyDescent="0.3">
      <c r="B37" s="3"/>
      <c r="C37" s="21"/>
      <c r="D37" s="22"/>
      <c r="E37" s="23"/>
      <c r="F37" s="19"/>
      <c r="G37" s="4"/>
      <c r="H37" s="19"/>
      <c r="I37" s="39" t="str">
        <f t="shared" si="0"/>
        <v/>
      </c>
    </row>
    <row r="38" spans="2:11" x14ac:dyDescent="0.3">
      <c r="B38" s="3"/>
      <c r="C38" s="21"/>
      <c r="D38" s="22"/>
      <c r="E38" s="23"/>
      <c r="F38" s="19"/>
      <c r="G38" s="4"/>
      <c r="H38" s="19"/>
      <c r="I38" s="39" t="str">
        <f t="shared" si="0"/>
        <v/>
      </c>
    </row>
    <row r="39" spans="2:11" x14ac:dyDescent="0.3">
      <c r="B39" s="3"/>
      <c r="C39" s="21"/>
      <c r="D39" s="22"/>
      <c r="E39" s="23"/>
      <c r="F39" s="19"/>
      <c r="G39" s="4"/>
      <c r="H39" s="19"/>
      <c r="I39" s="39" t="str">
        <f t="shared" si="0"/>
        <v/>
      </c>
    </row>
    <row r="40" spans="2:11" ht="5.4" customHeight="1" x14ac:dyDescent="0.3">
      <c r="G40" s="6"/>
      <c r="H40" s="6"/>
      <c r="I40" s="6"/>
    </row>
    <row r="41" spans="2:11" x14ac:dyDescent="0.3">
      <c r="B41" s="60" t="s">
        <v>26</v>
      </c>
      <c r="C41" s="60"/>
      <c r="D41" s="60"/>
      <c r="E41" s="60"/>
      <c r="G41" s="58" t="s">
        <v>1</v>
      </c>
      <c r="H41" s="58"/>
      <c r="I41" s="33">
        <f>SUM(I20:I39)</f>
        <v>0</v>
      </c>
    </row>
    <row r="42" spans="2:11" x14ac:dyDescent="0.3">
      <c r="B42" s="62"/>
      <c r="C42" s="62"/>
      <c r="D42" s="62"/>
      <c r="E42" s="62"/>
      <c r="G42" s="59" t="s">
        <v>28</v>
      </c>
      <c r="H42" s="59"/>
      <c r="I42" s="33">
        <f>SUMIF(H20:H39,"x",I20:I39)</f>
        <v>0</v>
      </c>
    </row>
    <row r="43" spans="2:11" x14ac:dyDescent="0.3">
      <c r="B43" s="62"/>
      <c r="C43" s="62"/>
      <c r="D43" s="62"/>
      <c r="E43" s="62"/>
      <c r="G43" s="59" t="s">
        <v>2</v>
      </c>
      <c r="H43" s="59"/>
      <c r="I43" s="33">
        <f>+I42*0.13</f>
        <v>0</v>
      </c>
    </row>
    <row r="44" spans="2:11" x14ac:dyDescent="0.3">
      <c r="B44" s="62"/>
      <c r="C44" s="62"/>
      <c r="D44" s="62"/>
      <c r="E44" s="62"/>
      <c r="G44" s="59" t="s">
        <v>3</v>
      </c>
      <c r="H44" s="59"/>
      <c r="I44" s="34">
        <v>150</v>
      </c>
    </row>
    <row r="45" spans="2:11" ht="15" thickBot="1" x14ac:dyDescent="0.35">
      <c r="B45" s="62"/>
      <c r="C45" s="62"/>
      <c r="D45" s="62"/>
      <c r="E45" s="62"/>
      <c r="G45" s="61" t="s">
        <v>29</v>
      </c>
      <c r="H45" s="61"/>
      <c r="I45" s="10">
        <v>20</v>
      </c>
    </row>
    <row r="46" spans="2:11" x14ac:dyDescent="0.3">
      <c r="B46" s="62"/>
      <c r="C46" s="62"/>
      <c r="D46" s="62"/>
      <c r="E46" s="62"/>
      <c r="G46" s="35" t="s">
        <v>4</v>
      </c>
      <c r="H46" s="35"/>
      <c r="I46" s="36">
        <f>+I41+I43+I44+I45</f>
        <v>170</v>
      </c>
    </row>
    <row r="48" spans="2:11" x14ac:dyDescent="0.3">
      <c r="B48" s="6"/>
      <c r="C48" s="6"/>
      <c r="D48" s="6"/>
      <c r="E48" s="6"/>
      <c r="F48" s="6"/>
      <c r="G48" s="6"/>
      <c r="H48" s="6"/>
      <c r="I48" s="6"/>
      <c r="J48" s="6"/>
      <c r="K48" s="6"/>
    </row>
    <row r="49" spans="2:11" x14ac:dyDescent="0.3">
      <c r="B49" s="37"/>
      <c r="C49" s="8"/>
      <c r="D49" s="8"/>
      <c r="E49" s="9"/>
      <c r="F49" s="37"/>
      <c r="G49" s="37"/>
      <c r="H49" s="37"/>
      <c r="I49" s="37"/>
      <c r="J49" s="6"/>
      <c r="K49" s="6"/>
    </row>
    <row r="50" spans="2:11" x14ac:dyDescent="0.3">
      <c r="B50" s="44" t="s">
        <v>13</v>
      </c>
      <c r="C50" s="52" t="s">
        <v>155</v>
      </c>
      <c r="D50" s="52"/>
      <c r="E50" s="9"/>
      <c r="F50" s="45" t="s">
        <v>156</v>
      </c>
      <c r="G50" s="52" t="s">
        <v>157</v>
      </c>
      <c r="H50" s="52"/>
      <c r="I50" s="52"/>
      <c r="J50" s="6"/>
      <c r="K50" s="6"/>
    </row>
    <row r="51" spans="2:11" ht="12.6" customHeight="1" x14ac:dyDescent="0.3">
      <c r="B51" s="6"/>
      <c r="C51" s="6"/>
      <c r="D51" s="6"/>
      <c r="E51" s="6"/>
      <c r="F51" s="6"/>
      <c r="G51" s="6"/>
      <c r="H51" s="6"/>
      <c r="I51" s="6"/>
      <c r="J51" s="6"/>
      <c r="K51" s="6"/>
    </row>
    <row r="52" spans="2:11" x14ac:dyDescent="0.3">
      <c r="B52" s="38" t="s">
        <v>18</v>
      </c>
      <c r="C52" s="6"/>
      <c r="D52" s="6"/>
      <c r="E52" s="6"/>
      <c r="F52" s="6"/>
      <c r="G52" s="6"/>
      <c r="H52" s="6"/>
      <c r="I52" s="6"/>
      <c r="J52" s="6"/>
      <c r="K52" s="6"/>
    </row>
    <row r="53" spans="2:11" x14ac:dyDescent="0.3">
      <c r="B53" s="6"/>
      <c r="C53" s="6"/>
      <c r="D53" s="6"/>
      <c r="E53" s="6"/>
      <c r="F53" s="6"/>
      <c r="G53" s="6"/>
      <c r="H53" s="6"/>
      <c r="I53" s="6"/>
      <c r="J53" s="6"/>
      <c r="K53" s="6"/>
    </row>
    <row r="54" spans="2:11" x14ac:dyDescent="0.3">
      <c r="B54" s="37"/>
      <c r="C54" s="37"/>
      <c r="D54" s="37"/>
      <c r="E54" s="37"/>
      <c r="F54" s="37"/>
      <c r="G54" s="37"/>
      <c r="H54" s="37"/>
      <c r="I54" s="37"/>
      <c r="J54" s="6"/>
      <c r="K54" s="6"/>
    </row>
    <row r="55" spans="2:11" x14ac:dyDescent="0.3">
      <c r="B55" s="52" t="s">
        <v>16</v>
      </c>
      <c r="C55" s="52"/>
      <c r="D55" s="52"/>
      <c r="E55" s="52"/>
      <c r="F55" s="52"/>
      <c r="G55" s="52"/>
      <c r="H55" s="52"/>
      <c r="I55" s="52"/>
      <c r="J55" s="6"/>
      <c r="K55" s="6"/>
    </row>
    <row r="56" spans="2:11" x14ac:dyDescent="0.3">
      <c r="B56" s="54" t="s">
        <v>17</v>
      </c>
      <c r="C56" s="54"/>
      <c r="D56" s="54"/>
      <c r="E56" s="54"/>
      <c r="F56" s="54"/>
      <c r="G56" s="54"/>
      <c r="H56" s="54"/>
      <c r="I56" s="54"/>
      <c r="J56" s="6"/>
      <c r="K56" s="6"/>
    </row>
    <row r="57" spans="2:11" x14ac:dyDescent="0.3">
      <c r="B57" s="6"/>
      <c r="C57" s="6"/>
      <c r="D57" s="6"/>
      <c r="E57" s="6"/>
      <c r="F57" s="6"/>
      <c r="G57" s="6"/>
      <c r="H57" s="6"/>
      <c r="I57" s="6"/>
      <c r="J57" s="6"/>
      <c r="K57" s="6"/>
    </row>
    <row r="58" spans="2:11" x14ac:dyDescent="0.3">
      <c r="B58" s="6"/>
      <c r="C58" s="6"/>
      <c r="D58" s="6"/>
      <c r="E58" s="6"/>
      <c r="F58" s="6"/>
      <c r="G58" s="6"/>
      <c r="H58" s="6"/>
      <c r="I58" s="6"/>
      <c r="J58" s="6"/>
      <c r="K58" s="6"/>
    </row>
    <row r="59" spans="2:11" x14ac:dyDescent="0.3">
      <c r="B59" s="6"/>
      <c r="C59" s="6"/>
      <c r="D59" s="6"/>
      <c r="E59" s="6"/>
      <c r="F59" s="6"/>
      <c r="G59" s="6"/>
      <c r="H59" s="6"/>
      <c r="I59" s="6"/>
      <c r="J59" s="6"/>
      <c r="K59" s="6"/>
    </row>
  </sheetData>
  <sheetProtection algorithmName="SHA-512" hashValue="mEpT1nG/OitF0RoaPQlqZcJC5GJ8YmuBJ6AgInIzjyemFQ1VU2SZIdDqgJH+wBQUt2ja1gSlCfQMB2vqazASfQ==" saltValue="IuyLi5ffhjF8m6UPXQBSkw==" spinCount="100000" sheet="1" scenarios="1" formatCells="0" formatColumns="0" formatRows="0"/>
  <mergeCells count="20">
    <mergeCell ref="C50:D50"/>
    <mergeCell ref="C19:E19"/>
    <mergeCell ref="B55:I55"/>
    <mergeCell ref="B56:I56"/>
    <mergeCell ref="F16:I16"/>
    <mergeCell ref="D16:E16"/>
    <mergeCell ref="G50:I50"/>
    <mergeCell ref="F17:I17"/>
    <mergeCell ref="G41:H41"/>
    <mergeCell ref="G42:H42"/>
    <mergeCell ref="B41:E41"/>
    <mergeCell ref="G43:H43"/>
    <mergeCell ref="G44:H44"/>
    <mergeCell ref="G45:H45"/>
    <mergeCell ref="B42:E46"/>
    <mergeCell ref="F9:I9"/>
    <mergeCell ref="B17:C17"/>
    <mergeCell ref="D17:E17"/>
    <mergeCell ref="B16:C16"/>
    <mergeCell ref="B2:E2"/>
  </mergeCells>
  <pageMargins left="0.34" right="0.23622047244094491" top="0.31496062992125984" bottom="0.21" header="0.31496062992125984" footer="0.26"/>
  <pageSetup scale="8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8DAC02-3AA2-4802-8E8C-F8B836FFE8C2}">
  <sheetPr codeName="Calculos">
    <tabColor theme="4" tint="0.39997558519241921"/>
  </sheetPr>
  <dimension ref="A4:E7"/>
  <sheetViews>
    <sheetView workbookViewId="0">
      <selection activeCell="D6" sqref="D6"/>
    </sheetView>
  </sheetViews>
  <sheetFormatPr baseColWidth="10" defaultRowHeight="14.4" x14ac:dyDescent="0.3"/>
  <cols>
    <col min="1" max="16384" width="11.19921875" style="2"/>
  </cols>
  <sheetData>
    <row r="4" spans="1:5" x14ac:dyDescent="0.3">
      <c r="A4" s="15" t="s">
        <v>19</v>
      </c>
      <c r="B4" s="16" t="s">
        <v>136</v>
      </c>
    </row>
    <row r="5" spans="1:5" x14ac:dyDescent="0.3">
      <c r="A5" s="15" t="s">
        <v>134</v>
      </c>
      <c r="B5" s="16">
        <f>IFERROR(IFERROR(MATCH(B4,Productos!A:A,0),MATCH(TEXT(B4,"@"),Productos!A:A,0)),0)</f>
        <v>0</v>
      </c>
    </row>
    <row r="7" spans="1:5" x14ac:dyDescent="0.3">
      <c r="E7" s="1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2</vt:i4>
      </vt:variant>
    </vt:vector>
  </HeadingPairs>
  <TitlesOfParts>
    <vt:vector size="5" baseType="lpstr">
      <vt:lpstr>Productos</vt:lpstr>
      <vt:lpstr>Proveedor</vt:lpstr>
      <vt:lpstr>Orden de compra</vt:lpstr>
      <vt:lpstr>'Orden de compra'!Área_de_impresión</vt:lpstr>
      <vt:lpstr>Limpiar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Torres</dc:creator>
  <cp:lastModifiedBy>Luis Torres</cp:lastModifiedBy>
  <cp:lastPrinted>2021-07-31T22:50:02Z</cp:lastPrinted>
  <dcterms:created xsi:type="dcterms:W3CDTF">2021-07-28T03:02:44Z</dcterms:created>
  <dcterms:modified xsi:type="dcterms:W3CDTF">2021-07-31T22:55:37Z</dcterms:modified>
</cp:coreProperties>
</file>