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F:\PLANTILLAS YOUTUBE\FORMATO DE COTIZACION DE PRECIOS\"/>
    </mc:Choice>
  </mc:AlternateContent>
  <xr:revisionPtr revIDLastSave="0" documentId="13_ncr:1_{E1783014-C1B5-4443-956E-B8A7C8A458D4}" xr6:coauthVersionLast="45" xr6:coauthVersionMax="45" xr10:uidLastSave="{00000000-0000-0000-0000-000000000000}"/>
  <bookViews>
    <workbookView showSheetTabs="0" xWindow="-120" yWindow="-120" windowWidth="20730" windowHeight="11160" activeTab="3" xr2:uid="{DF49A433-6F63-4A65-9632-E2317FB401BB}"/>
  </bookViews>
  <sheets>
    <sheet name="Productos" sheetId="1" r:id="rId1"/>
    <sheet name="Clientes" sheetId="10" r:id="rId2"/>
    <sheet name="pag1" sheetId="9" r:id="rId3"/>
    <sheet name="Menu" sheetId="12" r:id="rId4"/>
  </sheets>
  <definedNames>
    <definedName name="_xlnm.Print_Area" localSheetId="2">'pag1'!$A$1:$G$59</definedName>
    <definedName name="SEGMENTOS">OFFSET(Productos!$A$2,0,0,COUNTA(Productos!$A:$A),COUNTA(Productos!$1:$1))</definedName>
    <definedName name="valuevx">42.314159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3" i="9" l="1"/>
  <c r="E43" i="9" s="1"/>
  <c r="D42" i="9"/>
  <c r="E42" i="9" s="1"/>
  <c r="D41" i="9"/>
  <c r="E41" i="9" s="1"/>
  <c r="D40" i="9"/>
  <c r="E40" i="9" s="1"/>
  <c r="D39" i="9"/>
  <c r="E39" i="9" s="1"/>
  <c r="D38" i="9"/>
  <c r="E38" i="9" s="1"/>
  <c r="D37" i="9"/>
  <c r="E37" i="9" s="1"/>
  <c r="D36" i="9"/>
  <c r="E36" i="9" s="1"/>
  <c r="D35" i="9"/>
  <c r="E35" i="9" s="1"/>
  <c r="D34" i="9"/>
  <c r="E34" i="9" s="1"/>
  <c r="D33" i="9"/>
  <c r="E33" i="9" s="1"/>
  <c r="D32" i="9"/>
  <c r="E32" i="9" s="1"/>
  <c r="D31" i="9"/>
  <c r="E31" i="9" s="1"/>
  <c r="D30" i="9"/>
  <c r="E30" i="9" s="1"/>
  <c r="D29" i="9"/>
  <c r="E29" i="9" s="1"/>
  <c r="D28" i="9"/>
  <c r="E28" i="9" s="1"/>
  <c r="D27" i="9"/>
  <c r="E27" i="9" s="1"/>
  <c r="D26" i="9"/>
  <c r="E26" i="9" s="1"/>
  <c r="D25" i="9"/>
  <c r="E25" i="9" s="1"/>
  <c r="D24" i="9"/>
  <c r="E24" i="9" s="1"/>
  <c r="D23" i="9"/>
  <c r="E23" i="9" s="1"/>
  <c r="D22" i="9"/>
  <c r="E22" i="9" s="1"/>
  <c r="D21" i="9"/>
  <c r="E21" i="9" s="1"/>
  <c r="D20" i="9"/>
  <c r="E20" i="9" s="1"/>
  <c r="D19" i="9"/>
  <c r="E19" i="9" s="1"/>
  <c r="D18" i="9"/>
  <c r="E18" i="9" s="1"/>
  <c r="D17" i="9"/>
  <c r="E17" i="9" s="1"/>
  <c r="F20" i="9" l="1"/>
  <c r="G20" i="9" s="1"/>
  <c r="F32" i="9"/>
  <c r="G32" i="9" s="1"/>
  <c r="F40" i="9"/>
  <c r="G40" i="9" s="1"/>
  <c r="F21" i="9"/>
  <c r="G21" i="9" s="1"/>
  <c r="F25" i="9"/>
  <c r="G25" i="9" s="1"/>
  <c r="F29" i="9"/>
  <c r="G29" i="9" s="1"/>
  <c r="F33" i="9"/>
  <c r="G33" i="9" s="1"/>
  <c r="F37" i="9"/>
  <c r="G37" i="9" s="1"/>
  <c r="F41" i="9"/>
  <c r="G41" i="9" s="1"/>
  <c r="F24" i="9"/>
  <c r="G24" i="9" s="1"/>
  <c r="F36" i="9"/>
  <c r="G36" i="9" s="1"/>
  <c r="F18" i="9"/>
  <c r="G18" i="9" s="1"/>
  <c r="F22" i="9"/>
  <c r="G22" i="9" s="1"/>
  <c r="F26" i="9"/>
  <c r="G26" i="9" s="1"/>
  <c r="F30" i="9"/>
  <c r="G30" i="9" s="1"/>
  <c r="F34" i="9"/>
  <c r="G34" i="9" s="1"/>
  <c r="F38" i="9"/>
  <c r="G38" i="9" s="1"/>
  <c r="F42" i="9"/>
  <c r="G42" i="9" s="1"/>
  <c r="F28" i="9"/>
  <c r="G28" i="9" s="1"/>
  <c r="F19" i="9"/>
  <c r="G19" i="9" s="1"/>
  <c r="F23" i="9"/>
  <c r="G23" i="9" s="1"/>
  <c r="F27" i="9"/>
  <c r="G27" i="9" s="1"/>
  <c r="F31" i="9"/>
  <c r="G31" i="9" s="1"/>
  <c r="F35" i="9"/>
  <c r="G35" i="9" s="1"/>
  <c r="F39" i="9"/>
  <c r="G39" i="9" s="1"/>
  <c r="F43" i="9"/>
  <c r="G43" i="9" s="1"/>
  <c r="F17" i="9"/>
  <c r="G17" i="9" s="1"/>
  <c r="F16" i="9"/>
  <c r="A58" i="9" l="1"/>
  <c r="M2" i="9"/>
  <c r="A14" i="9" l="1"/>
  <c r="A13" i="9"/>
  <c r="A12" i="9"/>
  <c r="A11" i="9"/>
  <c r="A10" i="9"/>
  <c r="G46" i="9" l="1"/>
  <c r="G47" i="9" l="1"/>
  <c r="G48" i="9" s="1"/>
</calcChain>
</file>

<file path=xl/sharedStrings.xml><?xml version="1.0" encoding="utf-8"?>
<sst xmlns="http://schemas.openxmlformats.org/spreadsheetml/2006/main" count="1138" uniqueCount="1132">
  <si>
    <t>Teléfono</t>
  </si>
  <si>
    <t>CODIGO</t>
  </si>
  <si>
    <t>ARTICULO</t>
  </si>
  <si>
    <t>MENUDEO</t>
  </si>
  <si>
    <t>MAYOREO</t>
  </si>
  <si>
    <t>LED1W12USBRT</t>
  </si>
  <si>
    <t>COTIZACIÓN</t>
  </si>
  <si>
    <t>FECHA</t>
  </si>
  <si>
    <t>Sitio Web: tudominio.com</t>
  </si>
  <si>
    <t>COTIZACIÓN #</t>
  </si>
  <si>
    <t>CLIENTE ID</t>
  </si>
  <si>
    <t>VALIDO HASTA</t>
  </si>
  <si>
    <t>Asesor de venta: [Nombre del vendedor]</t>
  </si>
  <si>
    <t>CLIENTE</t>
  </si>
  <si>
    <t>DESCRIPCIÓN</t>
  </si>
  <si>
    <t>CANT.</t>
  </si>
  <si>
    <t>TOTAL</t>
  </si>
  <si>
    <t>[42]</t>
  </si>
  <si>
    <t>Subtotal</t>
  </si>
  <si>
    <t>TÉRMINOS Y CONDICIONES</t>
  </si>
  <si>
    <t xml:space="preserve">Total Impuesto </t>
  </si>
  <si>
    <t>La aceptación del cliente (firmar a continuación):</t>
  </si>
  <si>
    <t>x ___________________________________________</t>
  </si>
  <si>
    <t>Si usted tiene alguna pregunta sobre esta cotización, por favor, póngase en contacto con nosotros</t>
  </si>
  <si>
    <t>Gracias por hacer negocios con nosotros!</t>
  </si>
  <si>
    <t>EMPRESA XYZ</t>
  </si>
  <si>
    <t>Id Cliente</t>
  </si>
  <si>
    <t>Nombre de Cliente</t>
  </si>
  <si>
    <t>Ciudad</t>
  </si>
  <si>
    <t>Dirección</t>
  </si>
  <si>
    <t>Email</t>
  </si>
  <si>
    <t>María Eugenia Perez</t>
  </si>
  <si>
    <t>Av. 90, Calle 3, Bloc 1</t>
  </si>
  <si>
    <t>San Salvador</t>
  </si>
  <si>
    <t>7125-3225</t>
  </si>
  <si>
    <t>Christofer Miguel Andubar</t>
  </si>
  <si>
    <t>6° Av. 91, Calle El Amigo, # 25-2</t>
  </si>
  <si>
    <t>Ciudad: San Salvdor</t>
  </si>
  <si>
    <t>Teléfono: 2535-2575</t>
  </si>
  <si>
    <t>mperez@gmail.com</t>
  </si>
  <si>
    <t>cmiguel@gmail.com</t>
  </si>
  <si>
    <t>ABRAZADERA DE 9 PZS AJUSTABLE PIT BULL TOOLS</t>
  </si>
  <si>
    <t>ACEITERA 125CC MAR-RAM FLEXIBLE</t>
  </si>
  <si>
    <t>ACEITERA 500CC MAR-RAM FLEXIBLE</t>
  </si>
  <si>
    <t>ACEITERA MAR-RAM 200CC PROFESIONAL</t>
  </si>
  <si>
    <t>ACEITERA MAR-RAM 300CC PROFESIONAL</t>
  </si>
  <si>
    <t>ADAPTADOR 3 PZS MAR-RAM</t>
  </si>
  <si>
    <t>ADAPTADOR 3 PZS MAR-RAM IMPACTO</t>
  </si>
  <si>
    <t>ADAPTADOR 3/4 A 1/2 MAR-RAM REDUCCION</t>
  </si>
  <si>
    <t>ADAPTADOR MAR-RAM 2 PZS 3/8A1/4 1/2A3/8</t>
  </si>
  <si>
    <t>AFINACION 4 PZS 1/2 MAR-RAM PROFESIONAL</t>
  </si>
  <si>
    <t>AFINACION 4 PZS FLEXIBLE MAR-RAM 1/2 MAT</t>
  </si>
  <si>
    <t>ARCO P/CALAR 5 SEGUETAS RAM-TOOLS</t>
  </si>
  <si>
    <t>ARCO P/SEGUETA MAR-RAM CUADRADO M/AMARIL</t>
  </si>
  <si>
    <t>ARCO P/SEGUETA MINI ECONOMICO *</t>
  </si>
  <si>
    <t>ASPERSOR GRIRATORIO MAR-RAM</t>
  </si>
  <si>
    <t>AUTOCLER 15 PZS MAR-RAM ENT 3/4 ASTRIADO</t>
  </si>
  <si>
    <t>AUTOCLER 15 PZS MAR-RAM ENTRADA DE 3/4</t>
  </si>
  <si>
    <t>AUTOCLER 16 PZS MAR-RAM PROF MILIMETRICO</t>
  </si>
  <si>
    <t>AUTOCLER 17 PZS 1/4" MAR-RAM MM. ROJO</t>
  </si>
  <si>
    <t>AUTOCLER 17 PZS 1/4" MAR-RAM STD AZUL</t>
  </si>
  <si>
    <t>AUTOCLER 21 PZS MAR-RAM ENTRADA DE 3/4"</t>
  </si>
  <si>
    <t>AUTOCLER 25 PZS MAR-RAM PROF HOGAR/ CHIC</t>
  </si>
  <si>
    <t>AUTOCLER 25 PZS MAR-RAM PROFE USO TALLER</t>
  </si>
  <si>
    <t>AUTOCLER 25 PZS MAR-RAM SK25</t>
  </si>
  <si>
    <t>AUTOCLER 40 PZS MAR-RAM 1/4", 3/8"</t>
  </si>
  <si>
    <t>AUTOCLER 52 PZS MAR-RAM PROFESINAL</t>
  </si>
  <si>
    <t>AUTOCLER 75 PZS MAR-RAM (1/4,3/8,1/2)</t>
  </si>
  <si>
    <t>AVELLANADOR 7 PZS RAM-TOOLS</t>
  </si>
  <si>
    <t>BANDOLA CON DESTORCEDOR MAR-RAM 1 PZ 5/8"</t>
  </si>
  <si>
    <t>BANDOLA DE ALUMINIO 2 PZS 7MM BR COLORES</t>
  </si>
  <si>
    <t>BANDOLA GIRATORIA CIERRE RAPIDO 1" GANCHO FIJO</t>
  </si>
  <si>
    <t>BANDOLA GIRATORIA DESTORCEDOR 1"</t>
  </si>
  <si>
    <t>BANDOLA TIPO PERA ALUMINIO 8X80MM C/SEGURO MAR-RAM</t>
  </si>
  <si>
    <t>BANDOLA TIPO PERA NO. 6X60MM C/SEGURO MAR-RAM</t>
  </si>
  <si>
    <t>BANDOLA TIPO PERA NO. 6X60MM MAR-RAM</t>
  </si>
  <si>
    <t>BANDOLA TIPO PERA NO. 7X70MM C/SEGURO MAR-RAM</t>
  </si>
  <si>
    <t>BANDOLA TIPO PERA NO. 7X70MM MAR-RAM</t>
  </si>
  <si>
    <t>BANDOLA TIPO PERA NO. 8X80MM C/SEGURO MAR-RAM</t>
  </si>
  <si>
    <t>BANDOLA TIPO PERA NO. 8X80MM MAR-RAM</t>
  </si>
  <si>
    <t>BANDOLA TIPO PERA NO. 9X90MM C/SEGURO MAR-RAM</t>
  </si>
  <si>
    <t>BANDOLA TIPO PERA NO. 9X90MM MAR-RAM</t>
  </si>
  <si>
    <t>BANDOLA TIPO PERA NO.10X100MM C/SEGURO MAR-RAM</t>
  </si>
  <si>
    <t>BANDOLA TIPO PERA NO.12X140MM C/SEGURO MAR-RAM</t>
  </si>
  <si>
    <t>BERBIQUI ECONOMICO #12</t>
  </si>
  <si>
    <t>BOMBA DE MANO 10" MAR-RAM BALONERA</t>
  </si>
  <si>
    <t>BOMBA DE MANO 15" MAR-RAM</t>
  </si>
  <si>
    <t>BOMBA DE MANO 20" MAR-RAM BP20MR</t>
  </si>
  <si>
    <t>BOMBA DE PIE MAR-RAM BAPMR</t>
  </si>
  <si>
    <t>BOMBA DE SIFON PLASTICA P/GAS MAR-RAM</t>
  </si>
  <si>
    <t>BOMBA EXTRACTORA DE LIQUIDOS MAR-RAM</t>
  </si>
  <si>
    <t>BOZAL PARA PERRO NO.5 MAR-RAM</t>
  </si>
  <si>
    <t>BOZAL PARA PERRO NO.6 MAR-RAM</t>
  </si>
  <si>
    <t>BOZAL PARA PERRO NO.7 MAR-RAM</t>
  </si>
  <si>
    <t>BROCA JGO 4 PZS MAR-RAM 4X12 CONCRET</t>
  </si>
  <si>
    <t>BROCA JGO 4 PZS MAR-RAM 4X6 CONCRETO</t>
  </si>
  <si>
    <t>BROCA JGO 4 PZS MAR-RAM CONCRETO BLISTE</t>
  </si>
  <si>
    <t>BROCA JGO 5 PZS MAR-RAM METAL COBALTO</t>
  </si>
  <si>
    <t>BROCA JGO 5 PZS MAR-RAM METAL NEGRAS</t>
  </si>
  <si>
    <t>BROCA JGO 6 PZS MAR-RAM P/MADERA</t>
  </si>
  <si>
    <t>BROCA JGO 9 PZS MAR-RAM MIX MET-CON-MAD</t>
  </si>
  <si>
    <t>BROCA MANITA 6 PZS STD. MAR-RAM</t>
  </si>
  <si>
    <t>BROCA MANITA 7 PZAS MM.</t>
  </si>
  <si>
    <t>BROCA P/CONCRETO 1/2 X 12" TUGSTENO MAR RAM</t>
  </si>
  <si>
    <t>BROCA P/CONCRETO 5/8X12" TUGSTENO MAR RAM</t>
  </si>
  <si>
    <t>BROCA P/CONCRETO 9/16X12" TUGSTENO MAR RAM</t>
  </si>
  <si>
    <t>BROCA P/MADERA TIPO GUSANO 1/2 X 8"</t>
  </si>
  <si>
    <t>BROCA P/MADERA TIPO GUSANO 5/8 X 8"</t>
  </si>
  <si>
    <t>BROCA P/MADERA TIPO GUSANO 6 PZAS</t>
  </si>
  <si>
    <t>BROCA P/MADERA TIPO GUSANO 9/16X 8"</t>
  </si>
  <si>
    <t>CABLE ACERO MAR-RAM MULTIUSOS 12 MMX2MTS</t>
  </si>
  <si>
    <t>CABLE ACERO PARA BICICLETA 5/16X24 BR</t>
  </si>
  <si>
    <t>CABLE ACERO PARA BICICLETA 5/16X36 MAR-R</t>
  </si>
  <si>
    <t>CABLE CON CANDADO PARA BICICLETA 5/16</t>
  </si>
  <si>
    <t>CABLE PASA CORRIENTE CAL.10 MAR-RAM 2</t>
  </si>
  <si>
    <t>CABLE PASA CORRIENTE CAL.10 MAR-RAM 3.5M</t>
  </si>
  <si>
    <t>CABLE PASA CORRIENTE CAL.8 MAR-RAM 3.5MT</t>
  </si>
  <si>
    <t>CADENA CASTIGO 3 MAR-RAM 3546</t>
  </si>
  <si>
    <t>CADENA CASTIGO 4 MAR-RAM 60 CTM. 3547</t>
  </si>
  <si>
    <t>CADENA CASTIGO CON PUAS 3X50CM MAR-RAM</t>
  </si>
  <si>
    <t>CADENA CASTIGO CON PUAS 4X60CM MAR-RAM</t>
  </si>
  <si>
    <t>CADENA CASTIGO DOBLE NO.3 MAR-RAM</t>
  </si>
  <si>
    <t>CADENA CASTIGO DOBLE NO.4 MAR-RAM</t>
  </si>
  <si>
    <t>CADENA CASTIGO GRUESA NO.4 MAR-RAM</t>
  </si>
  <si>
    <t>CADENA DE SEGURIDAD MAR-RAM P/PUERTA *</t>
  </si>
  <si>
    <t>CADENA PASEO 3 MAR-RAM CP3MR</t>
  </si>
  <si>
    <t>CADENA PASEO 5 MAR-RAM DOBLE BANDOLA</t>
  </si>
  <si>
    <t>CADENA PASEO 6 MAR-RAM DOBLE BANDOLA</t>
  </si>
  <si>
    <t>CADENA PASEO CUERO 4" MAR-RAM</t>
  </si>
  <si>
    <t>CADENA PASEO CUERO 5" MAR-RAM</t>
  </si>
  <si>
    <t>CADENA PASEO CUERO 6" MAR-RAM</t>
  </si>
  <si>
    <t>CALIBRADOR CTT 2 BOCAS *</t>
  </si>
  <si>
    <t>CAMARA P/LLANTA NO.10 CURVA</t>
  </si>
  <si>
    <t>CAMARA P/LLANTA NO.10 MAR-RAM REFORZADA</t>
  </si>
  <si>
    <t>CANDADO CHICOTE MAR-RAM COMBINACION</t>
  </si>
  <si>
    <t>CANDADO CHICOTE MAR-RAM COMBINACION 15MMX2MTS</t>
  </si>
  <si>
    <t>CANDADO CHICOTE MAR-RAM LL/NORMAL ECONOM NO</t>
  </si>
  <si>
    <t>CANDADO CHICOTE MAR-RAM LL/NORMAL REFORZ</t>
  </si>
  <si>
    <t>CANDADO CHICOTE MAR-RAM LL/TUBULAR 15</t>
  </si>
  <si>
    <t>CANDADO CHICOTE MAR-RAM LL/TUBULAR 15MMX2MTS</t>
  </si>
  <si>
    <t>CANDADO CHICOTE MAR-RAM LL/TUBULAR 25X1M</t>
  </si>
  <si>
    <t>CANDADO CORTINA 50 MM MAR-RAM</t>
  </si>
  <si>
    <t>CANDADO DE ACERO TIPO "U" LLAVE TUBULAR MAR-RAM</t>
  </si>
  <si>
    <t>CANDADO HIERRO COLOR 30 LL/LATERAL</t>
  </si>
  <si>
    <t>CANDADO HIERRO NEGRO 20 *</t>
  </si>
  <si>
    <t>CANDADO HIERRO NEGRO 25 MM *</t>
  </si>
  <si>
    <t>CANDADO HIERRO NEGRO 30 MM *</t>
  </si>
  <si>
    <t>CANDADO HIERRO NEGRO 75 MM</t>
  </si>
  <si>
    <t>CANDADO MAR-RAM C/FORRO 50 MM AMARILLO</t>
  </si>
  <si>
    <t>CANDADO MAR-RAM C/FORRO 65 MM AMARILLO</t>
  </si>
  <si>
    <t>CANDADO MAR-RAM CUADRADO 4 LL/ABLO 45 MM</t>
  </si>
  <si>
    <t>CANDADO MAR-RAM DORADO 40 MM LL-CRUZ</t>
  </si>
  <si>
    <t>CANDADO MAR-RAM DORADO 50 MM LL-CRUZ</t>
  </si>
  <si>
    <t>CANDADO MAR-RAM DORADO 60 MM LL-CRUZ</t>
  </si>
  <si>
    <t>CANDADO MAR-RAM DORADO CARTERA 30 12 PZS</t>
  </si>
  <si>
    <t>CANDADO MAR-RAM DORADO CARTERA 30 40 50</t>
  </si>
  <si>
    <t>CANDADO MAR-RAM DORADO LL-LATERAL 25</t>
  </si>
  <si>
    <t>CANDADO MAR-RAM DORADO LL-LATERAL 35MM.</t>
  </si>
  <si>
    <t>CANDADO MAR-RAM DORADO NO.20 BRONCE PIEZA</t>
  </si>
  <si>
    <t>CANDADO MAR-RAM DORADO NO.25 BRONCE</t>
  </si>
  <si>
    <t>CANDADO MAR-RAM DORADO NO.30 BRONCE</t>
  </si>
  <si>
    <t>CANDADO MAR-RAM DORADO NO.35 BRONCE</t>
  </si>
  <si>
    <t>CANDADO MAR-RAM DORADO NO.40 BRONCE</t>
  </si>
  <si>
    <t>CANDADO MAR-RAM DORADO NO.45 * BRONCE</t>
  </si>
  <si>
    <t>CANDADO MAR-RAM DORADO NO.50 BRONCE</t>
  </si>
  <si>
    <t>CANDADO MAR-RAM DORADO NO.60 BRONCE</t>
  </si>
  <si>
    <t>CANDADO MAR-RAM LL/TUBULAR 40 MM</t>
  </si>
  <si>
    <t>CANDADO MAR-RAM LL/TUBULAR 50 MM</t>
  </si>
  <si>
    <t>CANDADO MAR-RAM LL/TUBULAR 60 MM</t>
  </si>
  <si>
    <t>CANDADO P/AUTO MAR-RAM M6003 LL/ESTRELLA</t>
  </si>
  <si>
    <t>CANDADO P/AUTO MAR-RAM M6005 LL/TUBULAR</t>
  </si>
  <si>
    <t>CEPILLO ALAMBRE WBS *</t>
  </si>
  <si>
    <t>CEPILLO MAR-RAM CARPINTERO NO.3 ASTRIADO</t>
  </si>
  <si>
    <t>CEPILLO MAR-RAM CARPINTERO NO.4 ASTRIADO</t>
  </si>
  <si>
    <t>CEPILLO MAR-RAM CARPINTERO NO.5 ASTRIADO</t>
  </si>
  <si>
    <t>CHAIRA ECONOMICA #10 MAR-RAM *</t>
  </si>
  <si>
    <t>CHAIRA ECONOMICA #8 MAR-RAM *</t>
  </si>
  <si>
    <t>CHAPA MAR-RAM T/800 LL/PLANA DERECHA</t>
  </si>
  <si>
    <t>CHAPA MAR-RAM T/800 LL/PLANA IZQUIERDA</t>
  </si>
  <si>
    <t>CHAPA MAR-RAM T/X900 LL/TETRA DERECHA</t>
  </si>
  <si>
    <t>CHAPA MAR-RAM T/X900 LL/TETRA IZQUIERDA</t>
  </si>
  <si>
    <t>CHAPA P/MUEBLE BR</t>
  </si>
  <si>
    <t>CHAPA P/RECA MAR-RAM COP S/FI DOR 5731PB</t>
  </si>
  <si>
    <t>CHAPA P/RECA RAM-TOOLS BOLA DORADA REFOR</t>
  </si>
  <si>
    <t>CHAPA P/RECAMARA JAI-3 MLOE BOLA COBRE</t>
  </si>
  <si>
    <t>CHAPA P/RECAMARA MAR-RAM BOLA DORADA</t>
  </si>
  <si>
    <t>CHAPA P/RECAMARA MAR-RAM BOLA ORO VIEJO</t>
  </si>
  <si>
    <t>CHAPA P/RECAMARA MAR-RAM ORO VIEJO COPA</t>
  </si>
  <si>
    <t>CHAPA P/RECAMARA RAM BOLA SATINADA AZUL</t>
  </si>
  <si>
    <t>CHAPA P/RECAMARA RAM-TOOLS BOLA COBRE AZ</t>
  </si>
  <si>
    <t>CHAPA P/RECAMARA RAM-TOOLS BOLA CROMADA</t>
  </si>
  <si>
    <t>CHAPA P/RECAMARA RAM-TOOLS COPA DORADA AZUL</t>
  </si>
  <si>
    <t>CHAPA P/RECAMARA RAM-TOOLS COPA DORADA BLANCA</t>
  </si>
  <si>
    <t>CHAPA P/RECAMARA RAM-TOOLS COPA SATINADA</t>
  </si>
  <si>
    <t>CHIFLON 5 1/2 MAR-RAM</t>
  </si>
  <si>
    <t>CINCHO MAR-RAM 100X2.5 MM 100PZ</t>
  </si>
  <si>
    <t>CINCHO MAR-RAM 150X2.5 100 PZAS.</t>
  </si>
  <si>
    <t>CINCHO MAR-RAM 2.5X20 CTM 100 PZS DELGAD</t>
  </si>
  <si>
    <t>CINCHO MAR-RAM 20CMX3.60 MM NEGRO 100 PZ</t>
  </si>
  <si>
    <t>CINCHO MAR-RAM 20CMX3.6MM 100 PZS BLANCO</t>
  </si>
  <si>
    <t>CINCHO MAR-RAM 300X4.8 MM 50 PZ CNB30-50</t>
  </si>
  <si>
    <t>CINCHO MAR-RAM 30CMX4.80MM NEGRO 50 PZS</t>
  </si>
  <si>
    <t>CINCHO MAR-RAM 37 CMX4.80MM 50 PZS</t>
  </si>
  <si>
    <t>CINCHO MAR-RAM 37CMX4.80 MM NEGRO 50 PZS</t>
  </si>
  <si>
    <t>CINCHO MAR-RAM 4.8MMX45CTM 50 PZS</t>
  </si>
  <si>
    <t>CINCHO MAR-RAM 45CMX48 MM NEGRO 50 PZS</t>
  </si>
  <si>
    <t>CINCHO MAR-RAM COLORES 100X2.5MM 150PZS</t>
  </si>
  <si>
    <t>CINCHO MAR-RAM COLORES 15CMX3.6MM 150PZS</t>
  </si>
  <si>
    <t>CINCHO MAR-RAM COLORES 20CMX3.6MM 150P</t>
  </si>
  <si>
    <t>CINCHO MAR-RAM COLORES MEDIDAS MIXTAS200</t>
  </si>
  <si>
    <t>CINTA AISLAR AMARILLA CHICA 12PZS MAR-RA</t>
  </si>
  <si>
    <t>CINTA AISLAR AMARILLA MAR-RAM 18X3/4</t>
  </si>
  <si>
    <t>CINTA AISLAR NARANJA MAR-RAM 18X3/4</t>
  </si>
  <si>
    <t>CINTA AISLAR NEGRA MAR-RAM 50 PZS.</t>
  </si>
  <si>
    <t>CINTA AISLAR NEGRA MAR-RAM.15MMX19MMX18M</t>
  </si>
  <si>
    <t>CINTA AISLAR ROJA CHICA 12PZS MAR-RAM</t>
  </si>
  <si>
    <t>CINTA CANELA 150 MTS MAR-RAM</t>
  </si>
  <si>
    <t>CINTA DUCTO 10 MTS MAR-RAM</t>
  </si>
  <si>
    <t>CINTA DUCTO 30 MTS MAR-RAM</t>
  </si>
  <si>
    <t>CINTA METRICA BR 66" BLISTER/PULGADAS.-</t>
  </si>
  <si>
    <t>CINTA METRICA WANSON 100" FIBRA OJO PULGADAS</t>
  </si>
  <si>
    <t>CINTA TEFLON 3/4 3 PZS MAR-RAM 260"</t>
  </si>
  <si>
    <t>CINTA TRANSPARENTE 50 MTS MAR-RAM</t>
  </si>
  <si>
    <t>CINTA TRANSPARENTE 150 MTS MAR-RAM</t>
  </si>
  <si>
    <t>CLAVIJA BISAGRA MAR-RAM TRIPLE</t>
  </si>
  <si>
    <t>CLAVIJA CONVERTIDORA 2 PZS MAR-RAM NARAN</t>
  </si>
  <si>
    <t>COLLAR P/PERRO NYLON NO.1 MAR-RAM</t>
  </si>
  <si>
    <t>COLLAR P/PERRO NYLON NO.2 MAR-RAM</t>
  </si>
  <si>
    <t>COLLAR P/PERRO NYLON NO.3 MAR-RAM</t>
  </si>
  <si>
    <t>CORREA CON RESORTE PARA PERRO NO.8</t>
  </si>
  <si>
    <t>CORREA DE ACERO PARA PERRO NO.3</t>
  </si>
  <si>
    <t>CORREA DE ACERO PARA PERRO NO.5</t>
  </si>
  <si>
    <t>CORREA DE ACERO PARA PERRO NO.6</t>
  </si>
  <si>
    <t>CORREA P/PERRO CON CADENA NO.3 MAR-RAM</t>
  </si>
  <si>
    <t>CORREA P/PERRO CON CADENA NO.5 MAR-RAM</t>
  </si>
  <si>
    <t>CORREA P/PERRO DE NYLON ACOLCHONADO NO.2</t>
  </si>
  <si>
    <t>CORREA P/PERRO NO.1 MAR-RAM REDONDA</t>
  </si>
  <si>
    <t>CORREA P/PERRO NO.3 MAR-RAM REDONDA</t>
  </si>
  <si>
    <t>CORREA P/PERRO NYLON ACOLCHONADA NO.3</t>
  </si>
  <si>
    <t>CORTA AZULEJO 300 MM CTT</t>
  </si>
  <si>
    <t>CORTA AZULEJO BIG ROC 3-1 400 MM</t>
  </si>
  <si>
    <t>CORTA AZULEJO BIG-ROC 3-1 460 MM</t>
  </si>
  <si>
    <t>CORTAPERNOS NO.18 MAR-RAM PROFESIONAL</t>
  </si>
  <si>
    <t>CORTAPERNOS NO.24 MAR-RAM PROFESIONAL</t>
  </si>
  <si>
    <t>CORTAPERNOS NO.30 MAR-RAM PROFESIONAL</t>
  </si>
  <si>
    <t>CORTAPERNOS NO.36 MAR-RAM PROFESIONAL</t>
  </si>
  <si>
    <t>CORTAPERNOS NO.42" MAR-RAM</t>
  </si>
  <si>
    <t>CUBIERTA P/TABLERO GRANDE 97X148CT MAR-</t>
  </si>
  <si>
    <t>CUTTER 3 PZS MAR-RAM</t>
  </si>
  <si>
    <t>DADO (1/2) 15 MM MAR-RAM LARGO</t>
  </si>
  <si>
    <t>DADO (1/2) 17 MM MAR-RAM LARGO</t>
  </si>
  <si>
    <t>DADO (1/2) 18 MM MAR-RAM LARGO</t>
  </si>
  <si>
    <t>DADO (1/2) 19 MM MAR-RAM LARGO</t>
  </si>
  <si>
    <t>DADO (1/2) 21 MM MAR-RAM LARGO</t>
  </si>
  <si>
    <t>DADO (1/2) 30 MM MAR-RAM LARGO</t>
  </si>
  <si>
    <t>DADO (1/2) 32 MM MAR-RAM LARGO</t>
  </si>
  <si>
    <t>DADO (1/2) 1" MAR-RAM LARGO</t>
  </si>
  <si>
    <t>DADO (1/2) 3/4 MAR-RAM LARGO</t>
  </si>
  <si>
    <t>DADO (3/8) 8 MM MAR-RAM LARGO</t>
  </si>
  <si>
    <t>DADO (3/8) 10 MM MAR-RAM LARGO</t>
  </si>
  <si>
    <t>DADO (3/8) 12 MM MAR-RAM LARGO</t>
  </si>
  <si>
    <t>DADO (3/8) 14 MM LARGO CAL-HAWK</t>
  </si>
  <si>
    <t>DADO CORTO 1 7/16 MAR-RAM</t>
  </si>
  <si>
    <t>DADO P/BUJIA (3/8) 13/16 MAR-RAM</t>
  </si>
  <si>
    <t>DADOS 9 PZS 1/2 MAR-RAM LARGOS STD</t>
  </si>
  <si>
    <t>DADOS 9 PZS 1/2" 8 DADOS Y 1 SOSTEN MAR</t>
  </si>
  <si>
    <t>DADOS 9 PZS 3/4 IMPACTO MAR-RAM CORTSTD</t>
  </si>
  <si>
    <t>DADOS 9 PZS 3/4 IMPACTO MAR-RAM LARG</t>
  </si>
  <si>
    <t>DADOS 9 PZS 3/8 XZN M4,5,6,8,10,12,14,16 MAR-RAM</t>
  </si>
  <si>
    <t>DADOS 10 PZS 1/2" 9 DADOS 1 SOSTEN MAR-R</t>
  </si>
  <si>
    <t>DADOS 10 PZS C/MANERAL 1/2 MM MAR-RAM</t>
  </si>
  <si>
    <t>DADOS 10 PZS C/MANERAL 1/2 STD MAR-RAM</t>
  </si>
  <si>
    <t>DADOS 11 PZS 1/2 CABEZA TORX MAR-RAM</t>
  </si>
  <si>
    <t>DADOS 11 PZS C/MATRACA 3/8" MAR-RAM PROF</t>
  </si>
  <si>
    <t>DADOS 12 PZS 1/2 DE IMPACTO STD LARGOS HEXAG MAR-RAM</t>
  </si>
  <si>
    <t>DADOS 12 PZS 1/2 IMPACTO MM LARGOS MAR-RAM</t>
  </si>
  <si>
    <t>DADOS 12 PZS 3/8" PUNTA TORX MAR-RAM PRO</t>
  </si>
  <si>
    <t>DADOS 12 PZS C/MATRACA 1/4" MAR-RAM</t>
  </si>
  <si>
    <t>DADOS 38 PZS IMPACTO 3/8-1/2 MAR-RAM</t>
  </si>
  <si>
    <t>DESARMADOR 2 PZS MAR-RAM JUMBO CRUZ PLA</t>
  </si>
  <si>
    <t>DESARMADOR 2 PZS MAR-RAM T/TROMPO PROFE</t>
  </si>
  <si>
    <t>DESARMADOR 4 PZS MAR-RAM PROFESIONAL</t>
  </si>
  <si>
    <t>DESARMADOR 6 PZS MAR-RAM ANTIDERRAPANTE</t>
  </si>
  <si>
    <t>DESARMADOR 6 PZS MAR-RAM C/SOSTEN PROFE</t>
  </si>
  <si>
    <t>DESARMADOR 6 PZS MAR-RAM NEGRO/ROJO</t>
  </si>
  <si>
    <t>DESARMADOR 6 PZS TORX MAR-RAM</t>
  </si>
  <si>
    <t>DESARMADOR 18 EN 1 BR ROJO Y AMARILL *</t>
  </si>
  <si>
    <t>DESARMADOR 18 PZS MAR-RAM C/SOSTEN PROFE</t>
  </si>
  <si>
    <t>DESARMADOR 32 PZS MAR-RAM RELOJERO</t>
  </si>
  <si>
    <t>DESARMADOR 50 PZS MAR-RAM PROFESIONAL</t>
  </si>
  <si>
    <t>DESARMADOR 79 PZS MAR-RAM PROFESIONAL</t>
  </si>
  <si>
    <t>DESARMADOR C/ANTENA Y PUNTAS 8 PZS MAR-R</t>
  </si>
  <si>
    <t>DESARMADOR CAJA 7 PZS NARANJA</t>
  </si>
  <si>
    <t>DESARMADOR CAJA 14 PZS RAM-TOOLS NARANJA</t>
  </si>
  <si>
    <t>DESARMADOR GOLPE 7 PZA AMARILLO MAR-RAM</t>
  </si>
  <si>
    <t>DESARMADOR GOLPE 7 PZA ROJO MAR-RAM NO</t>
  </si>
  <si>
    <t>DESARMADOR MAR-RAM 42 PZS C/PUNTAS Y MAN</t>
  </si>
  <si>
    <t>DESARMADOR MAR-RAM CRUZ 1/4X6" 2 ANTIDER</t>
  </si>
  <si>
    <t>DESARMADOR MAR-RAM CRUZ 3/16X6 ANTIDERRA</t>
  </si>
  <si>
    <t>DESARMADOR MAR-RAM CRUZ 3/16X6 GRIS</t>
  </si>
  <si>
    <t>DESARMADOR MAR-RAM EN "Z" 3 PZS (NUEVO) ROJO</t>
  </si>
  <si>
    <t>DESARMADOR MAR-RAM PLANO 1/4X4 GRIS</t>
  </si>
  <si>
    <t>DESARMADOR MAR-RAM PLANO 1/4X6" ANTIDERR</t>
  </si>
  <si>
    <t>DESARMADOR MAR-RAM PLANO 1/8X4 GRIS</t>
  </si>
  <si>
    <t>DESARMADOR MAR-RAM PLANO 3/16X4 GRIS</t>
  </si>
  <si>
    <t>DESARMADOR MAR-RAM PLANO 3/16X6 ANTIDERR</t>
  </si>
  <si>
    <t>DESARMADOR MAR-RAM PLANO 3/16X6 GRIS</t>
  </si>
  <si>
    <t>DESARMADOR MAR-RAM PLANO 5/16X6 ANTIDERR</t>
  </si>
  <si>
    <t>DESARMADOR MAR-RAM REVERSIBLE 23 PZS.</t>
  </si>
  <si>
    <t>DESARMADOR P/CELULAR 16 PZS MAR-RAM</t>
  </si>
  <si>
    <t>DESARMADOR P/CELULAR 9 PZS MAR-RAM</t>
  </si>
  <si>
    <t>DESARMADOR RELOJERO 11 PZS.*</t>
  </si>
  <si>
    <t>DESARMADOR RELOJERO 6 PZS MAR-RAM PROFES</t>
  </si>
  <si>
    <t>DESARMADOR T DE 22 PZA MAR-RAM PROFESION</t>
  </si>
  <si>
    <t>DESARMADOR TORX 6 PZS MAR-RAM 10 15 20 2</t>
  </si>
  <si>
    <t>DESARMADOR TORX 7 PZS MAR-RAM RELOJERO</t>
  </si>
  <si>
    <t>DIABLO MAR-RAM 90-110 K GRIS GRANDE</t>
  </si>
  <si>
    <t>DIABLO MAR-RAM CARRITO P/MANDADO LONA</t>
  </si>
  <si>
    <t>DIABLO MAR-RAM PLEGABLE 60-80 KG NEGRO</t>
  </si>
  <si>
    <t>EMBUDO 4 PZS MAR-RAM *</t>
  </si>
  <si>
    <t>ENCENDEDOR MAR-RAM NUEVO MODELO</t>
  </si>
  <si>
    <t>ENGRAPADORA DE IMPACTO 1/4 3/8 MAR-RAM</t>
  </si>
  <si>
    <t>ENGRAPADORA DE PARED PLASTICA MAR-RAM</t>
  </si>
  <si>
    <t>ESMERIL MAR-RAM 3/4 SUPER EXTRAREFORZADO</t>
  </si>
  <si>
    <t>ESTETOSCOPIO P/MECANICO</t>
  </si>
  <si>
    <t>EXTEN. BARRA 3 PZS.1/2 CHICA CTT MSPEB43</t>
  </si>
  <si>
    <t>EXTEN. BARRA 3 PZS.3/8 CHICA CTT ASPEB3</t>
  </si>
  <si>
    <t>EXTEN. BARRA 3 PZS.3/8 MAR-RAM 3"6"8"</t>
  </si>
  <si>
    <t>EXTEN. BARRA 4 PZS 1/2 MAR-RAM 3 6 9 12</t>
  </si>
  <si>
    <t>EXTEN. BARRA 4 PZS 1/2 MAR-RAM CRO VANAD</t>
  </si>
  <si>
    <t>EXTEN. BARRA 4 PZS 1/2 MAR-RAM PROFESION</t>
  </si>
  <si>
    <t>EXTEN. BARRA 4 PZS 1/4 MAR-RAM PROFESION</t>
  </si>
  <si>
    <t>EXTEN. BARRA 4 PZS 3/8 MAR-RAM 3 6 9 12</t>
  </si>
  <si>
    <t>EXTEN. BARRA 4 PZS 3/8 MAR-RAM CRO VANAD</t>
  </si>
  <si>
    <t>EXTEN. BARRA 4 PZS 3/8 MAR-RAM PROFES</t>
  </si>
  <si>
    <t>EXTEN. BARRA 5 PZS 3Y5 1/4 3 6Y10 3/8</t>
  </si>
  <si>
    <t>EXTEN. BARRA MAR-RAM 1/2X3"</t>
  </si>
  <si>
    <t>EXTEN. BARRA MAR-RAM 1/2X5"</t>
  </si>
  <si>
    <t>EXTEN. BARRA MAR-RAM 1/2X8"</t>
  </si>
  <si>
    <t>EXTEN. BARRA MAR-RAM 1/2X10"</t>
  </si>
  <si>
    <t>EXTEN. BARRA MAR-RAM 3/8X3"</t>
  </si>
  <si>
    <t>EXTEN. BARRA MAR-RAM 3/8X6"</t>
  </si>
  <si>
    <t>EXTEN. BARRA MAR-RAM 3/8X8"</t>
  </si>
  <si>
    <t>EXTEN. BARRA MAR-RAM 3/8X10"</t>
  </si>
  <si>
    <t>EXTENSION 2 MTS RAM-TOOLS BLANCA DOMEST</t>
  </si>
  <si>
    <t>EXTENSION 2 MTS USO RUDO MAR-RAM CAL16</t>
  </si>
  <si>
    <t>EXTENSION 2 MTS USO RUDO MAR-RAM CAL18</t>
  </si>
  <si>
    <t>EXTENSION 4 MTS RAM-TOOLS BLANCA DOMEST</t>
  </si>
  <si>
    <t>EXTENSION 4 MTS USO RUDO MAR-RAM CAL16</t>
  </si>
  <si>
    <t>EXTENSION 4 MTS USO RUDO MAR-RAM CAL18</t>
  </si>
  <si>
    <t>EXTENSION 5 MTS C/SOCKET MAR-RAM USO RU</t>
  </si>
  <si>
    <t>EXTENSION 6 MTS RAM-TOOLS BLANCA DOMEST</t>
  </si>
  <si>
    <t>EXTENSION 6 MTS USO RUDO MAR-RAM CAL16</t>
  </si>
  <si>
    <t>EXTENSION 6 MTS USO RUDO MAR-RAM CAL18</t>
  </si>
  <si>
    <t>EXTENSION 10 MTS C/SOCKET MAR-RAM USO RU</t>
  </si>
  <si>
    <t>EXTENSION 10 MTS RAM-TOOLS BLANCA DOMEST</t>
  </si>
  <si>
    <t>EXTENSION 10 MTS USO RUDO MAR-RAM CAL16</t>
  </si>
  <si>
    <t>EXTENSION 10 MTS USO RUDO MAR-RAM CAL18</t>
  </si>
  <si>
    <t>EXTENSION 15 MTS USO RUDO MAR-RAM CAL16</t>
  </si>
  <si>
    <t>EXTENSION 15 MTS USO RUDO MAR-RAM CAL18</t>
  </si>
  <si>
    <t>EXTENSION 20 MTS USO RUDO MAR-RAM CAL16</t>
  </si>
  <si>
    <t>EXTENSION 20 MTS USO RUDO MAR-RAM CAL18</t>
  </si>
  <si>
    <t>EXTENSION 30 MTS USO RUDO MAR-RAM CAL18</t>
  </si>
  <si>
    <t>EXTRACTOR 3" MAR-RAM</t>
  </si>
  <si>
    <t>EXTRACTOR 4 PZS MAR-RAM CROMADO PROFEC</t>
  </si>
  <si>
    <t>EXTRACTOR DE POLEAS MAR-RAM 3 PZS PROFES</t>
  </si>
  <si>
    <t>EXTRACTOR P/TORNILLO 5 PZAS MAR RAM</t>
  </si>
  <si>
    <t>FLEXOMETRO 3 MTS MAR-RAM FRENO AUTOMATI</t>
  </si>
  <si>
    <t>FLEXOMETRO 5 MTS BR FLEX CROMADO PULGADAS</t>
  </si>
  <si>
    <t>FLEXOMETRO 5 MTS MAR-RAM FRENO AUTOMATI</t>
  </si>
  <si>
    <t>FLEXOMETRO 8 MTS MAR-RAM FRENO AUTOMATI</t>
  </si>
  <si>
    <t>FLEXOMETRO 8 MTS RAM-TOOLS AZUL</t>
  </si>
  <si>
    <t>FORMON 4 PZS C/PIEDRA RAM-TOOLS</t>
  </si>
  <si>
    <t>FORMON 6 PZS C/PIEDRA DEL 8" 1/4 1/2 3/4</t>
  </si>
  <si>
    <t>GARRUCHA DE 1 TON.</t>
  </si>
  <si>
    <t>GARRUCHA DE 2 TON.</t>
  </si>
  <si>
    <t>GARRUCHA DE 3 TON. MAR-RAM</t>
  </si>
  <si>
    <t>GARRUCHA P/TENDEDERO 1 1/2 MAR-RAM</t>
  </si>
  <si>
    <t>GARRUCHA P/TENDEDERO 2" MAR-RAM</t>
  </si>
  <si>
    <t>GATO PATIN 2 1/2 MAR-RAM C/ESTUCHE</t>
  </si>
  <si>
    <t>GATO PATIN 2 TON C/ESTUCHE NEGRO MAR-RAM</t>
  </si>
  <si>
    <t>GATO PATIN 3 TON MAR-RAM</t>
  </si>
  <si>
    <t>GATO PATIN 3 TON MAR-RAM (NUEVO)</t>
  </si>
  <si>
    <t>GRASERA NEUMATICA MAR-RAM</t>
  </si>
  <si>
    <t>HACHA 2.5 LBS *</t>
  </si>
  <si>
    <t>HACHA MULTIUSOS</t>
  </si>
  <si>
    <t>JGO JARDINERIA 4 PZS MAR-RAM PLASTICO</t>
  </si>
  <si>
    <t>JUEGO DE HOJALATERO CON ESTUCHE 7 PZS PR</t>
  </si>
  <si>
    <t>KIT P/ INSTALAR CHAPAS PROF. 3 PZAS</t>
  </si>
  <si>
    <t>KIT SIERRA CORTACIRCULOS 8 PZ</t>
  </si>
  <si>
    <t>LAMPARA MINERO RAM-TOOLS 1+12 LED BRILLANTES</t>
  </si>
  <si>
    <t>LAMPARA 21 LED RECARGABLE RAM-TOOLS</t>
  </si>
  <si>
    <t>LAMPARA 24 LED RAM-TOOLS GIRATORIA RECAR</t>
  </si>
  <si>
    <t>LAMPARA 32 LED RAM-TOOLS GIRATORIA</t>
  </si>
  <si>
    <t>LAMPARA 62 LED RECARGABLE Y PILAS RAM-TO</t>
  </si>
  <si>
    <t>LAMPARA 62 LED SMD EMERGENCIA</t>
  </si>
  <si>
    <t>LAMPARA 90 LED RAM TOOLS RECARGABLE</t>
  </si>
  <si>
    <t>LAMPARA MINERA 3 WATTS LED RAM-TOOLS</t>
  </si>
  <si>
    <t>LAMPARA MINERO 1 SUPER LED RAM-TOOLS</t>
  </si>
  <si>
    <t>LAMPARA MINERO TIGER LED USA 3 PILAS D</t>
  </si>
  <si>
    <t>LAMPARA P/BICI MAR-RAM TRASERA</t>
  </si>
  <si>
    <t>LAMPARA P/BICI MAR-RAM TRASERA SAFEGUARD</t>
  </si>
  <si>
    <t>LAMPARA P/CARRO C/IMAN MAR-RAM SEGURIDAD</t>
  </si>
  <si>
    <t>LIMA JGO 5 X 8"</t>
  </si>
  <si>
    <t>LIMA JGO 5X6</t>
  </si>
  <si>
    <t>LINTERNA 1 LED 3 WATTS RAM-TOOLS RECARG</t>
  </si>
  <si>
    <t>LINTERNA 1 LED RAM TOOLS 1WATT NEGRA ARILLO CROMADO</t>
  </si>
  <si>
    <t>LINTERNA 1 LED RAM-TOOLS 1WATT COB (MANGO)</t>
  </si>
  <si>
    <t>LINTERNA 1 LED RAM-TOOLS COLORES 1 SUPE</t>
  </si>
  <si>
    <t>LINTERNA 1 LED RAM-TOOLS CON FLASH</t>
  </si>
  <si>
    <t>LINTERNA 1 LED RAM-TOOLS DE MANO 1W T/A</t>
  </si>
  <si>
    <t>LINTERNA 1 LED RAM-TOOLS MINI CABE/COLO</t>
  </si>
  <si>
    <t>LINTERNA 1 LED RAM-TOOLS SE¥ALIZACION</t>
  </si>
  <si>
    <t>LINTERNA 1 LED RAM-TOOLS SUPER COLORE G</t>
  </si>
  <si>
    <t>LINTERNA 1+10 LED RAM-TOOLS ** CAJA **</t>
  </si>
  <si>
    <t>LINTERNA 1+10 LED RAM-TOOLS RECAR NUEVA</t>
  </si>
  <si>
    <t>LINTERNA 1+12 LED RAM TOOLS RECARGAB</t>
  </si>
  <si>
    <t>LINTERNA 1+8 LED RAM-TOOLS RECARGABLE</t>
  </si>
  <si>
    <t>LINTERNA 1+8 RAM-TOOLS LED BRILLANTE CAB/COLORES</t>
  </si>
  <si>
    <t>LINTERNA 4 LED RAM-TOOLS RECARGABLE</t>
  </si>
  <si>
    <t>LINTERNA 6 LED RAM-TOOLS RECARGABLE</t>
  </si>
  <si>
    <t>LINTERNA 9 LED RAM-TOOLS RECARGABLE N</t>
  </si>
  <si>
    <t>LINTERNA 1 LED RAM-TOOLS 1 WATT CAB/COLORES</t>
  </si>
  <si>
    <t>LINTERNA 1 SUPER LED +4 LED SMD</t>
  </si>
  <si>
    <t>LINTERNA 1 WAT + COB LATERAL</t>
  </si>
  <si>
    <t>LINTERNA 12 LED RAM TOOLS 1 WATT RETRACT CARGA USB</t>
  </si>
  <si>
    <t>LINTERNA 16 LED 8Y8 RECARGABLE RAM-TOOLS</t>
  </si>
  <si>
    <t>LINTERNA 16 LED RAM TOOLS T/QUINQUE RECARG Y PILAS NO INCLUIDAS</t>
  </si>
  <si>
    <t>LINTERNA 18 LED RAM-TOOLS C/FLASH</t>
  </si>
  <si>
    <t>LINTERNA 2 WAT LARGA NEGRA/ROJA</t>
  </si>
  <si>
    <t>LINTERNA 21 LED MAR-RAM DE PILAS</t>
  </si>
  <si>
    <t>LINTERNA 25 LED RAM-TOOLS RECARGABLE</t>
  </si>
  <si>
    <t>LINTERNA 40 LED RAM TOOLS T/QUINQUE RECARGABLE Y PILAS NO INCLUIDAS</t>
  </si>
  <si>
    <t>LINTERNA AFOCABLE LEOPARDO 2 PILAS METAL</t>
  </si>
  <si>
    <t>LINTERNA KCO ALUMINIO 5 LED USA 2 PILAS AA</t>
  </si>
  <si>
    <t>LINTERNA KCO ALUMINIO 5 LED USA 3 PILAS AA</t>
  </si>
  <si>
    <t>LINTERNA MAR-RAM P/2 PILAS AA METALICA</t>
  </si>
  <si>
    <t>LINTERNA MAR-RAM P/2 PILAS D" PLASTICA</t>
  </si>
  <si>
    <t>LINTERNA MAR-RAM P/3 PILAS D" METALICA</t>
  </si>
  <si>
    <t>LINTERNA MAR-RAM PLASTICA T/TRU AZUL/AM</t>
  </si>
  <si>
    <t>LINTERNA MAR-RAM TIPO TRUPER 6 1/2" NARANJA AA</t>
  </si>
  <si>
    <t>LINTERNA TIGER 3 PILAS 1 LED METALICA AF</t>
  </si>
  <si>
    <t>LLANTA INFLABLE 10" MAR-RAM BALERO 3/4"</t>
  </si>
  <si>
    <t>LLANTA INFLABLE 10"*MAR-RAM BALERO 5/8</t>
  </si>
  <si>
    <t>LLAVE ALLEN 8 PZAS. MM MAR-RAM PROF.</t>
  </si>
  <si>
    <t>LLAVE ALLEN 10 PZ.REF. CTT. *</t>
  </si>
  <si>
    <t>LLAVE ALLEN 24 PZS MAR-RAM T/NAVAJ Y CAR</t>
  </si>
  <si>
    <t>LLAVE ALLEN 25 PZS MAR-RAM STD Y MM</t>
  </si>
  <si>
    <t>LLAVE DE CRUZ NO.14 MAR-RAM PROFESIONAL</t>
  </si>
  <si>
    <t>LLAVE DE CRUZ NO.18 MAR-RAM</t>
  </si>
  <si>
    <t>LLAVE DE CRUZ NO.20 MAR-RAM PROFESIONAL</t>
  </si>
  <si>
    <t>LLAVE DE OBSTRUCTION 3 PZS 3/4-11/16 5/8-9/16 1/2-7/16</t>
  </si>
  <si>
    <t>LLAVE EN "T" SACABUJIAS 5/8" Y 13/16"</t>
  </si>
  <si>
    <t>LLAVE ESPA¥OLA 12 PZS CROMO VANADIUM PR</t>
  </si>
  <si>
    <t>LLAVE ESPA¥OLA 12 PZS MM ECONOMICA</t>
  </si>
  <si>
    <t>LLAVE ESPA¥OLA 5 PZS MM MAR-RAM</t>
  </si>
  <si>
    <t>LLAVE ESPA¥OLA 5 PZS STD MAR-RAM</t>
  </si>
  <si>
    <t>LLAVE ESPA¥OLA 6 PZS JUMBO</t>
  </si>
  <si>
    <t>LLAVE ESPA¥OLA 1/2"X9/16" MAR-RAM</t>
  </si>
  <si>
    <t>LLAVE FONTANERO 12" MAR-RAM PROFESIONAL</t>
  </si>
  <si>
    <t>LLAVE FONTANERO 15" MAR-RAM PROFESIONAL</t>
  </si>
  <si>
    <t>LLAVE MAR-RAM 6 PZS ASTRIAS LONA ROJA</t>
  </si>
  <si>
    <t>LLAVE MIXTA 5/16" MAR-RAM</t>
  </si>
  <si>
    <t>LLAVE MIXTA MM 8 MAR-RAM</t>
  </si>
  <si>
    <t>LLAVE MIXTA MM 10 MAR-RAM</t>
  </si>
  <si>
    <t>LLAVE MIXTA MM 12 MAR-RAM</t>
  </si>
  <si>
    <t>LLAVE MIXTA PZS 5 MM KAYAKO C/SOSTEN</t>
  </si>
  <si>
    <t>LLAVE MIXTA PZS 5 MM MAR LARA (CAL-HAWK</t>
  </si>
  <si>
    <t>LLAVE MIXTA PZS 5 MM MAR-RAM PROFESI MM</t>
  </si>
  <si>
    <t>LLAVE MIXTA PZS 5 STD MAR-RAM PROFESION</t>
  </si>
  <si>
    <t>LLAVE MIXTA PZS 9 C/SOSTEN STD. CAL-HAW</t>
  </si>
  <si>
    <t>LLAVE MIXTA PZS 11 C/SOSTEN MAR-RAM MILIMETRICA</t>
  </si>
  <si>
    <t>LLAVE MIXTA PZS 11 C/SOSTEN MAR-RAM STANDAR</t>
  </si>
  <si>
    <t>LLAVE MIXTA PZS 14 STD PROFESIONAL</t>
  </si>
  <si>
    <t>LLAVE MIXTA PZS 22 MAR-RAM MM STD LONA</t>
  </si>
  <si>
    <t>LLAVE MIXTA PZS 22 C/SOTEN PLAST MAR-RAM STD-MM</t>
  </si>
  <si>
    <t>LLAVE P/DISTRIBUIDOR MAR-RAM</t>
  </si>
  <si>
    <t>LLAVE P/FILTRO MAR-RAM</t>
  </si>
  <si>
    <t>LLAVE P/GAS 7/8X3/4</t>
  </si>
  <si>
    <t>LLAVE TORX 8 PZS PROF,T/NAVAJA MAR-RAM</t>
  </si>
  <si>
    <t>LLAVE TORX 8 PZS T/NAVAJA C/SEGURO MA</t>
  </si>
  <si>
    <t>MANERAL "L" 3/4 MAR-RAM</t>
  </si>
  <si>
    <t>MANERAL ARTICULADO 1/2"X17" MAR-RAM PRO</t>
  </si>
  <si>
    <t>MANERAL CORREDIZO 3/4 MAR-RAM</t>
  </si>
  <si>
    <t>MANERAL L 1/2" MAR-RAM</t>
  </si>
  <si>
    <t>MANGUERA DE ESPIRAL GRANDE*</t>
  </si>
  <si>
    <t>MARRO 10 LIB MAR-RAM M/FIBRA</t>
  </si>
  <si>
    <t>MARRO 3 LIBS MAR-RAM</t>
  </si>
  <si>
    <t>MARTILLO BOLA 3 PZS MAR-RAM</t>
  </si>
  <si>
    <t>MARTILLO BOLA 5 PZS MAR-RAM</t>
  </si>
  <si>
    <t>MARTILLO UÑA 8 ONZ METALICO MAR-RAM</t>
  </si>
  <si>
    <t>MARTILLO UÑA 16 ONZ MADERA MAR-RAM CURVO</t>
  </si>
  <si>
    <t>MARTILLO UÑA 16 ONZ MADERA MAR-RAM RECT</t>
  </si>
  <si>
    <t>MATRACA 1/2" MARIPOSA MAR-RAM</t>
  </si>
  <si>
    <t>MATRACA 3 PZS MAR-RAM PROFES 1/4"3/8"1/2</t>
  </si>
  <si>
    <t>MATRACA 3/8" MARIPOSA MAR-RAM</t>
  </si>
  <si>
    <t>MATRACA DE 1/2 ECO OJO FLEXIBLE MAR-RAM</t>
  </si>
  <si>
    <t>MATRACA DE 1/2 MAR-RAM FLEXIBLE</t>
  </si>
  <si>
    <t>MATRACA DE 1/2 MAR-RAM PROFESIONAL</t>
  </si>
  <si>
    <t>MATRACA DE 1/4 MAR-RAM FLEXIBLE</t>
  </si>
  <si>
    <t>MATRACA DE 1/4" MAR-RAM PROF</t>
  </si>
  <si>
    <t>MATRACA DE 3/8 MAR-RAM FLEXIBLE</t>
  </si>
  <si>
    <t>MATRACA DE 3/8 MAR-RAM PROFESIONAL</t>
  </si>
  <si>
    <t>MATRACA DOBLE MAR-RAM 1/4 X 3/8 GRANDE</t>
  </si>
  <si>
    <t>MATRACA DOBLE MAR-RAM 3/8 X 1/2 GRANDE</t>
  </si>
  <si>
    <t>MATRACA DOBLE RAM-TOOLS 1/4X3/8</t>
  </si>
  <si>
    <t>MATRACA DOBLE RAM-TOOLS 3/8X1/2</t>
  </si>
  <si>
    <t>MAZO DE HULE M/FIBRA 16 ONZ MAR-RAM</t>
  </si>
  <si>
    <t>MAZO DE HULE M/FIBRA 24 ONZ MAR-RAM</t>
  </si>
  <si>
    <t>MAZO DE HULE M/MADERA 3 PZS MAR-RAM</t>
  </si>
  <si>
    <t>MULTICONTACTO 6 ENTRADAS MAR-RAM</t>
  </si>
  <si>
    <t>NIVEL TORPEDO JGO FLEXOMETO Y CUTTER NO</t>
  </si>
  <si>
    <t>NUDO UNIVERSAL 3 PZS MAR-RAM 1/4"3/8"1/2</t>
  </si>
  <si>
    <t>OPRESOR DE RESORTE MAR-RAM 2 PZS PROFESIONAL</t>
  </si>
  <si>
    <t>PALA CUADRADA BR</t>
  </si>
  <si>
    <t>PALA REDONDA BR</t>
  </si>
  <si>
    <t>PERICO 3 PZS MAR-RAM BLISTER ROJO</t>
  </si>
  <si>
    <t>PERICO 4 PZS MAR-RAM LONA NEGRA</t>
  </si>
  <si>
    <t>PERICO NO. 6 MAR-RAM EXTRA.</t>
  </si>
  <si>
    <t>PERICO NO. 8 MAR-RAM</t>
  </si>
  <si>
    <t>PERICO NO. 10 MAR-RAM PROFESIONAL ROJO</t>
  </si>
  <si>
    <t>PERICO NO. 12 MAR-RAM PROFESIONAL</t>
  </si>
  <si>
    <t>PERICO NO. 15 MAR-RAM</t>
  </si>
  <si>
    <t>PERICO NO. 24 MAR-RAM</t>
  </si>
  <si>
    <t>PIEDRA DE COCOL 9" MAR-RAM</t>
  </si>
  <si>
    <t>PIEDRA P/ASENTAR NO.8" MAR-RAM *</t>
  </si>
  <si>
    <t>PINZA 3 PZS MAR-RAM CHOFER PROFES 6-8-10</t>
  </si>
  <si>
    <t>PINZA 3 PZS MAR-RAM PROFESIONAL 8"</t>
  </si>
  <si>
    <t>PINZA 4 PZS MAR-RAM PROFESIONAL 8" CHOFE</t>
  </si>
  <si>
    <t>PINZA 4 PZS MAR-RAM PROFESIONAL C/PERICO</t>
  </si>
  <si>
    <t>PINZA 5 PZS MAR-RAM MINI PROFESIONAL</t>
  </si>
  <si>
    <t>PINZA CHOFER NO.8 MAR-RAM PROFESIONAL</t>
  </si>
  <si>
    <t>PINZA CORTE NO.8 MAR-RAM MANGO REFORZADO</t>
  </si>
  <si>
    <t>PINZA CORTE NO.8 MAR-RAM PROFESIONAL</t>
  </si>
  <si>
    <t>PINZA ELECTRICA NO.6 MAR-RAM M/REFORZADO</t>
  </si>
  <si>
    <t>PINZA ELECTRICA NO.6 MAR-RAM PROFESIONAL</t>
  </si>
  <si>
    <t>PINZA ELECTRICA NO.8 MAR-RAM M/REFORZADO</t>
  </si>
  <si>
    <t>PINZA ELECTRICA NO.8 MAR-RAM PROFESIONAL</t>
  </si>
  <si>
    <t>PINZA EXTENSION NO.10 MAR-RAM</t>
  </si>
  <si>
    <t>PINZA MINI 3 PZS MAR-RAM 4 1/2 MPP013</t>
  </si>
  <si>
    <t>PINZA MIXTA 3 PZS 6" CORTE PUNTA ELECTRI</t>
  </si>
  <si>
    <t>PINZA MIXTA 3 PZS ELECTRC8 PUNTA8 CORTE8</t>
  </si>
  <si>
    <t>PINZA MIXTA 4 PZS ELE8 PUN8 COR8 MECAN8</t>
  </si>
  <si>
    <t>PINZA MIXTA 4 PZS ELE8 PUNT8 CORT8 PER10</t>
  </si>
  <si>
    <t>PINZA MIXTA MP04M ELE-8 PER-10 CHO-8</t>
  </si>
  <si>
    <t>PINZA PELACABLE 9" MAR-RAM</t>
  </si>
  <si>
    <t>PINZA PRESION 3 PZS MAR-RAM PROF 10"7"5"</t>
  </si>
  <si>
    <t>PINZA PRESION NO. 5 MAR-RAM PROFESIONAL</t>
  </si>
  <si>
    <t>PINZA PRESION NO. 7 MAR-RAM PROFESIONAL</t>
  </si>
  <si>
    <t>PINZA PRESION NO.10 MAR-RAM BLISTER PROF</t>
  </si>
  <si>
    <t>PINZA PRESION NO.10 MAR-RAM TARJ PROF</t>
  </si>
  <si>
    <t>PINZA PUNTA NO.6 MAR-RAM MANGO REFORZADO</t>
  </si>
  <si>
    <t>PINZA PUNTA NO.6 MAR-RAM PROFESIONAL</t>
  </si>
  <si>
    <t>PINZA PUNTA NO.8 MAR-RAM MANGO REFORZADO</t>
  </si>
  <si>
    <t>PINZA PUNTA NO.8 MAR-RAM PROFESIONAL</t>
  </si>
  <si>
    <t>PINZA PUNTA REDONDAS NO.6 MAR-RAM PROFES</t>
  </si>
  <si>
    <t>PINZA QUITA SEGUROS 2 PZ. CTT</t>
  </si>
  <si>
    <t>PINZA QUITA SEGUROS 2 PZS MAR-RAM PROFES</t>
  </si>
  <si>
    <t>PINZA QUITA SEGUROS 5 PZS MAR-RAM PROFES</t>
  </si>
  <si>
    <t>PINZA QUITA SEGUROS 5 PZS RAM-TOOLS</t>
  </si>
  <si>
    <t>PINZA SACABOCADO MAR-RAM PROFESIONAL</t>
  </si>
  <si>
    <t>PISTOLA CALAFATEO PROFESIONAL MAR RAM</t>
  </si>
  <si>
    <t>PISTOLA CALAFATEO TIPO ESQUELETO PROF.MR</t>
  </si>
  <si>
    <t>PISTOLA CALAFATEO USO DOMESTICO MAR-RAM</t>
  </si>
  <si>
    <t>PISTOLA LIMPIA MOTOR MAR-RAM * AECG</t>
  </si>
  <si>
    <t>PISTOLA P/PINTAR CAL-HAWK RETOQUE</t>
  </si>
  <si>
    <t>PISTOLA P/PINTAR MAR-RAM MINI GRAVEDAD</t>
  </si>
  <si>
    <t>PISTOLA P/SOPLETEAR *</t>
  </si>
  <si>
    <t>POLVO P/TIRALINEAS ROJO CAL-HAWK</t>
  </si>
  <si>
    <t>PRENSA JGO 4 PZS MAR-RAM 3"4"6"8"</t>
  </si>
  <si>
    <t>PRENSA MINI 3 PZS JGO MAR-RAM 1" 2" 3"</t>
  </si>
  <si>
    <t>PROBADOR DE CORRI 6-12V T/LAPIZ MAR-RAM</t>
  </si>
  <si>
    <t>PROBADOR DE CORRIENTE 4 PZS MAR-RAM</t>
  </si>
  <si>
    <t>PUNTAS 100 PZS MAR-RAM PROFESIONAL</t>
  </si>
  <si>
    <t>PUNTAS 33 PZS P/DESARMADOR MAR-RAM</t>
  </si>
  <si>
    <t>PUNTAS 38 PZS CON DADOS Y MATRACA 1/4</t>
  </si>
  <si>
    <t>PUNTAS 42 PZS MAR-RAM COMBINADAS</t>
  </si>
  <si>
    <t>PUNTAS 64 PZS MAR-RAM P/TALADRO PROFESIO</t>
  </si>
  <si>
    <t>REMACHADORA SENCILLA MAR-RAM *HRB B-R NO</t>
  </si>
  <si>
    <t>REMACHE 1000 PZS 1/4 5/16 3/8 5/8 MAR-RA</t>
  </si>
  <si>
    <t>RUEDA MAR-RAM P/CARRITO MANDADO</t>
  </si>
  <si>
    <t>RUEDA MAR-RAM P/DIABLITO 90-100 KILOS</t>
  </si>
  <si>
    <t>RUEDA MAR-RAM P/DIABLO 60-80 ALUMINIO</t>
  </si>
  <si>
    <t>SILICON BARRA CHICO POR KILO MAR-RAM.</t>
  </si>
  <si>
    <t>STILSON 3 PZS MAR-RAM 8"10"14" PROF SUPE</t>
  </si>
  <si>
    <t>STILSON 4 PZS 8"10"12"18" MAR-RAM</t>
  </si>
  <si>
    <t>STILSON 4 PZS MAR-RAM 8"10"14"18"</t>
  </si>
  <si>
    <t>STILSON NO. 8" TAIWAN *</t>
  </si>
  <si>
    <t>STILSON NO.10" MAR-RAM PROFESIONAL SUPER</t>
  </si>
  <si>
    <t>STILSON NO.12" MAR-RAM PROFESIONAL SUPER</t>
  </si>
  <si>
    <t>STILSON NO.14" SUPER HEAVY DUTY MAR-RAM</t>
  </si>
  <si>
    <t>STILSON NO.18 MAR-RAM PROFESIONAL SUPER</t>
  </si>
  <si>
    <t>TALADRO DE MANO 3/8 RAM-TOOLS</t>
  </si>
  <si>
    <t>TECLE 2 TONELADAS MAR-RAM</t>
  </si>
  <si>
    <t>TENAZA NO. 8 MAR-RAM CARPINTERO</t>
  </si>
  <si>
    <t>TENAZA NO.10 MAR-RAM CARPINTERO</t>
  </si>
  <si>
    <t>TENAZA NO.8 MAR-RAM SOLA</t>
  </si>
  <si>
    <t>TENSOR 15" MAR-RAM 37.5 CTM BOLSA C/12</t>
  </si>
  <si>
    <t>TENSOR 18" MAR-RAM 47.5 CTM NUEVO NO</t>
  </si>
  <si>
    <t>TENSOR 24" MAR-RAM 61 CTM NO</t>
  </si>
  <si>
    <t>TENSOR 24" MAR-RAM 61 CTM NUEVO</t>
  </si>
  <si>
    <t>TENSOR 30" MAR-RAM 76 CTM</t>
  </si>
  <si>
    <t>TENSOR 30" MAR-RAM 76 CTM NUEVO</t>
  </si>
  <si>
    <t>TENSOR 36" MAR-RAM 91.5 CTM</t>
  </si>
  <si>
    <t>TENSOR 36" MAR-RAM 91.50 CTM NUEVO</t>
  </si>
  <si>
    <t>TENSOR 48" MAR-RAM 1.22 CTM NUEVO</t>
  </si>
  <si>
    <t>TENSOR 48" MAR-RAM 1.22 MTS</t>
  </si>
  <si>
    <t>TENSOR 56" MAR RAM (1.40 MTS)</t>
  </si>
  <si>
    <t>TENSOR 64" MAR RAM 1.60 MTS</t>
  </si>
  <si>
    <t>TENSOR 72" MAR-RAM 1.80 CTM NUEVO</t>
  </si>
  <si>
    <t>TIJERA MAR-RAM 2 PZS CORTATODO 9" 11"</t>
  </si>
  <si>
    <t>TIJERA MULTIUSOS MAR-RAM NO</t>
  </si>
  <si>
    <t>TIJERA P/HOJALATERO NO.10 MAR-RAM</t>
  </si>
  <si>
    <t>TIJERA P/PASTO 10" MAR-RAM RECTA TPTRMR</t>
  </si>
  <si>
    <t>TIJERA P/PASTO MAR-RAM CURVA</t>
  </si>
  <si>
    <t>TIJERA P/ROSAS MAR-RAM NO.9</t>
  </si>
  <si>
    <t>TIRALINEAS CAL-HAWK 100"</t>
  </si>
  <si>
    <t>TORNILLO BANCO NO.3 MAR-RAM PROFESIONAL</t>
  </si>
  <si>
    <t>TORNILLO BANCO NO.4 MAR-RAM PROFESIONAL</t>
  </si>
  <si>
    <t>TORNILLO MINI 50MM FIJO MAR-RAM PROFESIO</t>
  </si>
  <si>
    <t>TORNILLO MINI 50MM GIRATORIO MAR-RAM</t>
  </si>
  <si>
    <t>TORNILLO MINI 60MM FIJO MAR-RAM PROFESIO</t>
  </si>
  <si>
    <t>TORNILLO MINI 60MM GIRATORIO MAR-RAM</t>
  </si>
  <si>
    <t>TORQUIMETRO DE TRUENO 1/2" MAR-RAM</t>
  </si>
  <si>
    <t>TORRE P/MECANICO 3 TON MAR-RAM</t>
  </si>
  <si>
    <t>TORRE P/MECANICO 6 TON MAR-RAM</t>
  </si>
  <si>
    <t>UNION PARA CADENA 7 MAR-RAM</t>
  </si>
  <si>
    <t>UNION PARA CADENA 9 MAR-RAM</t>
  </si>
  <si>
    <t>VENTILADOR MAR-RAM NO.6 C/CLIP MOVIBLE</t>
  </si>
  <si>
    <t>VENTILADOR MAR-RAM NO.8 C/CLIP MOVIBL</t>
  </si>
  <si>
    <t>LISTA DE PRECIOS:</t>
  </si>
  <si>
    <t>PRECIO</t>
  </si>
  <si>
    <t>SUB-TOTAL</t>
  </si>
  <si>
    <t>TAIC0382</t>
  </si>
  <si>
    <t>OC125</t>
  </si>
  <si>
    <t>OC500</t>
  </si>
  <si>
    <t>AM200MR</t>
  </si>
  <si>
    <t>AM300MR</t>
  </si>
  <si>
    <t>IA03-F</t>
  </si>
  <si>
    <t>DR3412MR</t>
  </si>
  <si>
    <t>DR2MR</t>
  </si>
  <si>
    <t>JA4MR</t>
  </si>
  <si>
    <t>JA4MR-F</t>
  </si>
  <si>
    <t>DCS05-F</t>
  </si>
  <si>
    <t>ARCO12MR</t>
  </si>
  <si>
    <t>1825</t>
  </si>
  <si>
    <t>RS</t>
  </si>
  <si>
    <t>AEE1534MR</t>
  </si>
  <si>
    <t>A1434MR</t>
  </si>
  <si>
    <t>A1612MR</t>
  </si>
  <si>
    <t>A1714MMR</t>
  </si>
  <si>
    <t>SK17</t>
  </si>
  <si>
    <t>A2134MR</t>
  </si>
  <si>
    <t>A2512MR</t>
  </si>
  <si>
    <t>A2512MMR</t>
  </si>
  <si>
    <t>SK25</t>
  </si>
  <si>
    <t>A40MR</t>
  </si>
  <si>
    <t>A52MR</t>
  </si>
  <si>
    <t>A75MR</t>
  </si>
  <si>
    <t>TC07-F</t>
  </si>
  <si>
    <t>BALLMR</t>
  </si>
  <si>
    <t>ASL07DB</t>
  </si>
  <si>
    <t>BGF1MR</t>
  </si>
  <si>
    <t>BG1MR</t>
  </si>
  <si>
    <t>BMALUM8MR</t>
  </si>
  <si>
    <t>BMATS6MR</t>
  </si>
  <si>
    <t>BMA6MR</t>
  </si>
  <si>
    <t>BMATS7MR</t>
  </si>
  <si>
    <t>BMA7MR</t>
  </si>
  <si>
    <t>BMATS8MR</t>
  </si>
  <si>
    <t>BMA8MR</t>
  </si>
  <si>
    <t>BMATS9MR</t>
  </si>
  <si>
    <t>BMA9MR</t>
  </si>
  <si>
    <t>BMATS10MR</t>
  </si>
  <si>
    <t>BMATS12MR</t>
  </si>
  <si>
    <t>BB10MR</t>
  </si>
  <si>
    <t>BP15MR</t>
  </si>
  <si>
    <t>BP20MR</t>
  </si>
  <si>
    <t>BAPMR</t>
  </si>
  <si>
    <t>MZSP</t>
  </si>
  <si>
    <t>BZ5MR</t>
  </si>
  <si>
    <t>BZ6MR</t>
  </si>
  <si>
    <t>BZ7MR</t>
  </si>
  <si>
    <t>BC4TM12MR</t>
  </si>
  <si>
    <t>BC4TM6MR</t>
  </si>
  <si>
    <t>JBC4MR</t>
  </si>
  <si>
    <t>JB5AVCMR</t>
  </si>
  <si>
    <t>JB5AVNMR</t>
  </si>
  <si>
    <t>JBM6MR</t>
  </si>
  <si>
    <t>JBMX9MR</t>
  </si>
  <si>
    <t>WBS06PD-F</t>
  </si>
  <si>
    <t>BCTM1212MR</t>
  </si>
  <si>
    <t>BCTM5812MR</t>
  </si>
  <si>
    <t>BCTM91612MR</t>
  </si>
  <si>
    <t>BMTG128MR</t>
  </si>
  <si>
    <t>BMTG588MT</t>
  </si>
  <si>
    <t>JBTG6MR</t>
  </si>
  <si>
    <t>BMTG9168MR</t>
  </si>
  <si>
    <t>CCAUMR</t>
  </si>
  <si>
    <t>CC51624</t>
  </si>
  <si>
    <t>CC51636</t>
  </si>
  <si>
    <t>CLL36</t>
  </si>
  <si>
    <t>CP210MR</t>
  </si>
  <si>
    <t>CP3510MR</t>
  </si>
  <si>
    <t>CP358MR</t>
  </si>
  <si>
    <t>CC4MR</t>
  </si>
  <si>
    <t>CCP3MR</t>
  </si>
  <si>
    <t>CCP4MR</t>
  </si>
  <si>
    <t>CCD3MR</t>
  </si>
  <si>
    <t>CCD4MR</t>
  </si>
  <si>
    <t>CCG4MR</t>
  </si>
  <si>
    <t>CPDB5MR</t>
  </si>
  <si>
    <t>CPDB6MR</t>
  </si>
  <si>
    <t>CC4RMR</t>
  </si>
  <si>
    <t>CC5RMR</t>
  </si>
  <si>
    <t>CC6RMR</t>
  </si>
  <si>
    <t>CPLLMR</t>
  </si>
  <si>
    <t>CCCMR</t>
  </si>
  <si>
    <t>CCC2MR</t>
  </si>
  <si>
    <t>CCSMR</t>
  </si>
  <si>
    <t>CCRMR</t>
  </si>
  <si>
    <t>CCTMR</t>
  </si>
  <si>
    <t>CCT2MR</t>
  </si>
  <si>
    <t>CCTHDMR</t>
  </si>
  <si>
    <t>SPHS50</t>
  </si>
  <si>
    <t>CCUMR</t>
  </si>
  <si>
    <t>GL-2275</t>
  </si>
  <si>
    <t>SPNS50</t>
  </si>
  <si>
    <t>SPNS65</t>
  </si>
  <si>
    <t>BP45ABL</t>
  </si>
  <si>
    <t>BP60PH</t>
  </si>
  <si>
    <t>BPB12D</t>
  </si>
  <si>
    <t>BP20</t>
  </si>
  <si>
    <t>BP60</t>
  </si>
  <si>
    <t>BP40CYL</t>
  </si>
  <si>
    <t>BP50CYL</t>
  </si>
  <si>
    <t>BP60CYL</t>
  </si>
  <si>
    <t>BV03MR</t>
  </si>
  <si>
    <t>BV05MR</t>
  </si>
  <si>
    <t>CAPM3</t>
  </si>
  <si>
    <t>CAPM4</t>
  </si>
  <si>
    <t>CAPM5</t>
  </si>
  <si>
    <t>DL800R</t>
  </si>
  <si>
    <t>DL800L</t>
  </si>
  <si>
    <t>DL800RSK</t>
  </si>
  <si>
    <t>DL800LSK</t>
  </si>
  <si>
    <t>MBL-4137</t>
  </si>
  <si>
    <t>587PB</t>
  </si>
  <si>
    <t>587PBMR</t>
  </si>
  <si>
    <t>587ABMR</t>
  </si>
  <si>
    <t>587SSRT</t>
  </si>
  <si>
    <t>587ACRT</t>
  </si>
  <si>
    <t>587PCRT</t>
  </si>
  <si>
    <t>588PBRT</t>
  </si>
  <si>
    <t>588PBNRT</t>
  </si>
  <si>
    <t>588SSNRT</t>
  </si>
  <si>
    <t>HN0512-T</t>
  </si>
  <si>
    <t>CNB10-100</t>
  </si>
  <si>
    <t>CNB15-100</t>
  </si>
  <si>
    <t>CT07100</t>
  </si>
  <si>
    <t>CNN20-100</t>
  </si>
  <si>
    <t>CNB20-100</t>
  </si>
  <si>
    <t>CNB30-50</t>
  </si>
  <si>
    <t>CNN30-50</t>
  </si>
  <si>
    <t>CNB37-50</t>
  </si>
  <si>
    <t>CNN37-50</t>
  </si>
  <si>
    <t>CNB45-50</t>
  </si>
  <si>
    <t>CNN45-50</t>
  </si>
  <si>
    <t>CNC10-150</t>
  </si>
  <si>
    <t>CNC15-150</t>
  </si>
  <si>
    <t>CNC20-150</t>
  </si>
  <si>
    <t>CNKIT-200</t>
  </si>
  <si>
    <t>ET0934-1</t>
  </si>
  <si>
    <t>AZETY</t>
  </si>
  <si>
    <t>RAZETO</t>
  </si>
  <si>
    <t>CAPUCMR</t>
  </si>
  <si>
    <t>ETO934</t>
  </si>
  <si>
    <t>CTAPEC150MR</t>
  </si>
  <si>
    <t>CDUC10MR</t>
  </si>
  <si>
    <t>CDUC30MR</t>
  </si>
  <si>
    <t>TM30M-C</t>
  </si>
  <si>
    <t>TT342603</t>
  </si>
  <si>
    <t>CTAPE50M</t>
  </si>
  <si>
    <t>CTAPE150MR</t>
  </si>
  <si>
    <t>MC3MR</t>
  </si>
  <si>
    <t>CC2PMR</t>
  </si>
  <si>
    <t>COLN1MR</t>
  </si>
  <si>
    <t>COLN2MR</t>
  </si>
  <si>
    <t>COLN3MR</t>
  </si>
  <si>
    <t>CORR8MR</t>
  </si>
  <si>
    <t>CAP3MR</t>
  </si>
  <si>
    <t>CAP5MR</t>
  </si>
  <si>
    <t>CAP6MR</t>
  </si>
  <si>
    <t>CORC3MR</t>
  </si>
  <si>
    <t>CORC5MR</t>
  </si>
  <si>
    <t>CORNA2MR</t>
  </si>
  <si>
    <t>COR1MR</t>
  </si>
  <si>
    <t>COR3MR</t>
  </si>
  <si>
    <t>CORNA3MR</t>
  </si>
  <si>
    <t>TC</t>
  </si>
  <si>
    <t>TC0103L</t>
  </si>
  <si>
    <t>TC0103</t>
  </si>
  <si>
    <t>CP18MR</t>
  </si>
  <si>
    <t>CP24MR</t>
  </si>
  <si>
    <t>CP30MR</t>
  </si>
  <si>
    <t>CP36MR</t>
  </si>
  <si>
    <t>CP42MR</t>
  </si>
  <si>
    <t>WSS97148S</t>
  </si>
  <si>
    <t>UK350</t>
  </si>
  <si>
    <t>DL15MMR</t>
  </si>
  <si>
    <t>DL17MMR</t>
  </si>
  <si>
    <t>DL18MMR</t>
  </si>
  <si>
    <t>DL19MMR</t>
  </si>
  <si>
    <t>DL21MMR</t>
  </si>
  <si>
    <t>DL30MMR</t>
  </si>
  <si>
    <t>DL32MMR</t>
  </si>
  <si>
    <t>DLS1MR</t>
  </si>
  <si>
    <t>DLS34MR</t>
  </si>
  <si>
    <t>DL8MMR</t>
  </si>
  <si>
    <t>DL10MMR</t>
  </si>
  <si>
    <t>DL12MMR</t>
  </si>
  <si>
    <t>MSSS417</t>
  </si>
  <si>
    <t>SP1613-F</t>
  </si>
  <si>
    <t>JDAS9MR</t>
  </si>
  <si>
    <t>JDS9MR</t>
  </si>
  <si>
    <t>JDIEL9MRC</t>
  </si>
  <si>
    <t>JDIEL9MRL</t>
  </si>
  <si>
    <t>DTXZN9MR</t>
  </si>
  <si>
    <t>JDM10MR</t>
  </si>
  <si>
    <t>JD10MMR</t>
  </si>
  <si>
    <t>JD10SMR</t>
  </si>
  <si>
    <t>DTE1112MR</t>
  </si>
  <si>
    <t>JDM3811MR</t>
  </si>
  <si>
    <t>DI11S12MR</t>
  </si>
  <si>
    <t>DI11MM12MR</t>
  </si>
  <si>
    <t>DT1238MR</t>
  </si>
  <si>
    <t>JDM14MMR</t>
  </si>
  <si>
    <t>A38IMR</t>
  </si>
  <si>
    <t>DPJ2MR</t>
  </si>
  <si>
    <t>DT2MR</t>
  </si>
  <si>
    <t>D4MR</t>
  </si>
  <si>
    <t>DA6MR</t>
  </si>
  <si>
    <t>D63CMR</t>
  </si>
  <si>
    <t>D6MR</t>
  </si>
  <si>
    <t>D6TMR</t>
  </si>
  <si>
    <t>D18MR</t>
  </si>
  <si>
    <t>SDT32</t>
  </si>
  <si>
    <t>D50MR</t>
  </si>
  <si>
    <t>D79MR</t>
  </si>
  <si>
    <t>SD08TMLY</t>
  </si>
  <si>
    <t>ND14SC</t>
  </si>
  <si>
    <t>DPGA7MR</t>
  </si>
  <si>
    <t>DPGR7MR</t>
  </si>
  <si>
    <t>D42TMR</t>
  </si>
  <si>
    <t>DPS2MR</t>
  </si>
  <si>
    <t>DPS1MR</t>
  </si>
  <si>
    <t>SD31606PG</t>
  </si>
  <si>
    <t>DPZ3MR</t>
  </si>
  <si>
    <t>SD1404FG</t>
  </si>
  <si>
    <t>DPS14MR</t>
  </si>
  <si>
    <t>DG1/8X4P</t>
  </si>
  <si>
    <t>SD1804FG</t>
  </si>
  <si>
    <t>DPS316MR</t>
  </si>
  <si>
    <t>SD31606FG</t>
  </si>
  <si>
    <t>DPS516MR</t>
  </si>
  <si>
    <t>D23PMR</t>
  </si>
  <si>
    <t>DPKITC16MR</t>
  </si>
  <si>
    <t>DPKITC9MR</t>
  </si>
  <si>
    <t>DP6MR</t>
  </si>
  <si>
    <t>DPT22MR</t>
  </si>
  <si>
    <t>MTSD06WR</t>
  </si>
  <si>
    <t>DP7MR</t>
  </si>
  <si>
    <t>DP90MR</t>
  </si>
  <si>
    <t>DPMMR</t>
  </si>
  <si>
    <t>DP60MR</t>
  </si>
  <si>
    <t>JY580</t>
  </si>
  <si>
    <t>SGTP</t>
  </si>
  <si>
    <t>JE338MR</t>
  </si>
  <si>
    <t>ASPEB44PS</t>
  </si>
  <si>
    <t>JE412MR-CRV</t>
  </si>
  <si>
    <t>JE412MR</t>
  </si>
  <si>
    <t>JE414MR</t>
  </si>
  <si>
    <t>MSPEB34PS</t>
  </si>
  <si>
    <t>JE438MR-CRV</t>
  </si>
  <si>
    <t>JE438MR</t>
  </si>
  <si>
    <t>JE5MMR</t>
  </si>
  <si>
    <t>EX2RT</t>
  </si>
  <si>
    <t>EX216MR</t>
  </si>
  <si>
    <t>EX218MR</t>
  </si>
  <si>
    <t>EX4RT</t>
  </si>
  <si>
    <t>EX416MR</t>
  </si>
  <si>
    <t>EX418MR</t>
  </si>
  <si>
    <t>EX5SMR</t>
  </si>
  <si>
    <t>EX6RT</t>
  </si>
  <si>
    <t>EX616MR</t>
  </si>
  <si>
    <t>EX618MR</t>
  </si>
  <si>
    <t>EX10SMR</t>
  </si>
  <si>
    <t>EX10RT</t>
  </si>
  <si>
    <t>EX1016MR</t>
  </si>
  <si>
    <t>EX1018MR</t>
  </si>
  <si>
    <t>EX1516MR</t>
  </si>
  <si>
    <t>EX1518MR</t>
  </si>
  <si>
    <t>EX2016MR</t>
  </si>
  <si>
    <t>EX2018MR</t>
  </si>
  <si>
    <t>EX3018MR</t>
  </si>
  <si>
    <t>GP03-I</t>
  </si>
  <si>
    <t>EP4MR</t>
  </si>
  <si>
    <t>EP3MR</t>
  </si>
  <si>
    <t>FL3MR</t>
  </si>
  <si>
    <t>FL5MR</t>
  </si>
  <si>
    <t>FL8MR</t>
  </si>
  <si>
    <t>FLC8RT</t>
  </si>
  <si>
    <t>WC05B-F</t>
  </si>
  <si>
    <t>WC06P-F</t>
  </si>
  <si>
    <t>GM112MR</t>
  </si>
  <si>
    <t>GM2MR</t>
  </si>
  <si>
    <t>GP2TONMR</t>
  </si>
  <si>
    <t>GP3TONMR</t>
  </si>
  <si>
    <t>GP3TONPMR</t>
  </si>
  <si>
    <t>JJ4MR</t>
  </si>
  <si>
    <t>JHE7MR</t>
  </si>
  <si>
    <t>JBFITC3MR</t>
  </si>
  <si>
    <t>JBCIR8MR</t>
  </si>
  <si>
    <t>LED1W12TMRT</t>
  </si>
  <si>
    <t>LED21URT</t>
  </si>
  <si>
    <t>LED24URT</t>
  </si>
  <si>
    <t>LED32GRT</t>
  </si>
  <si>
    <t>LED62RT</t>
  </si>
  <si>
    <t>LED62SMDRT</t>
  </si>
  <si>
    <t>LED90RT</t>
  </si>
  <si>
    <t>LED3WTMRT</t>
  </si>
  <si>
    <t>LED1STMRT</t>
  </si>
  <si>
    <t>FTT3DE4</t>
  </si>
  <si>
    <t>SWL102</t>
  </si>
  <si>
    <t>SWL107</t>
  </si>
  <si>
    <t>SWL501</t>
  </si>
  <si>
    <t>LED3WLRT</t>
  </si>
  <si>
    <t>LED1WCRRT</t>
  </si>
  <si>
    <t>LED1WCOBRT</t>
  </si>
  <si>
    <t>LED1SMRT</t>
  </si>
  <si>
    <t>LED1SFMRT</t>
  </si>
  <si>
    <t>LED1WLRT</t>
  </si>
  <si>
    <t>LED1SEMRT</t>
  </si>
  <si>
    <t>LED1WBRT</t>
  </si>
  <si>
    <t>LED1SNRT</t>
  </si>
  <si>
    <t>LED1W10RT</t>
  </si>
  <si>
    <t>LED1W10LRT</t>
  </si>
  <si>
    <t>LED1W12RT</t>
  </si>
  <si>
    <t>LED1W8RT</t>
  </si>
  <si>
    <t>LED1SM8RT</t>
  </si>
  <si>
    <t>LED4RT</t>
  </si>
  <si>
    <t>LED6RT</t>
  </si>
  <si>
    <t>LED9RT</t>
  </si>
  <si>
    <t>LED1WRNRT</t>
  </si>
  <si>
    <t>LED1W4SMDRT</t>
  </si>
  <si>
    <t>LED1WCOBLRT</t>
  </si>
  <si>
    <t>LED16RT</t>
  </si>
  <si>
    <t>LED16QRT</t>
  </si>
  <si>
    <t>LED18FRT</t>
  </si>
  <si>
    <t>LED2WRT</t>
  </si>
  <si>
    <t>MZFL21</t>
  </si>
  <si>
    <t>LED25RT</t>
  </si>
  <si>
    <t>LED40QRT</t>
  </si>
  <si>
    <t>FL300</t>
  </si>
  <si>
    <t>KC10020</t>
  </si>
  <si>
    <t>KC10016</t>
  </si>
  <si>
    <t>FT25C</t>
  </si>
  <si>
    <t>FTP300</t>
  </si>
  <si>
    <t>FT500</t>
  </si>
  <si>
    <t>PPFS300</t>
  </si>
  <si>
    <t>MZFL</t>
  </si>
  <si>
    <t>FT3DE8R</t>
  </si>
  <si>
    <t>LLA8MR</t>
  </si>
  <si>
    <t>LLA24MR</t>
  </si>
  <si>
    <t>LLA25MR</t>
  </si>
  <si>
    <t>LLCR14MR</t>
  </si>
  <si>
    <t>LLCR18MR</t>
  </si>
  <si>
    <t>LLCR20MR</t>
  </si>
  <si>
    <t>OW03</t>
  </si>
  <si>
    <t>TSP02-F</t>
  </si>
  <si>
    <t>LLE12CRVMR</t>
  </si>
  <si>
    <t>LLE12MR</t>
  </si>
  <si>
    <t>LLE5SMMMR</t>
  </si>
  <si>
    <t>LLC5STDMRE</t>
  </si>
  <si>
    <t>LLF12MR</t>
  </si>
  <si>
    <t>LLF15MR</t>
  </si>
  <si>
    <t>LLCV6MR</t>
  </si>
  <si>
    <t>LLC5MMMR</t>
  </si>
  <si>
    <t>LLC5STDMR</t>
  </si>
  <si>
    <t>LLSC11MMR</t>
  </si>
  <si>
    <t>LLSC11SMR</t>
  </si>
  <si>
    <t>LLC14STDMR</t>
  </si>
  <si>
    <t>LLC22SMMMR</t>
  </si>
  <si>
    <t>LLSC22SMMR</t>
  </si>
  <si>
    <t>DCW02</t>
  </si>
  <si>
    <t>OFW</t>
  </si>
  <si>
    <t>LLT8MR</t>
  </si>
  <si>
    <t>LLT8AMR</t>
  </si>
  <si>
    <t>MTL34MR</t>
  </si>
  <si>
    <t>M43012MR</t>
  </si>
  <si>
    <t>MCT34MR</t>
  </si>
  <si>
    <t>MTL12MR</t>
  </si>
  <si>
    <t>MR10MR</t>
  </si>
  <si>
    <t>SH03</t>
  </si>
  <si>
    <t>MB3MR</t>
  </si>
  <si>
    <t>MB5MR</t>
  </si>
  <si>
    <t>MMC16MR</t>
  </si>
  <si>
    <t>MMR16MR</t>
  </si>
  <si>
    <t>MRMG12MR</t>
  </si>
  <si>
    <t>M3MR</t>
  </si>
  <si>
    <t>MRMG38MR</t>
  </si>
  <si>
    <t>MCF12MR</t>
  </si>
  <si>
    <t>MRF12MR</t>
  </si>
  <si>
    <t>MR12MR</t>
  </si>
  <si>
    <t>MRF14MR</t>
  </si>
  <si>
    <t>MR14MR</t>
  </si>
  <si>
    <t>MRF38MR</t>
  </si>
  <si>
    <t>MR38MR</t>
  </si>
  <si>
    <t>MRD1438MR</t>
  </si>
  <si>
    <t>MRD3812MR</t>
  </si>
  <si>
    <t>RH023814</t>
  </si>
  <si>
    <t>RH023812</t>
  </si>
  <si>
    <t>MFV16MR</t>
  </si>
  <si>
    <t>MFV24MR</t>
  </si>
  <si>
    <t>MG3MR</t>
  </si>
  <si>
    <t>MC6MR</t>
  </si>
  <si>
    <t>UKL03</t>
  </si>
  <si>
    <t>NU3MR</t>
  </si>
  <si>
    <t>OPRPMR</t>
  </si>
  <si>
    <t>PER3MR</t>
  </si>
  <si>
    <t>PER4MR</t>
  </si>
  <si>
    <t>LLP10TMR</t>
  </si>
  <si>
    <t>PER12MR</t>
  </si>
  <si>
    <t>PER15MR</t>
  </si>
  <si>
    <t>PER24MR</t>
  </si>
  <si>
    <t>SS090B</t>
  </si>
  <si>
    <t>PCH3MR</t>
  </si>
  <si>
    <t>PPCE3MR</t>
  </si>
  <si>
    <t>PPCECH4MR</t>
  </si>
  <si>
    <t>PPCEP4MR</t>
  </si>
  <si>
    <t>PMINI5MR</t>
  </si>
  <si>
    <t>PCH8MR</t>
  </si>
  <si>
    <t>PCP8MR-9</t>
  </si>
  <si>
    <t>PCP8MR</t>
  </si>
  <si>
    <t>PEP6MR-9</t>
  </si>
  <si>
    <t>PEP6MR</t>
  </si>
  <si>
    <t>PEP8MR-9</t>
  </si>
  <si>
    <t>PEP8MR</t>
  </si>
  <si>
    <t>PEX10MR</t>
  </si>
  <si>
    <t>PPCE63MR</t>
  </si>
  <si>
    <t>PPCE3MR-9</t>
  </si>
  <si>
    <t>PPCECH4MR-9</t>
  </si>
  <si>
    <t>PPCEP4MR-9</t>
  </si>
  <si>
    <t>PPCP9MR</t>
  </si>
  <si>
    <t>PPR3MR</t>
  </si>
  <si>
    <t>PPR5MR</t>
  </si>
  <si>
    <t>PPR7MR</t>
  </si>
  <si>
    <t>PPRPRO10MR</t>
  </si>
  <si>
    <t>PPR10MR</t>
  </si>
  <si>
    <t>PPP6MR-9</t>
  </si>
  <si>
    <t>PPP6MR</t>
  </si>
  <si>
    <t>PPP8MR-9</t>
  </si>
  <si>
    <t>PPP8MR</t>
  </si>
  <si>
    <t>PPA6MR</t>
  </si>
  <si>
    <t>PQS2MR</t>
  </si>
  <si>
    <t>PQS5MR</t>
  </si>
  <si>
    <t>SRP05</t>
  </si>
  <si>
    <t>PSC9MR</t>
  </si>
  <si>
    <t>PCPMR</t>
  </si>
  <si>
    <t>PCTEMR</t>
  </si>
  <si>
    <t>PCMR</t>
  </si>
  <si>
    <t>AZSGTU</t>
  </si>
  <si>
    <t>AZSGM</t>
  </si>
  <si>
    <t>CZCLPR</t>
  </si>
  <si>
    <t>PC4MR</t>
  </si>
  <si>
    <t>PCM3MR</t>
  </si>
  <si>
    <t>PC612VMR</t>
  </si>
  <si>
    <t>AT04</t>
  </si>
  <si>
    <t>D100MR</t>
  </si>
  <si>
    <t>SD33</t>
  </si>
  <si>
    <t>M38PMR</t>
  </si>
  <si>
    <t>42PMR</t>
  </si>
  <si>
    <t>P64MR</t>
  </si>
  <si>
    <t>MZR1000</t>
  </si>
  <si>
    <t>G502B</t>
  </si>
  <si>
    <t>EJ3SHDMR</t>
  </si>
  <si>
    <t>EJ412SHDMR</t>
  </si>
  <si>
    <t>EJ4SHDMR</t>
  </si>
  <si>
    <t>ESHD10MR</t>
  </si>
  <si>
    <t>ESHD12MR</t>
  </si>
  <si>
    <t>ESHD14MR</t>
  </si>
  <si>
    <t>ESHD18MR</t>
  </si>
  <si>
    <t>HD38-F</t>
  </si>
  <si>
    <t>HPP0210S4-F</t>
  </si>
  <si>
    <t>PAC8MR</t>
  </si>
  <si>
    <t>PAC10MR</t>
  </si>
  <si>
    <t>PA18MR</t>
  </si>
  <si>
    <t>LTL15MR</t>
  </si>
  <si>
    <t>LT18MRN</t>
  </si>
  <si>
    <t>LT24MR</t>
  </si>
  <si>
    <t>LT24MRN</t>
  </si>
  <si>
    <t>LT30MR</t>
  </si>
  <si>
    <t>LT30MRN</t>
  </si>
  <si>
    <t>LT36MR</t>
  </si>
  <si>
    <t>LT36MRN</t>
  </si>
  <si>
    <t>LT48MRN</t>
  </si>
  <si>
    <t>LT48MR</t>
  </si>
  <si>
    <t>LT56MR</t>
  </si>
  <si>
    <t>LT64MR</t>
  </si>
  <si>
    <t>LT72MRN</t>
  </si>
  <si>
    <t>PS02</t>
  </si>
  <si>
    <t>MSCISSOR</t>
  </si>
  <si>
    <t>TH10MR</t>
  </si>
  <si>
    <t>TFP9MR</t>
  </si>
  <si>
    <t>CZCLR100</t>
  </si>
  <si>
    <t>TBP3</t>
  </si>
  <si>
    <t>TBP4</t>
  </si>
  <si>
    <t>TMF50MR</t>
  </si>
  <si>
    <t>TMG50MR</t>
  </si>
  <si>
    <t>TMF60MR</t>
  </si>
  <si>
    <t>TMG60MR</t>
  </si>
  <si>
    <t>TT12MR</t>
  </si>
  <si>
    <t>BAT8MR</t>
  </si>
  <si>
    <t>BAT10MR</t>
  </si>
  <si>
    <t>VA6MR</t>
  </si>
  <si>
    <t>VA8MR</t>
  </si>
  <si>
    <t>Nombre del cliente:</t>
  </si>
  <si>
    <t>E-mail: miempresa@gmail.com</t>
  </si>
  <si>
    <t>1. El pago será debitado antes de la entrega de bienes y servicios</t>
  </si>
  <si>
    <t>2.Enviar la cotización firmada al email indicado anteriormente</t>
  </si>
  <si>
    <t>FORMATO DE COTIZACIÓN DE PRECIOS</t>
  </si>
  <si>
    <t>IMPUESTO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</si>
</sst>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_(* #,##0.00_);_(* \(#,##0.00\);_(* &quot;-&quot;??_);_(@_)"/>
    <numFmt numFmtId="165" formatCode="_(&quot;$&quot;* #,##0.00_);_(&quot;$&quot;* \(#,##0.00\);_(&quot;$&quot;* &quot;-&quot;??_);_(@_)"/>
  </numFmts>
  <fonts count="21" x14ac:knownFonts="1">
    <font>
      <sz val="11"/>
      <color theme="1"/>
      <name val="Century Gothic"/>
      <family val="2"/>
      <scheme val="minor"/>
    </font>
    <font>
      <b/>
      <sz val="11"/>
      <color theme="0"/>
      <name val="Century Gothic"/>
      <family val="2"/>
      <scheme val="minor"/>
    </font>
    <font>
      <sz val="11"/>
      <color theme="1"/>
      <name val="Century Gothic"/>
      <family val="2"/>
      <scheme val="minor"/>
    </font>
    <font>
      <b/>
      <sz val="20"/>
      <color rgb="FF00B050"/>
      <name val="Arial"/>
      <family val="2"/>
    </font>
    <font>
      <sz val="10"/>
      <name val="Century Gothic"/>
      <family val="2"/>
      <scheme val="minor"/>
    </font>
    <font>
      <sz val="10"/>
      <name val="Verdana"/>
      <family val="2"/>
    </font>
    <font>
      <u/>
      <sz val="10"/>
      <color indexed="12"/>
      <name val="Verdana"/>
      <family val="2"/>
    </font>
    <font>
      <b/>
      <sz val="11"/>
      <color indexed="9"/>
      <name val="Century Gothic"/>
      <family val="1"/>
      <scheme val="major"/>
    </font>
    <font>
      <b/>
      <sz val="10"/>
      <color indexed="9"/>
      <name val="Century Gothic"/>
      <family val="1"/>
      <scheme val="major"/>
    </font>
    <font>
      <sz val="11"/>
      <color indexed="9"/>
      <name val="Century Gothic"/>
      <family val="2"/>
      <scheme val="minor"/>
    </font>
    <font>
      <sz val="11"/>
      <name val="Century Gothic"/>
      <family val="2"/>
      <scheme val="minor"/>
    </font>
    <font>
      <i/>
      <sz val="10"/>
      <name val="Century Gothic"/>
      <family val="2"/>
      <scheme val="minor"/>
    </font>
    <font>
      <b/>
      <sz val="11"/>
      <name val="Century Gothic"/>
      <family val="2"/>
      <scheme val="minor"/>
    </font>
    <font>
      <b/>
      <sz val="10"/>
      <name val="Century Gothic"/>
      <family val="2"/>
      <scheme val="minor"/>
    </font>
    <font>
      <b/>
      <i/>
      <sz val="12"/>
      <name val="Century Gothic"/>
      <family val="2"/>
      <scheme val="minor"/>
    </font>
    <font>
      <sz val="10"/>
      <name val="Trebuchet MS"/>
      <family val="2"/>
    </font>
    <font>
      <sz val="10"/>
      <color theme="1"/>
      <name val="Century Gothic"/>
      <family val="2"/>
      <scheme val="minor"/>
    </font>
    <font>
      <b/>
      <sz val="20"/>
      <color theme="4" tint="-0.499984740745262"/>
      <name val="Century Gothic"/>
      <family val="2"/>
      <scheme val="major"/>
    </font>
    <font>
      <b/>
      <sz val="20"/>
      <color theme="4" tint="-0.499984740745262"/>
      <name val="Arial"/>
      <family val="2"/>
    </font>
    <font>
      <b/>
      <sz val="30"/>
      <color theme="1"/>
      <name val="Century Gothic"/>
      <family val="2"/>
      <scheme val="minor"/>
    </font>
    <font>
      <b/>
      <sz val="30"/>
      <color theme="0"/>
      <name val="Century Gothic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0" tint="-0.499984740745262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0" tint="-0.499984740745262"/>
      </right>
      <top style="thin">
        <color theme="4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hair">
        <color auto="1"/>
      </top>
      <bottom style="thick">
        <color auto="1"/>
      </bottom>
      <diagonal/>
    </border>
    <border>
      <left/>
      <right style="hair">
        <color auto="1"/>
      </right>
      <top style="hair">
        <color auto="1"/>
      </top>
      <bottom style="thick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15" fillId="0" borderId="0"/>
    <xf numFmtId="164" fontId="5" fillId="0" borderId="0" applyFont="0" applyFill="0" applyBorder="0" applyAlignment="0" applyProtection="0"/>
  </cellStyleXfs>
  <cellXfs count="76">
    <xf numFmtId="0" fontId="0" fillId="0" borderId="0" xfId="0"/>
    <xf numFmtId="0" fontId="1" fillId="2" borderId="0" xfId="0" applyFont="1" applyFill="1" applyBorder="1" applyAlignment="1">
      <alignment horizontal="center"/>
    </xf>
    <xf numFmtId="0" fontId="0" fillId="0" borderId="0" xfId="0" applyBorder="1"/>
    <xf numFmtId="44" fontId="1" fillId="2" borderId="0" xfId="1" applyFont="1" applyFill="1" applyBorder="1" applyAlignment="1">
      <alignment horizontal="center"/>
    </xf>
    <xf numFmtId="44" fontId="0" fillId="0" borderId="0" xfId="1" applyFont="1" applyBorder="1"/>
    <xf numFmtId="0" fontId="0" fillId="0" borderId="0" xfId="0" applyAlignment="1">
      <alignment horizontal="center"/>
    </xf>
    <xf numFmtId="0" fontId="6" fillId="0" borderId="0" xfId="2" applyAlignment="1" applyProtection="1"/>
    <xf numFmtId="0" fontId="4" fillId="0" borderId="0" xfId="3" applyFont="1" applyProtection="1"/>
    <xf numFmtId="0" fontId="13" fillId="4" borderId="17" xfId="3" applyFont="1" applyFill="1" applyBorder="1" applyAlignment="1" applyProtection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4" xfId="0" applyBorder="1" applyProtection="1"/>
    <xf numFmtId="44" fontId="0" fillId="0" borderId="4" xfId="1" applyFont="1" applyBorder="1" applyProtection="1"/>
    <xf numFmtId="44" fontId="0" fillId="0" borderId="4" xfId="0" applyNumberFormat="1" applyBorder="1" applyProtection="1"/>
    <xf numFmtId="0" fontId="0" fillId="0" borderId="0" xfId="0" applyProtection="1"/>
    <xf numFmtId="0" fontId="0" fillId="0" borderId="0" xfId="0" applyFill="1" applyProtection="1"/>
    <xf numFmtId="0" fontId="0" fillId="0" borderId="2" xfId="0" applyBorder="1" applyProtection="1"/>
    <xf numFmtId="0" fontId="4" fillId="0" borderId="0" xfId="3" applyFont="1" applyProtection="1">
      <protection locked="0"/>
    </xf>
    <xf numFmtId="14" fontId="4" fillId="0" borderId="1" xfId="3" applyNumberFormat="1" applyFont="1" applyBorder="1" applyAlignment="1" applyProtection="1">
      <alignment horizontal="center"/>
      <protection locked="0"/>
    </xf>
    <xf numFmtId="0" fontId="4" fillId="0" borderId="2" xfId="3" applyFont="1" applyBorder="1" applyAlignment="1" applyProtection="1">
      <alignment horizontal="center"/>
      <protection locked="0"/>
    </xf>
    <xf numFmtId="0" fontId="4" fillId="0" borderId="3" xfId="3" applyFont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4" fillId="0" borderId="0" xfId="3" applyFont="1" applyAlignment="1" applyProtection="1">
      <alignment horizontal="center"/>
      <protection locked="0"/>
    </xf>
    <xf numFmtId="0" fontId="13" fillId="0" borderId="5" xfId="3" applyFont="1" applyBorder="1" applyProtection="1">
      <protection locked="0"/>
    </xf>
    <xf numFmtId="165" fontId="13" fillId="0" borderId="5" xfId="3" applyNumberFormat="1" applyFont="1" applyBorder="1" applyProtection="1">
      <protection locked="0"/>
    </xf>
    <xf numFmtId="0" fontId="13" fillId="0" borderId="0" xfId="3" applyFont="1" applyProtection="1">
      <protection locked="0"/>
    </xf>
    <xf numFmtId="165" fontId="13" fillId="0" borderId="0" xfId="3" applyNumberFormat="1" applyFont="1" applyProtection="1">
      <protection locked="0"/>
    </xf>
    <xf numFmtId="0" fontId="12" fillId="0" borderId="20" xfId="3" applyFont="1" applyBorder="1" applyProtection="1">
      <protection locked="0"/>
    </xf>
    <xf numFmtId="165" fontId="13" fillId="3" borderId="20" xfId="3" applyNumberFormat="1" applyFont="1" applyFill="1" applyBorder="1" applyProtection="1">
      <protection locked="0"/>
    </xf>
    <xf numFmtId="0" fontId="4" fillId="0" borderId="5" xfId="3" applyFont="1" applyBorder="1" applyProtection="1">
      <protection locked="0"/>
    </xf>
    <xf numFmtId="0" fontId="9" fillId="0" borderId="5" xfId="3" applyFont="1" applyBorder="1" applyProtection="1">
      <protection locked="0"/>
    </xf>
    <xf numFmtId="0" fontId="9" fillId="0" borderId="0" xfId="3" applyFont="1" applyProtection="1">
      <protection locked="0"/>
    </xf>
    <xf numFmtId="0" fontId="10" fillId="0" borderId="0" xfId="3" applyFont="1" applyProtection="1">
      <protection locked="0"/>
    </xf>
    <xf numFmtId="0" fontId="16" fillId="0" borderId="4" xfId="0" applyFont="1" applyBorder="1" applyAlignment="1" applyProtection="1">
      <alignment horizontal="center"/>
      <protection locked="0"/>
    </xf>
    <xf numFmtId="0" fontId="16" fillId="0" borderId="4" xfId="0" applyFont="1" applyBorder="1" applyProtection="1">
      <protection locked="0"/>
    </xf>
    <xf numFmtId="0" fontId="7" fillId="5" borderId="0" xfId="3" applyFont="1" applyFill="1" applyAlignment="1" applyProtection="1">
      <alignment horizontal="left"/>
    </xf>
    <xf numFmtId="0" fontId="19" fillId="0" borderId="0" xfId="0" applyFont="1" applyAlignment="1">
      <alignment vertical="top" wrapText="1"/>
    </xf>
    <xf numFmtId="0" fontId="8" fillId="5" borderId="0" xfId="3" applyFont="1" applyFill="1" applyAlignment="1" applyProtection="1">
      <alignment horizontal="center"/>
      <protection locked="0"/>
    </xf>
    <xf numFmtId="44" fontId="0" fillId="0" borderId="4" xfId="1" applyFont="1" applyBorder="1" applyProtection="1">
      <protection locked="0"/>
    </xf>
    <xf numFmtId="0" fontId="7" fillId="0" borderId="0" xfId="3" applyFont="1" applyFill="1" applyAlignment="1" applyProtection="1">
      <alignment horizontal="left"/>
    </xf>
    <xf numFmtId="0" fontId="4" fillId="0" borderId="0" xfId="3" applyFont="1" applyAlignment="1" applyProtection="1">
      <alignment horizontal="center"/>
      <protection locked="0"/>
    </xf>
    <xf numFmtId="0" fontId="3" fillId="0" borderId="0" xfId="3" applyFont="1" applyAlignment="1" applyProtection="1">
      <alignment vertical="center"/>
      <protection locked="0"/>
    </xf>
    <xf numFmtId="0" fontId="4" fillId="0" borderId="0" xfId="3" applyFont="1" applyAlignment="1" applyProtection="1">
      <alignment horizontal="right" indent="1"/>
      <protection locked="0"/>
    </xf>
    <xf numFmtId="0" fontId="4" fillId="0" borderId="0" xfId="3" applyFont="1" applyAlignment="1" applyProtection="1">
      <alignment horizontal="center"/>
      <protection locked="0"/>
    </xf>
    <xf numFmtId="0" fontId="4" fillId="0" borderId="0" xfId="3" applyFont="1" applyAlignment="1" applyProtection="1">
      <alignment horizontal="center"/>
    </xf>
    <xf numFmtId="0" fontId="14" fillId="0" borderId="0" xfId="3" applyFont="1" applyAlignment="1" applyProtection="1">
      <alignment horizontal="center"/>
      <protection locked="0"/>
    </xf>
    <xf numFmtId="0" fontId="4" fillId="0" borderId="12" xfId="3" applyFont="1" applyBorder="1" applyAlignment="1" applyProtection="1">
      <alignment horizontal="left" vertical="top"/>
      <protection locked="0"/>
    </xf>
    <xf numFmtId="0" fontId="4" fillId="0" borderId="0" xfId="3" applyFont="1" applyBorder="1" applyAlignment="1" applyProtection="1">
      <alignment horizontal="left" vertical="top"/>
      <protection locked="0"/>
    </xf>
    <xf numFmtId="0" fontId="4" fillId="0" borderId="13" xfId="3" applyFont="1" applyBorder="1" applyAlignment="1" applyProtection="1">
      <alignment horizontal="left" vertical="top"/>
      <protection locked="0"/>
    </xf>
    <xf numFmtId="0" fontId="13" fillId="0" borderId="12" xfId="3" applyFont="1" applyBorder="1" applyAlignment="1" applyProtection="1">
      <alignment horizontal="left" vertical="top"/>
      <protection locked="0"/>
    </xf>
    <xf numFmtId="0" fontId="13" fillId="0" borderId="0" xfId="3" applyFont="1" applyBorder="1" applyAlignment="1" applyProtection="1">
      <alignment horizontal="left" vertical="top"/>
      <protection locked="0"/>
    </xf>
    <xf numFmtId="0" fontId="13" fillId="0" borderId="13" xfId="3" applyFont="1" applyBorder="1" applyAlignment="1" applyProtection="1">
      <alignment horizontal="left" vertical="top"/>
      <protection locked="0"/>
    </xf>
    <xf numFmtId="0" fontId="4" fillId="0" borderId="0" xfId="3" applyFont="1" applyAlignment="1" applyProtection="1">
      <alignment horizontal="center" vertical="top"/>
      <protection locked="0"/>
    </xf>
    <xf numFmtId="0" fontId="13" fillId="0" borderId="0" xfId="3" applyFont="1" applyAlignment="1" applyProtection="1">
      <alignment horizontal="center" vertical="top"/>
      <protection locked="0"/>
    </xf>
    <xf numFmtId="0" fontId="4" fillId="0" borderId="14" xfId="3" applyFont="1" applyBorder="1" applyAlignment="1" applyProtection="1">
      <alignment horizontal="left" vertical="top"/>
      <protection locked="0"/>
    </xf>
    <xf numFmtId="0" fontId="4" fillId="0" borderId="15" xfId="3" applyFont="1" applyBorder="1" applyAlignment="1" applyProtection="1">
      <alignment horizontal="left" vertical="top"/>
      <protection locked="0"/>
    </xf>
    <xf numFmtId="0" fontId="4" fillId="0" borderId="16" xfId="3" applyFont="1" applyBorder="1" applyAlignment="1" applyProtection="1">
      <alignment horizontal="left" vertical="top"/>
      <protection locked="0"/>
    </xf>
    <xf numFmtId="0" fontId="8" fillId="5" borderId="6" xfId="3" applyFont="1" applyFill="1" applyBorder="1" applyAlignment="1" applyProtection="1">
      <alignment horizontal="left"/>
      <protection locked="0"/>
    </xf>
    <xf numFmtId="0" fontId="8" fillId="5" borderId="7" xfId="3" applyFont="1" applyFill="1" applyBorder="1" applyAlignment="1" applyProtection="1">
      <alignment horizontal="left"/>
      <protection locked="0"/>
    </xf>
    <xf numFmtId="0" fontId="8" fillId="5" borderId="8" xfId="3" applyFont="1" applyFill="1" applyBorder="1" applyAlignment="1" applyProtection="1">
      <alignment horizontal="left"/>
      <protection locked="0"/>
    </xf>
    <xf numFmtId="0" fontId="4" fillId="0" borderId="9" xfId="3" applyFont="1" applyBorder="1" applyAlignment="1" applyProtection="1">
      <alignment horizontal="left" vertical="top"/>
      <protection locked="0"/>
    </xf>
    <xf numFmtId="0" fontId="4" fillId="0" borderId="10" xfId="3" applyFont="1" applyBorder="1" applyAlignment="1" applyProtection="1">
      <alignment horizontal="left" vertical="top"/>
      <protection locked="0"/>
    </xf>
    <xf numFmtId="0" fontId="4" fillId="0" borderId="11" xfId="3" applyFont="1" applyBorder="1" applyAlignment="1" applyProtection="1">
      <alignment horizontal="left" vertical="top"/>
      <protection locked="0"/>
    </xf>
    <xf numFmtId="0" fontId="11" fillId="0" borderId="12" xfId="3" applyFont="1" applyBorder="1" applyAlignment="1" applyProtection="1">
      <alignment horizontal="left" vertical="top"/>
      <protection locked="0"/>
    </xf>
    <xf numFmtId="0" fontId="11" fillId="0" borderId="0" xfId="3" applyFont="1" applyBorder="1" applyAlignment="1" applyProtection="1">
      <alignment horizontal="left" vertical="top"/>
      <protection locked="0"/>
    </xf>
    <xf numFmtId="0" fontId="11" fillId="0" borderId="13" xfId="3" applyFont="1" applyBorder="1" applyAlignment="1" applyProtection="1">
      <alignment horizontal="left" vertical="top"/>
      <protection locked="0"/>
    </xf>
    <xf numFmtId="0" fontId="13" fillId="0" borderId="0" xfId="3" applyFont="1" applyBorder="1" applyAlignment="1" applyProtection="1">
      <alignment horizontal="center"/>
      <protection locked="0"/>
    </xf>
    <xf numFmtId="9" fontId="13" fillId="0" borderId="18" xfId="3" applyNumberFormat="1" applyFont="1" applyBorder="1" applyAlignment="1" applyProtection="1">
      <alignment horizontal="center"/>
      <protection locked="0"/>
    </xf>
    <xf numFmtId="0" fontId="13" fillId="0" borderId="19" xfId="3" applyFont="1" applyBorder="1" applyAlignment="1" applyProtection="1">
      <alignment horizontal="center"/>
      <protection locked="0"/>
    </xf>
    <xf numFmtId="0" fontId="18" fillId="0" borderId="0" xfId="3" applyFont="1" applyAlignment="1" applyProtection="1">
      <alignment horizontal="left" vertical="center" indent="8"/>
      <protection locked="0"/>
    </xf>
    <xf numFmtId="0" fontId="17" fillId="0" borderId="0" xfId="3" applyFont="1" applyAlignment="1" applyProtection="1">
      <alignment horizontal="right"/>
      <protection locked="0"/>
    </xf>
    <xf numFmtId="0" fontId="13" fillId="0" borderId="18" xfId="3" applyFont="1" applyBorder="1" applyAlignment="1" applyProtection="1">
      <alignment horizontal="center"/>
      <protection locked="0"/>
    </xf>
    <xf numFmtId="0" fontId="20" fillId="2" borderId="0" xfId="0" applyFont="1" applyFill="1" applyAlignment="1">
      <alignment horizontal="center" vertical="center" wrapText="1"/>
    </xf>
  </cellXfs>
  <cellStyles count="5">
    <cellStyle name="Hipervínculo" xfId="2" builtinId="8"/>
    <cellStyle name="Millares 2" xfId="4" xr:uid="{C89A124E-617F-49D9-AB59-883034907B8E}"/>
    <cellStyle name="Moneda" xfId="1" builtinId="4"/>
    <cellStyle name="Normal" xfId="0" builtinId="0"/>
    <cellStyle name="Normal 2" xfId="3" xr:uid="{ACD1134A-7ED7-4393-970E-D628AE803CD0}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Menu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6" Type="http://schemas.openxmlformats.org/officeDocument/2006/relationships/image" Target="../media/image1.png"/><Relationship Id="rId5" Type="http://schemas.openxmlformats.org/officeDocument/2006/relationships/hyperlink" Target="#Menu!A1"/><Relationship Id="rId4" Type="http://schemas.openxmlformats.org/officeDocument/2006/relationships/image" Target="../media/image5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pag1'!A1"/><Relationship Id="rId2" Type="http://schemas.openxmlformats.org/officeDocument/2006/relationships/image" Target="../media/image6.jpg"/><Relationship Id="rId1" Type="http://schemas.openxmlformats.org/officeDocument/2006/relationships/hyperlink" Target="#Clientes!A1"/><Relationship Id="rId6" Type="http://schemas.openxmlformats.org/officeDocument/2006/relationships/image" Target="../media/image8.png"/><Relationship Id="rId5" Type="http://schemas.openxmlformats.org/officeDocument/2006/relationships/hyperlink" Target="#Productos!A1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409575</xdr:colOff>
      <xdr:row>1</xdr:row>
      <xdr:rowOff>57150</xdr:rowOff>
    </xdr:from>
    <xdr:to>
      <xdr:col>6</xdr:col>
      <xdr:colOff>159440</xdr:colOff>
      <xdr:row>4</xdr:row>
      <xdr:rowOff>156352</xdr:rowOff>
    </xdr:to>
    <xdr:pic>
      <xdr:nvPicPr>
        <xdr:cNvPr id="4" name="Imagen 3">
          <a:hlinkClick xmlns:r="http://schemas.openxmlformats.org/officeDocument/2006/relationships" r:id="rId1" tooltip="Menu"/>
          <a:extLst>
            <a:ext uri="{FF2B5EF4-FFF2-40B4-BE49-F238E27FC236}">
              <a16:creationId xmlns:a16="http://schemas.microsoft.com/office/drawing/2014/main" id="{0577C09F-84E0-436F-AC88-4B45A2BED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963025" y="266700"/>
          <a:ext cx="588065" cy="7278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676275</xdr:colOff>
      <xdr:row>0</xdr:row>
      <xdr:rowOff>200025</xdr:rowOff>
    </xdr:from>
    <xdr:to>
      <xdr:col>7</xdr:col>
      <xdr:colOff>426140</xdr:colOff>
      <xdr:row>4</xdr:row>
      <xdr:rowOff>89677</xdr:rowOff>
    </xdr:to>
    <xdr:pic>
      <xdr:nvPicPr>
        <xdr:cNvPr id="3" name="Imagen 2">
          <a:hlinkClick xmlns:r="http://schemas.openxmlformats.org/officeDocument/2006/relationships" r:id="rId1" tooltip="Menu"/>
          <a:extLst>
            <a:ext uri="{FF2B5EF4-FFF2-40B4-BE49-F238E27FC236}">
              <a16:creationId xmlns:a16="http://schemas.microsoft.com/office/drawing/2014/main" id="{5953C638-9411-471B-87F2-81EDDEEC70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82175" y="200025"/>
          <a:ext cx="588065" cy="7278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39343</xdr:colOff>
      <xdr:row>0</xdr:row>
      <xdr:rowOff>9588</xdr:rowOff>
    </xdr:from>
    <xdr:to>
      <xdr:col>0</xdr:col>
      <xdr:colOff>544105</xdr:colOff>
      <xdr:row>0</xdr:row>
      <xdr:rowOff>504826</xdr:rowOff>
    </xdr:to>
    <xdr:pic>
      <xdr:nvPicPr>
        <xdr:cNvPr id="2" name="Picture 9">
          <a:extLst>
            <a:ext uri="{FF2B5EF4-FFF2-40B4-BE49-F238E27FC236}">
              <a16:creationId xmlns:a16="http://schemas.microsoft.com/office/drawing/2014/main" id="{9F3A5167-DDF0-4491-B887-5629FB2D97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343" y="9588"/>
          <a:ext cx="504762" cy="495238"/>
        </a:xfrm>
        <a:prstGeom prst="rect">
          <a:avLst/>
        </a:prstGeom>
      </xdr:spPr>
    </xdr:pic>
    <xdr:clientData/>
  </xdr:twoCellAnchor>
  <xdr:twoCellAnchor editAs="oneCell">
    <xdr:from>
      <xdr:col>7</xdr:col>
      <xdr:colOff>31472</xdr:colOff>
      <xdr:row>3</xdr:row>
      <xdr:rowOff>75183</xdr:rowOff>
    </xdr:from>
    <xdr:to>
      <xdr:col>8</xdr:col>
      <xdr:colOff>155297</xdr:colOff>
      <xdr:row>5</xdr:row>
      <xdr:rowOff>43746</xdr:rowOff>
    </xdr:to>
    <xdr:pic macro="[0]!BuscarCliente">
      <xdr:nvPicPr>
        <xdr:cNvPr id="4" name="Imagen 3">
          <a:extLst>
            <a:ext uri="{FF2B5EF4-FFF2-40B4-BE49-F238E27FC236}">
              <a16:creationId xmlns:a16="http://schemas.microsoft.com/office/drawing/2014/main" id="{02E9C552-C038-48F6-9904-02AB9155F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9342" y="969705"/>
          <a:ext cx="314325" cy="324715"/>
        </a:xfrm>
        <a:prstGeom prst="rect">
          <a:avLst/>
        </a:prstGeom>
      </xdr:spPr>
    </xdr:pic>
    <xdr:clientData fLocksWithSheet="0" fPrintsWithSheet="0"/>
  </xdr:twoCellAnchor>
  <xdr:twoCellAnchor editAs="oneCell">
    <xdr:from>
      <xdr:col>6</xdr:col>
      <xdr:colOff>314739</xdr:colOff>
      <xdr:row>12</xdr:row>
      <xdr:rowOff>8282</xdr:rowOff>
    </xdr:from>
    <xdr:to>
      <xdr:col>6</xdr:col>
      <xdr:colOff>763380</xdr:colOff>
      <xdr:row>14</xdr:row>
      <xdr:rowOff>74542</xdr:rowOff>
    </xdr:to>
    <xdr:pic macro="[0]!EliminarFila">
      <xdr:nvPicPr>
        <xdr:cNvPr id="6" name="Imagen 5">
          <a:extLst>
            <a:ext uri="{FF2B5EF4-FFF2-40B4-BE49-F238E27FC236}">
              <a16:creationId xmlns:a16="http://schemas.microsoft.com/office/drawing/2014/main" id="{ADD8D6FA-5E18-4D82-A91F-977A3B975F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8696" y="2501347"/>
          <a:ext cx="448641" cy="414130"/>
        </a:xfrm>
        <a:prstGeom prst="rect">
          <a:avLst/>
        </a:prstGeom>
      </xdr:spPr>
    </xdr:pic>
    <xdr:clientData fLocksWithSheet="0" fPrintsWithSheet="0"/>
  </xdr:twoCellAnchor>
  <xdr:twoCellAnchor editAs="oneCell">
    <xdr:from>
      <xdr:col>11</xdr:col>
      <xdr:colOff>173935</xdr:colOff>
      <xdr:row>6</xdr:row>
      <xdr:rowOff>94207</xdr:rowOff>
    </xdr:from>
    <xdr:to>
      <xdr:col>13</xdr:col>
      <xdr:colOff>215348</xdr:colOff>
      <xdr:row>10</xdr:row>
      <xdr:rowOff>46868</xdr:rowOff>
    </xdr:to>
    <xdr:pic macro="[0]!BorrarTodo">
      <xdr:nvPicPr>
        <xdr:cNvPr id="5" name="Imagen 4">
          <a:extLst>
            <a:ext uri="{FF2B5EF4-FFF2-40B4-BE49-F238E27FC236}">
              <a16:creationId xmlns:a16="http://schemas.microsoft.com/office/drawing/2014/main" id="{D32D2D64-65A4-4110-A7DF-B338B181A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8739" y="1527098"/>
          <a:ext cx="654326" cy="664966"/>
        </a:xfrm>
        <a:prstGeom prst="rect">
          <a:avLst/>
        </a:prstGeom>
      </xdr:spPr>
    </xdr:pic>
    <xdr:clientData fLocksWithSheet="0" fPrintsWithSheet="0"/>
  </xdr:twoCellAnchor>
  <xdr:twoCellAnchor editAs="oneCell">
    <xdr:from>
      <xdr:col>9</xdr:col>
      <xdr:colOff>91108</xdr:colOff>
      <xdr:row>6</xdr:row>
      <xdr:rowOff>37882</xdr:rowOff>
    </xdr:from>
    <xdr:to>
      <xdr:col>10</xdr:col>
      <xdr:colOff>530087</xdr:colOff>
      <xdr:row>10</xdr:row>
      <xdr:rowOff>114938</xdr:rowOff>
    </xdr:to>
    <xdr:pic>
      <xdr:nvPicPr>
        <xdr:cNvPr id="11" name="Imagen 10">
          <a:hlinkClick xmlns:r="http://schemas.openxmlformats.org/officeDocument/2006/relationships" r:id="rId5" tooltip="Menu"/>
          <a:extLst>
            <a:ext uri="{FF2B5EF4-FFF2-40B4-BE49-F238E27FC236}">
              <a16:creationId xmlns:a16="http://schemas.microsoft.com/office/drawing/2014/main" id="{214876DC-519A-4313-A1BB-CB0DB58256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564217" y="1470773"/>
          <a:ext cx="637761" cy="789361"/>
        </a:xfrm>
        <a:prstGeom prst="rect">
          <a:avLst/>
        </a:prstGeom>
      </xdr:spPr>
    </xdr:pic>
    <xdr:clientData fLocksWithSheet="0"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266699</xdr:colOff>
      <xdr:row>4</xdr:row>
      <xdr:rowOff>57150</xdr:rowOff>
    </xdr:from>
    <xdr:to>
      <xdr:col>5</xdr:col>
      <xdr:colOff>219075</xdr:colOff>
      <xdr:row>13</xdr:row>
      <xdr:rowOff>129854</xdr:rowOff>
    </xdr:to>
    <xdr:pic>
      <xdr:nvPicPr>
        <xdr:cNvPr id="5" name="Imagen 4">
          <a:hlinkClick xmlns:r="http://schemas.openxmlformats.org/officeDocument/2006/relationships" r:id="rId1" tooltip="Clientes"/>
          <a:extLst>
            <a:ext uri="{FF2B5EF4-FFF2-40B4-BE49-F238E27FC236}">
              <a16:creationId xmlns:a16="http://schemas.microsoft.com/office/drawing/2014/main" id="{7D76D74C-A469-4A80-929F-B52C947511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1299" y="1295400"/>
          <a:ext cx="1628776" cy="1958654"/>
        </a:xfrm>
        <a:prstGeom prst="rect">
          <a:avLst/>
        </a:prstGeom>
      </xdr:spPr>
    </xdr:pic>
    <xdr:clientData/>
  </xdr:twoCellAnchor>
  <xdr:twoCellAnchor editAs="oneCell">
    <xdr:from>
      <xdr:col>6</xdr:col>
      <xdr:colOff>666749</xdr:colOff>
      <xdr:row>4</xdr:row>
      <xdr:rowOff>133350</xdr:rowOff>
    </xdr:from>
    <xdr:to>
      <xdr:col>8</xdr:col>
      <xdr:colOff>534056</xdr:colOff>
      <xdr:row>13</xdr:row>
      <xdr:rowOff>38100</xdr:rowOff>
    </xdr:to>
    <xdr:pic>
      <xdr:nvPicPr>
        <xdr:cNvPr id="12" name="Imagen 11">
          <a:hlinkClick xmlns:r="http://schemas.openxmlformats.org/officeDocument/2006/relationships" r:id="rId3" tooltip="Cotizacion"/>
          <a:extLst>
            <a:ext uri="{FF2B5EF4-FFF2-40B4-BE49-F238E27FC236}">
              <a16:creationId xmlns:a16="http://schemas.microsoft.com/office/drawing/2014/main" id="{CBC83B85-0D00-43D7-B1A0-74B6A5105E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695949" y="1371600"/>
          <a:ext cx="1543707" cy="1790700"/>
        </a:xfrm>
        <a:prstGeom prst="rect">
          <a:avLst/>
        </a:prstGeom>
      </xdr:spPr>
    </xdr:pic>
    <xdr:clientData/>
  </xdr:twoCellAnchor>
  <xdr:twoCellAnchor editAs="oneCell">
    <xdr:from>
      <xdr:col>0</xdr:col>
      <xdr:colOff>523875</xdr:colOff>
      <xdr:row>5</xdr:row>
      <xdr:rowOff>190500</xdr:rowOff>
    </xdr:from>
    <xdr:to>
      <xdr:col>2</xdr:col>
      <xdr:colOff>81355</xdr:colOff>
      <xdr:row>12</xdr:row>
      <xdr:rowOff>190500</xdr:rowOff>
    </xdr:to>
    <xdr:pic>
      <xdr:nvPicPr>
        <xdr:cNvPr id="18" name="Imagen 17">
          <a:hlinkClick xmlns:r="http://schemas.openxmlformats.org/officeDocument/2006/relationships" r:id="rId5" tooltip="Productos"/>
          <a:extLst>
            <a:ext uri="{FF2B5EF4-FFF2-40B4-BE49-F238E27FC236}">
              <a16:creationId xmlns:a16="http://schemas.microsoft.com/office/drawing/2014/main" id="{95F98D1D-BEB6-4C5E-BFC9-6A1DB3521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23875" y="1638300"/>
          <a:ext cx="1233880" cy="14668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ector">
  <a:themeElements>
    <a:clrScheme name="Sector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ector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ector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mailto:cmiguel@gmail.com" TargetMode="External"/><Relationship Id="rId1" Type="http://schemas.openxmlformats.org/officeDocument/2006/relationships/hyperlink" Target="mailto:mperez@gmail.c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E22CD-DE64-489E-8586-AF28E5410E26}">
  <sheetPr codeName="Hoja1"/>
  <dimension ref="A1:D590"/>
  <sheetViews>
    <sheetView zoomScaleNormal="100" workbookViewId="0"/>
  </sheetViews>
  <sheetFormatPr baseColWidth="10" defaultRowHeight="16.5" x14ac:dyDescent="0.3"/>
  <cols>
    <col min="1" max="1" width="14.125" style="11" bestFit="1" customWidth="1"/>
    <col min="2" max="2" width="59.25" style="2" customWidth="1"/>
    <col min="3" max="3" width="13.625" style="4" customWidth="1"/>
    <col min="4" max="4" width="14.25" style="4" customWidth="1"/>
  </cols>
  <sheetData>
    <row r="1" spans="1:4" x14ac:dyDescent="0.3">
      <c r="A1" s="1" t="s">
        <v>1</v>
      </c>
      <c r="B1" s="1" t="s">
        <v>2</v>
      </c>
      <c r="C1" s="3" t="s">
        <v>3</v>
      </c>
      <c r="D1" s="3" t="s">
        <v>4</v>
      </c>
    </row>
    <row r="2" spans="1:4" x14ac:dyDescent="0.3">
      <c r="A2" s="9" t="s">
        <v>633</v>
      </c>
      <c r="B2" t="s">
        <v>41</v>
      </c>
      <c r="C2" s="4">
        <v>11</v>
      </c>
      <c r="D2" s="4">
        <v>9.5</v>
      </c>
    </row>
    <row r="3" spans="1:4" x14ac:dyDescent="0.3">
      <c r="A3" s="9" t="s">
        <v>634</v>
      </c>
      <c r="B3" t="s">
        <v>42</v>
      </c>
      <c r="C3" s="4">
        <v>16</v>
      </c>
      <c r="D3" s="4">
        <v>14</v>
      </c>
    </row>
    <row r="4" spans="1:4" x14ac:dyDescent="0.3">
      <c r="A4" s="9" t="s">
        <v>635</v>
      </c>
      <c r="B4" t="s">
        <v>43</v>
      </c>
      <c r="C4" s="4">
        <v>26</v>
      </c>
      <c r="D4" s="4">
        <v>23</v>
      </c>
    </row>
    <row r="5" spans="1:4" x14ac:dyDescent="0.3">
      <c r="A5" s="9" t="s">
        <v>636</v>
      </c>
      <c r="B5" t="s">
        <v>44</v>
      </c>
      <c r="C5" s="4">
        <v>26</v>
      </c>
      <c r="D5" s="4">
        <v>23</v>
      </c>
    </row>
    <row r="6" spans="1:4" x14ac:dyDescent="0.3">
      <c r="A6" s="9" t="s">
        <v>637</v>
      </c>
      <c r="B6" t="s">
        <v>45</v>
      </c>
      <c r="C6" s="4">
        <v>29</v>
      </c>
      <c r="D6" s="4">
        <v>25</v>
      </c>
    </row>
    <row r="7" spans="1:4" x14ac:dyDescent="0.3">
      <c r="A7" s="10">
        <v>854</v>
      </c>
      <c r="B7" t="s">
        <v>46</v>
      </c>
      <c r="C7" s="4">
        <v>38</v>
      </c>
      <c r="D7" s="4">
        <v>33.5</v>
      </c>
    </row>
    <row r="8" spans="1:4" x14ac:dyDescent="0.3">
      <c r="A8" s="9" t="s">
        <v>638</v>
      </c>
      <c r="B8" t="s">
        <v>47</v>
      </c>
      <c r="C8" s="4">
        <v>43</v>
      </c>
      <c r="D8" s="4">
        <v>38</v>
      </c>
    </row>
    <row r="9" spans="1:4" x14ac:dyDescent="0.3">
      <c r="A9" s="9" t="s">
        <v>639</v>
      </c>
      <c r="B9" t="s">
        <v>48</v>
      </c>
      <c r="C9" s="4">
        <v>60</v>
      </c>
      <c r="D9" s="4">
        <v>60</v>
      </c>
    </row>
    <row r="10" spans="1:4" x14ac:dyDescent="0.3">
      <c r="A10" s="9" t="s">
        <v>640</v>
      </c>
      <c r="B10" t="s">
        <v>49</v>
      </c>
      <c r="C10" s="4">
        <v>47</v>
      </c>
      <c r="D10" s="4">
        <v>41.5</v>
      </c>
    </row>
    <row r="11" spans="1:4" x14ac:dyDescent="0.3">
      <c r="A11" s="9" t="s">
        <v>641</v>
      </c>
      <c r="B11" t="s">
        <v>50</v>
      </c>
      <c r="C11" s="4">
        <v>98</v>
      </c>
      <c r="D11" s="4">
        <v>86.5</v>
      </c>
    </row>
    <row r="12" spans="1:4" x14ac:dyDescent="0.3">
      <c r="A12" s="11" t="s">
        <v>642</v>
      </c>
      <c r="B12" t="s">
        <v>51</v>
      </c>
      <c r="C12" s="4">
        <v>115</v>
      </c>
      <c r="D12" s="4">
        <v>101.5</v>
      </c>
    </row>
    <row r="13" spans="1:4" x14ac:dyDescent="0.3">
      <c r="A13" s="11" t="s">
        <v>643</v>
      </c>
      <c r="B13" t="s">
        <v>52</v>
      </c>
      <c r="C13" s="4">
        <v>29</v>
      </c>
      <c r="D13" s="4">
        <v>25</v>
      </c>
    </row>
    <row r="14" spans="1:4" x14ac:dyDescent="0.3">
      <c r="A14" s="11" t="s">
        <v>644</v>
      </c>
      <c r="B14" t="s">
        <v>53</v>
      </c>
      <c r="C14" s="4">
        <v>58</v>
      </c>
      <c r="D14" s="4">
        <v>51</v>
      </c>
    </row>
    <row r="15" spans="1:4" x14ac:dyDescent="0.3">
      <c r="A15" s="11" t="s">
        <v>645</v>
      </c>
      <c r="B15" t="s">
        <v>54</v>
      </c>
      <c r="C15" s="4">
        <v>15</v>
      </c>
      <c r="D15" s="4">
        <v>13</v>
      </c>
    </row>
    <row r="16" spans="1:4" x14ac:dyDescent="0.3">
      <c r="A16" s="11" t="s">
        <v>646</v>
      </c>
      <c r="B16" t="s">
        <v>55</v>
      </c>
      <c r="C16" s="4">
        <v>7</v>
      </c>
      <c r="D16" s="4">
        <v>6</v>
      </c>
    </row>
    <row r="17" spans="1:4" x14ac:dyDescent="0.3">
      <c r="A17" s="11" t="s">
        <v>647</v>
      </c>
      <c r="B17" t="s">
        <v>56</v>
      </c>
      <c r="C17" s="4">
        <v>800</v>
      </c>
      <c r="D17" s="4">
        <v>800</v>
      </c>
    </row>
    <row r="18" spans="1:4" x14ac:dyDescent="0.3">
      <c r="A18" s="11" t="s">
        <v>648</v>
      </c>
      <c r="B18" t="s">
        <v>57</v>
      </c>
      <c r="C18" s="4">
        <v>800</v>
      </c>
      <c r="D18" s="4">
        <v>800</v>
      </c>
    </row>
    <row r="19" spans="1:4" x14ac:dyDescent="0.3">
      <c r="A19" s="11" t="s">
        <v>649</v>
      </c>
      <c r="B19" t="s">
        <v>58</v>
      </c>
      <c r="C19" s="4">
        <v>189</v>
      </c>
      <c r="D19" s="4">
        <v>167</v>
      </c>
    </row>
    <row r="20" spans="1:4" x14ac:dyDescent="0.3">
      <c r="A20" s="11" t="s">
        <v>650</v>
      </c>
      <c r="B20" t="s">
        <v>59</v>
      </c>
      <c r="C20" s="4">
        <v>85</v>
      </c>
      <c r="D20" s="4">
        <v>75</v>
      </c>
    </row>
    <row r="21" spans="1:4" x14ac:dyDescent="0.3">
      <c r="A21" s="11" t="s">
        <v>651</v>
      </c>
      <c r="B21" t="s">
        <v>60</v>
      </c>
      <c r="C21" s="4">
        <v>58</v>
      </c>
      <c r="D21" s="4">
        <v>51</v>
      </c>
    </row>
    <row r="22" spans="1:4" x14ac:dyDescent="0.3">
      <c r="A22" s="11" t="s">
        <v>652</v>
      </c>
      <c r="B22" t="s">
        <v>61</v>
      </c>
      <c r="C22" s="4">
        <v>1000</v>
      </c>
      <c r="D22" s="4">
        <v>1000</v>
      </c>
    </row>
    <row r="23" spans="1:4" x14ac:dyDescent="0.3">
      <c r="A23" s="11" t="s">
        <v>653</v>
      </c>
      <c r="B23" t="s">
        <v>62</v>
      </c>
      <c r="C23" s="4">
        <v>229</v>
      </c>
      <c r="D23" s="4">
        <v>219</v>
      </c>
    </row>
    <row r="24" spans="1:4" x14ac:dyDescent="0.3">
      <c r="A24" s="11" t="s">
        <v>654</v>
      </c>
      <c r="B24" t="s">
        <v>63</v>
      </c>
      <c r="C24" s="4">
        <v>331</v>
      </c>
      <c r="D24" s="4">
        <v>322</v>
      </c>
    </row>
    <row r="25" spans="1:4" x14ac:dyDescent="0.3">
      <c r="A25" s="11" t="s">
        <v>655</v>
      </c>
      <c r="B25" t="s">
        <v>64</v>
      </c>
      <c r="C25" s="4">
        <v>206</v>
      </c>
      <c r="D25" s="4">
        <v>196</v>
      </c>
    </row>
    <row r="26" spans="1:4" x14ac:dyDescent="0.3">
      <c r="A26" s="11" t="s">
        <v>656</v>
      </c>
      <c r="B26" t="s">
        <v>65</v>
      </c>
      <c r="C26" s="4">
        <v>129</v>
      </c>
      <c r="D26" s="4">
        <v>114</v>
      </c>
    </row>
    <row r="27" spans="1:4" x14ac:dyDescent="0.3">
      <c r="A27" s="11" t="s">
        <v>657</v>
      </c>
      <c r="B27" t="s">
        <v>66</v>
      </c>
      <c r="C27" s="4">
        <v>212</v>
      </c>
      <c r="D27" s="4">
        <v>201.5</v>
      </c>
    </row>
    <row r="28" spans="1:4" x14ac:dyDescent="0.3">
      <c r="A28" s="11" t="s">
        <v>658</v>
      </c>
      <c r="B28" t="s">
        <v>67</v>
      </c>
      <c r="C28" s="4">
        <v>292</v>
      </c>
      <c r="D28" s="4">
        <v>282</v>
      </c>
    </row>
    <row r="29" spans="1:4" x14ac:dyDescent="0.3">
      <c r="A29" s="11" t="s">
        <v>659</v>
      </c>
      <c r="B29" t="s">
        <v>68</v>
      </c>
      <c r="C29" s="4">
        <v>153</v>
      </c>
      <c r="D29" s="4">
        <v>138</v>
      </c>
    </row>
    <row r="30" spans="1:4" x14ac:dyDescent="0.3">
      <c r="A30" s="11" t="s">
        <v>660</v>
      </c>
      <c r="B30" t="s">
        <v>69</v>
      </c>
      <c r="C30" s="4">
        <v>8</v>
      </c>
      <c r="D30" s="4">
        <v>7</v>
      </c>
    </row>
    <row r="31" spans="1:4" x14ac:dyDescent="0.3">
      <c r="A31" s="11" t="s">
        <v>661</v>
      </c>
      <c r="B31" t="s">
        <v>70</v>
      </c>
      <c r="C31" s="4">
        <v>12</v>
      </c>
      <c r="D31" s="4">
        <v>10</v>
      </c>
    </row>
    <row r="32" spans="1:4" x14ac:dyDescent="0.3">
      <c r="A32" s="11" t="s">
        <v>662</v>
      </c>
      <c r="B32" t="s">
        <v>71</v>
      </c>
      <c r="C32" s="4">
        <v>11</v>
      </c>
      <c r="D32" s="4">
        <v>9.5</v>
      </c>
    </row>
    <row r="33" spans="1:4" x14ac:dyDescent="0.3">
      <c r="A33" s="11" t="s">
        <v>663</v>
      </c>
      <c r="B33" t="s">
        <v>72</v>
      </c>
      <c r="C33" s="4">
        <v>17</v>
      </c>
      <c r="D33" s="4">
        <v>14.5</v>
      </c>
    </row>
    <row r="34" spans="1:4" x14ac:dyDescent="0.3">
      <c r="A34" s="11" t="s">
        <v>664</v>
      </c>
      <c r="B34" t="s">
        <v>73</v>
      </c>
      <c r="C34" s="4">
        <v>12</v>
      </c>
      <c r="D34" s="4">
        <v>10.5</v>
      </c>
    </row>
    <row r="35" spans="1:4" x14ac:dyDescent="0.3">
      <c r="A35" s="11" t="s">
        <v>665</v>
      </c>
      <c r="B35" t="s">
        <v>74</v>
      </c>
      <c r="C35" s="4">
        <v>6</v>
      </c>
      <c r="D35" s="4">
        <v>5</v>
      </c>
    </row>
    <row r="36" spans="1:4" x14ac:dyDescent="0.3">
      <c r="A36" s="11" t="s">
        <v>666</v>
      </c>
      <c r="B36" t="s">
        <v>75</v>
      </c>
      <c r="C36" s="4">
        <v>5</v>
      </c>
      <c r="D36" s="4">
        <v>4</v>
      </c>
    </row>
    <row r="37" spans="1:4" x14ac:dyDescent="0.3">
      <c r="A37" s="11" t="s">
        <v>667</v>
      </c>
      <c r="B37" t="s">
        <v>76</v>
      </c>
      <c r="C37" s="4">
        <v>7</v>
      </c>
      <c r="D37" s="4">
        <v>6</v>
      </c>
    </row>
    <row r="38" spans="1:4" x14ac:dyDescent="0.3">
      <c r="A38" s="11" t="s">
        <v>668</v>
      </c>
      <c r="B38" t="s">
        <v>77</v>
      </c>
      <c r="C38" s="4">
        <v>7</v>
      </c>
      <c r="D38" s="4">
        <v>5.5</v>
      </c>
    </row>
    <row r="39" spans="1:4" x14ac:dyDescent="0.3">
      <c r="A39" s="11" t="s">
        <v>669</v>
      </c>
      <c r="B39" t="s">
        <v>78</v>
      </c>
      <c r="C39" s="4">
        <v>9</v>
      </c>
      <c r="D39" s="4">
        <v>7.5</v>
      </c>
    </row>
    <row r="40" spans="1:4" x14ac:dyDescent="0.3">
      <c r="A40" s="11" t="s">
        <v>670</v>
      </c>
      <c r="B40" t="s">
        <v>79</v>
      </c>
      <c r="C40" s="4">
        <v>8</v>
      </c>
      <c r="D40" s="4">
        <v>6.5</v>
      </c>
    </row>
    <row r="41" spans="1:4" x14ac:dyDescent="0.3">
      <c r="A41" s="11" t="s">
        <v>671</v>
      </c>
      <c r="B41" t="s">
        <v>80</v>
      </c>
      <c r="C41" s="4">
        <v>11</v>
      </c>
      <c r="D41" s="4">
        <v>9</v>
      </c>
    </row>
    <row r="42" spans="1:4" x14ac:dyDescent="0.3">
      <c r="A42" s="11" t="s">
        <v>672</v>
      </c>
      <c r="B42" t="s">
        <v>81</v>
      </c>
      <c r="C42" s="4">
        <v>10</v>
      </c>
      <c r="D42" s="4">
        <v>8.5</v>
      </c>
    </row>
    <row r="43" spans="1:4" x14ac:dyDescent="0.3">
      <c r="A43" s="11" t="s">
        <v>673</v>
      </c>
      <c r="B43" t="s">
        <v>82</v>
      </c>
      <c r="C43" s="4">
        <v>13</v>
      </c>
      <c r="D43" s="4">
        <v>11.5</v>
      </c>
    </row>
    <row r="44" spans="1:4" x14ac:dyDescent="0.3">
      <c r="A44" s="11" t="s">
        <v>674</v>
      </c>
      <c r="B44" t="s">
        <v>83</v>
      </c>
      <c r="C44" s="4">
        <v>25</v>
      </c>
      <c r="D44" s="4">
        <v>21.5</v>
      </c>
    </row>
    <row r="45" spans="1:4" x14ac:dyDescent="0.3">
      <c r="A45" s="12">
        <v>150</v>
      </c>
      <c r="B45" t="s">
        <v>84</v>
      </c>
      <c r="C45" s="4">
        <v>86</v>
      </c>
      <c r="D45" s="4">
        <v>76</v>
      </c>
    </row>
    <row r="46" spans="1:4" x14ac:dyDescent="0.3">
      <c r="A46" s="11" t="s">
        <v>675</v>
      </c>
      <c r="B46" t="s">
        <v>85</v>
      </c>
      <c r="C46" s="4">
        <v>17</v>
      </c>
      <c r="D46" s="4">
        <v>14.5</v>
      </c>
    </row>
    <row r="47" spans="1:4" x14ac:dyDescent="0.3">
      <c r="A47" s="11" t="s">
        <v>676</v>
      </c>
      <c r="B47" t="s">
        <v>86</v>
      </c>
      <c r="C47" s="4">
        <v>36</v>
      </c>
      <c r="D47" s="4">
        <v>31.5</v>
      </c>
    </row>
    <row r="48" spans="1:4" x14ac:dyDescent="0.3">
      <c r="A48" s="11" t="s">
        <v>677</v>
      </c>
      <c r="B48" t="s">
        <v>87</v>
      </c>
      <c r="C48" s="4">
        <v>81</v>
      </c>
      <c r="D48" s="4">
        <v>71.5</v>
      </c>
    </row>
    <row r="49" spans="1:4" x14ac:dyDescent="0.3">
      <c r="A49" s="11" t="s">
        <v>678</v>
      </c>
      <c r="B49" t="s">
        <v>88</v>
      </c>
      <c r="C49" s="4">
        <v>72</v>
      </c>
      <c r="D49" s="4">
        <v>63.5</v>
      </c>
    </row>
    <row r="50" spans="1:4" x14ac:dyDescent="0.3">
      <c r="A50" s="11" t="s">
        <v>679</v>
      </c>
      <c r="B50" t="s">
        <v>89</v>
      </c>
      <c r="C50" s="4">
        <v>6</v>
      </c>
      <c r="D50" s="4">
        <v>5</v>
      </c>
    </row>
    <row r="51" spans="1:4" x14ac:dyDescent="0.3">
      <c r="A51" s="12">
        <v>442</v>
      </c>
      <c r="B51" t="s">
        <v>90</v>
      </c>
      <c r="C51" s="4">
        <v>131</v>
      </c>
      <c r="D51" s="4">
        <v>121</v>
      </c>
    </row>
    <row r="52" spans="1:4" x14ac:dyDescent="0.3">
      <c r="A52" s="11" t="s">
        <v>680</v>
      </c>
      <c r="B52" t="s">
        <v>91</v>
      </c>
      <c r="C52" s="4">
        <v>26</v>
      </c>
      <c r="D52" s="4">
        <v>23</v>
      </c>
    </row>
    <row r="53" spans="1:4" x14ac:dyDescent="0.3">
      <c r="A53" s="11" t="s">
        <v>681</v>
      </c>
      <c r="B53" t="s">
        <v>92</v>
      </c>
      <c r="C53" s="4">
        <v>28</v>
      </c>
      <c r="D53" s="4">
        <v>24.5</v>
      </c>
    </row>
    <row r="54" spans="1:4" x14ac:dyDescent="0.3">
      <c r="A54" s="11" t="s">
        <v>682</v>
      </c>
      <c r="B54" t="s">
        <v>93</v>
      </c>
      <c r="C54" s="4">
        <v>29</v>
      </c>
      <c r="D54" s="4">
        <v>25.5</v>
      </c>
    </row>
    <row r="55" spans="1:4" x14ac:dyDescent="0.3">
      <c r="A55" s="11" t="s">
        <v>683</v>
      </c>
      <c r="B55" t="s">
        <v>94</v>
      </c>
      <c r="C55" s="4">
        <v>63</v>
      </c>
      <c r="D55" s="4">
        <v>55.5</v>
      </c>
    </row>
    <row r="56" spans="1:4" x14ac:dyDescent="0.3">
      <c r="A56" s="11" t="s">
        <v>684</v>
      </c>
      <c r="B56" t="s">
        <v>95</v>
      </c>
      <c r="C56" s="4">
        <v>40</v>
      </c>
      <c r="D56" s="4">
        <v>35</v>
      </c>
    </row>
    <row r="57" spans="1:4" x14ac:dyDescent="0.3">
      <c r="A57" s="11" t="s">
        <v>685</v>
      </c>
      <c r="B57" t="s">
        <v>96</v>
      </c>
      <c r="C57" s="4">
        <v>28</v>
      </c>
      <c r="D57" s="4">
        <v>24</v>
      </c>
    </row>
    <row r="58" spans="1:4" x14ac:dyDescent="0.3">
      <c r="A58" s="11" t="s">
        <v>686</v>
      </c>
      <c r="B58" t="s">
        <v>97</v>
      </c>
      <c r="C58" s="4">
        <v>68</v>
      </c>
      <c r="D58" s="4">
        <v>60</v>
      </c>
    </row>
    <row r="59" spans="1:4" x14ac:dyDescent="0.3">
      <c r="A59" s="11" t="s">
        <v>687</v>
      </c>
      <c r="B59" t="s">
        <v>98</v>
      </c>
      <c r="C59" s="4">
        <v>51</v>
      </c>
      <c r="D59" s="4">
        <v>44.5</v>
      </c>
    </row>
    <row r="60" spans="1:4" x14ac:dyDescent="0.3">
      <c r="A60" s="11" t="s">
        <v>688</v>
      </c>
      <c r="B60" t="s">
        <v>99</v>
      </c>
      <c r="C60" s="4">
        <v>26</v>
      </c>
      <c r="D60" s="4">
        <v>23</v>
      </c>
    </row>
    <row r="61" spans="1:4" x14ac:dyDescent="0.3">
      <c r="A61" s="11" t="s">
        <v>689</v>
      </c>
      <c r="B61" t="s">
        <v>100</v>
      </c>
      <c r="C61" s="4">
        <v>64</v>
      </c>
      <c r="D61" s="4">
        <v>56.5</v>
      </c>
    </row>
    <row r="62" spans="1:4" x14ac:dyDescent="0.3">
      <c r="A62" s="11" t="s">
        <v>690</v>
      </c>
      <c r="B62" t="s">
        <v>101</v>
      </c>
      <c r="C62" s="4">
        <v>50</v>
      </c>
      <c r="D62" s="4">
        <v>44</v>
      </c>
    </row>
    <row r="63" spans="1:4" x14ac:dyDescent="0.3">
      <c r="A63" s="12">
        <v>1092</v>
      </c>
      <c r="B63" t="s">
        <v>102</v>
      </c>
      <c r="C63" s="4">
        <v>29</v>
      </c>
      <c r="D63" s="4">
        <v>25.5</v>
      </c>
    </row>
    <row r="64" spans="1:4" x14ac:dyDescent="0.3">
      <c r="A64" s="11" t="s">
        <v>691</v>
      </c>
      <c r="B64" t="s">
        <v>103</v>
      </c>
      <c r="C64" s="4">
        <v>32</v>
      </c>
      <c r="D64" s="4">
        <v>28</v>
      </c>
    </row>
    <row r="65" spans="1:4" x14ac:dyDescent="0.3">
      <c r="A65" s="11" t="s">
        <v>692</v>
      </c>
      <c r="B65" t="s">
        <v>104</v>
      </c>
      <c r="C65" s="4">
        <v>47</v>
      </c>
      <c r="D65" s="4">
        <v>41.5</v>
      </c>
    </row>
    <row r="66" spans="1:4" x14ac:dyDescent="0.3">
      <c r="A66" s="11" t="s">
        <v>693</v>
      </c>
      <c r="B66" t="s">
        <v>105</v>
      </c>
      <c r="C66" s="4">
        <v>36</v>
      </c>
      <c r="D66" s="4">
        <v>31.5</v>
      </c>
    </row>
    <row r="67" spans="1:4" x14ac:dyDescent="0.3">
      <c r="A67" s="11" t="s">
        <v>694</v>
      </c>
      <c r="B67" t="s">
        <v>106</v>
      </c>
      <c r="C67" s="4">
        <v>32</v>
      </c>
      <c r="D67" s="4">
        <v>28</v>
      </c>
    </row>
    <row r="68" spans="1:4" x14ac:dyDescent="0.3">
      <c r="A68" s="11" t="s">
        <v>695</v>
      </c>
      <c r="B68" t="s">
        <v>107</v>
      </c>
      <c r="C68" s="4">
        <v>43</v>
      </c>
      <c r="D68" s="4">
        <v>38</v>
      </c>
    </row>
    <row r="69" spans="1:4" x14ac:dyDescent="0.3">
      <c r="A69" s="11" t="s">
        <v>696</v>
      </c>
      <c r="B69" t="s">
        <v>108</v>
      </c>
      <c r="C69" s="4">
        <v>159</v>
      </c>
      <c r="D69" s="4">
        <v>140.5</v>
      </c>
    </row>
    <row r="70" spans="1:4" x14ac:dyDescent="0.3">
      <c r="A70" s="11" t="s">
        <v>697</v>
      </c>
      <c r="B70" t="s">
        <v>109</v>
      </c>
      <c r="C70" s="4">
        <v>36</v>
      </c>
      <c r="D70" s="4">
        <v>31.5</v>
      </c>
    </row>
    <row r="71" spans="1:4" x14ac:dyDescent="0.3">
      <c r="A71" s="11" t="s">
        <v>698</v>
      </c>
      <c r="B71" t="s">
        <v>110</v>
      </c>
      <c r="C71" s="4">
        <v>86</v>
      </c>
      <c r="D71" s="4">
        <v>76</v>
      </c>
    </row>
    <row r="72" spans="1:4" x14ac:dyDescent="0.3">
      <c r="A72" s="11" t="s">
        <v>699</v>
      </c>
      <c r="B72" t="s">
        <v>111</v>
      </c>
      <c r="C72" s="4">
        <v>19</v>
      </c>
      <c r="D72" s="4">
        <v>16.5</v>
      </c>
    </row>
    <row r="73" spans="1:4" x14ac:dyDescent="0.3">
      <c r="A73" s="11" t="s">
        <v>700</v>
      </c>
      <c r="B73" t="s">
        <v>112</v>
      </c>
      <c r="C73" s="4">
        <v>20</v>
      </c>
      <c r="D73" s="4">
        <v>17.5</v>
      </c>
    </row>
    <row r="74" spans="1:4" x14ac:dyDescent="0.3">
      <c r="A74" s="11" t="s">
        <v>701</v>
      </c>
      <c r="B74" t="s">
        <v>113</v>
      </c>
      <c r="C74" s="4">
        <v>40</v>
      </c>
      <c r="D74" s="4">
        <v>35</v>
      </c>
    </row>
    <row r="75" spans="1:4" x14ac:dyDescent="0.3">
      <c r="A75" s="11" t="s">
        <v>702</v>
      </c>
      <c r="B75" t="s">
        <v>114</v>
      </c>
      <c r="C75" s="4">
        <v>82</v>
      </c>
      <c r="D75" s="4">
        <v>72</v>
      </c>
    </row>
    <row r="76" spans="1:4" x14ac:dyDescent="0.3">
      <c r="A76" s="11" t="s">
        <v>703</v>
      </c>
      <c r="B76" t="s">
        <v>115</v>
      </c>
      <c r="C76" s="4">
        <v>120</v>
      </c>
      <c r="D76" s="4">
        <v>107</v>
      </c>
    </row>
    <row r="77" spans="1:4" x14ac:dyDescent="0.3">
      <c r="A77" s="11" t="s">
        <v>704</v>
      </c>
      <c r="B77" t="s">
        <v>116</v>
      </c>
      <c r="C77" s="4">
        <v>193</v>
      </c>
      <c r="D77" s="4">
        <v>170.5</v>
      </c>
    </row>
    <row r="78" spans="1:4" x14ac:dyDescent="0.3">
      <c r="A78" s="12">
        <v>301</v>
      </c>
      <c r="B78" t="s">
        <v>117</v>
      </c>
      <c r="C78" s="4">
        <v>11</v>
      </c>
      <c r="D78" s="4">
        <v>9</v>
      </c>
    </row>
    <row r="79" spans="1:4" x14ac:dyDescent="0.3">
      <c r="A79" s="11" t="s">
        <v>705</v>
      </c>
      <c r="B79" t="s">
        <v>118</v>
      </c>
      <c r="C79" s="4">
        <v>19</v>
      </c>
      <c r="D79" s="4">
        <v>16.5</v>
      </c>
    </row>
    <row r="80" spans="1:4" x14ac:dyDescent="0.3">
      <c r="A80" s="11" t="s">
        <v>706</v>
      </c>
      <c r="B80" t="s">
        <v>119</v>
      </c>
      <c r="C80" s="4">
        <v>48</v>
      </c>
      <c r="D80" s="4">
        <v>42</v>
      </c>
    </row>
    <row r="81" spans="1:4" x14ac:dyDescent="0.3">
      <c r="A81" s="11" t="s">
        <v>707</v>
      </c>
      <c r="B81" t="s">
        <v>120</v>
      </c>
      <c r="C81" s="4">
        <v>58</v>
      </c>
      <c r="D81" s="4">
        <v>51</v>
      </c>
    </row>
    <row r="82" spans="1:4" x14ac:dyDescent="0.3">
      <c r="A82" s="11" t="s">
        <v>708</v>
      </c>
      <c r="B82" t="s">
        <v>121</v>
      </c>
      <c r="C82" s="4">
        <v>25</v>
      </c>
      <c r="D82" s="4">
        <v>25</v>
      </c>
    </row>
    <row r="83" spans="1:4" x14ac:dyDescent="0.3">
      <c r="A83" s="11" t="s">
        <v>709</v>
      </c>
      <c r="B83" t="s">
        <v>122</v>
      </c>
      <c r="C83" s="4">
        <v>43</v>
      </c>
      <c r="D83" s="4">
        <v>38</v>
      </c>
    </row>
    <row r="84" spans="1:4" x14ac:dyDescent="0.3">
      <c r="A84" s="11" t="s">
        <v>710</v>
      </c>
      <c r="B84" t="s">
        <v>123</v>
      </c>
      <c r="C84" s="4">
        <v>28</v>
      </c>
      <c r="D84" s="4">
        <v>28</v>
      </c>
    </row>
    <row r="85" spans="1:4" x14ac:dyDescent="0.3">
      <c r="A85" s="12">
        <v>1085</v>
      </c>
      <c r="B85" t="s">
        <v>124</v>
      </c>
      <c r="C85" s="4">
        <v>6</v>
      </c>
      <c r="D85" s="4">
        <v>4.5</v>
      </c>
    </row>
    <row r="86" spans="1:4" x14ac:dyDescent="0.3">
      <c r="A86" s="12">
        <v>296</v>
      </c>
      <c r="B86" t="s">
        <v>125</v>
      </c>
      <c r="C86" s="4">
        <v>22</v>
      </c>
      <c r="D86" s="4">
        <v>19</v>
      </c>
    </row>
    <row r="87" spans="1:4" x14ac:dyDescent="0.3">
      <c r="A87" s="11" t="s">
        <v>711</v>
      </c>
      <c r="B87" t="s">
        <v>126</v>
      </c>
      <c r="C87" s="4">
        <v>69</v>
      </c>
      <c r="D87" s="4">
        <v>61</v>
      </c>
    </row>
    <row r="88" spans="1:4" x14ac:dyDescent="0.3">
      <c r="A88" s="11" t="s">
        <v>712</v>
      </c>
      <c r="B88" t="s">
        <v>127</v>
      </c>
      <c r="C88" s="4">
        <v>82</v>
      </c>
      <c r="D88" s="4">
        <v>72.5</v>
      </c>
    </row>
    <row r="89" spans="1:4" x14ac:dyDescent="0.3">
      <c r="A89" s="11" t="s">
        <v>713</v>
      </c>
      <c r="B89" t="s">
        <v>128</v>
      </c>
      <c r="C89" s="4">
        <v>55</v>
      </c>
      <c r="D89" s="4">
        <v>48.5</v>
      </c>
    </row>
    <row r="90" spans="1:4" x14ac:dyDescent="0.3">
      <c r="A90" s="11" t="s">
        <v>714</v>
      </c>
      <c r="B90" t="s">
        <v>129</v>
      </c>
      <c r="C90" s="4">
        <v>63</v>
      </c>
      <c r="D90" s="4">
        <v>55.5</v>
      </c>
    </row>
    <row r="91" spans="1:4" x14ac:dyDescent="0.3">
      <c r="A91" s="11" t="s">
        <v>715</v>
      </c>
      <c r="B91" t="s">
        <v>130</v>
      </c>
      <c r="C91" s="4">
        <v>76</v>
      </c>
      <c r="D91" s="4">
        <v>67</v>
      </c>
    </row>
    <row r="92" spans="1:4" x14ac:dyDescent="0.3">
      <c r="A92" s="12">
        <v>310</v>
      </c>
      <c r="B92" t="s">
        <v>131</v>
      </c>
      <c r="C92" s="4">
        <v>14</v>
      </c>
      <c r="D92" s="4">
        <v>12</v>
      </c>
    </row>
    <row r="93" spans="1:4" x14ac:dyDescent="0.3">
      <c r="A93" s="11" t="s">
        <v>716</v>
      </c>
      <c r="B93" t="s">
        <v>132</v>
      </c>
      <c r="C93" s="4">
        <v>33</v>
      </c>
      <c r="D93" s="4">
        <v>28.5</v>
      </c>
    </row>
    <row r="94" spans="1:4" x14ac:dyDescent="0.3">
      <c r="A94" s="12">
        <v>132</v>
      </c>
      <c r="B94" t="s">
        <v>133</v>
      </c>
      <c r="C94" s="4">
        <v>33</v>
      </c>
      <c r="D94" s="4">
        <v>28.5</v>
      </c>
    </row>
    <row r="95" spans="1:4" x14ac:dyDescent="0.3">
      <c r="A95" s="11" t="s">
        <v>717</v>
      </c>
      <c r="B95" t="s">
        <v>134</v>
      </c>
      <c r="C95" s="4">
        <v>98</v>
      </c>
      <c r="D95" s="4">
        <v>86.5</v>
      </c>
    </row>
    <row r="96" spans="1:4" x14ac:dyDescent="0.3">
      <c r="A96" s="11" t="s">
        <v>718</v>
      </c>
      <c r="B96" t="s">
        <v>135</v>
      </c>
      <c r="C96" s="4">
        <v>144</v>
      </c>
      <c r="D96" s="4">
        <v>127</v>
      </c>
    </row>
    <row r="97" spans="1:4" x14ac:dyDescent="0.3">
      <c r="A97" s="11" t="s">
        <v>719</v>
      </c>
      <c r="B97" t="s">
        <v>136</v>
      </c>
      <c r="C97" s="4">
        <v>36</v>
      </c>
      <c r="D97" s="4">
        <v>31.5</v>
      </c>
    </row>
    <row r="98" spans="1:4" x14ac:dyDescent="0.3">
      <c r="A98" s="11" t="s">
        <v>720</v>
      </c>
      <c r="B98" t="s">
        <v>137</v>
      </c>
      <c r="C98" s="4">
        <v>49</v>
      </c>
      <c r="D98" s="4">
        <v>43</v>
      </c>
    </row>
    <row r="99" spans="1:4" x14ac:dyDescent="0.3">
      <c r="A99" s="11" t="s">
        <v>721</v>
      </c>
      <c r="B99" t="s">
        <v>138</v>
      </c>
      <c r="C99" s="4">
        <v>85</v>
      </c>
      <c r="D99" s="4">
        <v>75</v>
      </c>
    </row>
    <row r="100" spans="1:4" x14ac:dyDescent="0.3">
      <c r="A100" s="11" t="s">
        <v>722</v>
      </c>
      <c r="B100" t="s">
        <v>139</v>
      </c>
      <c r="C100" s="4">
        <v>144</v>
      </c>
      <c r="D100" s="4">
        <v>127</v>
      </c>
    </row>
    <row r="101" spans="1:4" x14ac:dyDescent="0.3">
      <c r="A101" s="11" t="s">
        <v>723</v>
      </c>
      <c r="B101" t="s">
        <v>140</v>
      </c>
      <c r="C101" s="4">
        <v>206</v>
      </c>
      <c r="D101" s="4">
        <v>182</v>
      </c>
    </row>
    <row r="102" spans="1:4" x14ac:dyDescent="0.3">
      <c r="A102" s="11" t="s">
        <v>724</v>
      </c>
      <c r="B102" t="s">
        <v>141</v>
      </c>
      <c r="C102" s="4">
        <v>41</v>
      </c>
      <c r="D102" s="4">
        <v>36</v>
      </c>
    </row>
    <row r="103" spans="1:4" x14ac:dyDescent="0.3">
      <c r="A103" s="11" t="s">
        <v>725</v>
      </c>
      <c r="B103" t="s">
        <v>142</v>
      </c>
      <c r="C103" s="4">
        <v>124</v>
      </c>
      <c r="D103" s="4">
        <v>109.5</v>
      </c>
    </row>
    <row r="104" spans="1:4" x14ac:dyDescent="0.3">
      <c r="A104" s="12">
        <v>1013</v>
      </c>
      <c r="B104" t="s">
        <v>143</v>
      </c>
      <c r="C104" s="4">
        <v>8</v>
      </c>
      <c r="D104" s="4">
        <v>7</v>
      </c>
    </row>
    <row r="105" spans="1:4" x14ac:dyDescent="0.3">
      <c r="A105" s="12">
        <v>374</v>
      </c>
      <c r="B105" t="s">
        <v>144</v>
      </c>
      <c r="C105" s="4">
        <v>6</v>
      </c>
      <c r="D105" s="4">
        <v>4.5</v>
      </c>
    </row>
    <row r="106" spans="1:4" x14ac:dyDescent="0.3">
      <c r="A106" s="12">
        <v>375</v>
      </c>
      <c r="B106" t="s">
        <v>145</v>
      </c>
      <c r="C106" s="4">
        <v>6</v>
      </c>
      <c r="D106" s="4">
        <v>5</v>
      </c>
    </row>
    <row r="107" spans="1:4" x14ac:dyDescent="0.3">
      <c r="A107" s="12">
        <v>3096</v>
      </c>
      <c r="B107" t="s">
        <v>146</v>
      </c>
      <c r="C107" s="4">
        <v>8</v>
      </c>
      <c r="D107" s="4">
        <v>6.5</v>
      </c>
    </row>
    <row r="108" spans="1:4" x14ac:dyDescent="0.3">
      <c r="A108" s="11" t="s">
        <v>726</v>
      </c>
      <c r="B108" t="s">
        <v>147</v>
      </c>
      <c r="C108" s="4">
        <v>23</v>
      </c>
      <c r="D108" s="4">
        <v>19.5</v>
      </c>
    </row>
    <row r="109" spans="1:4" x14ac:dyDescent="0.3">
      <c r="A109" s="11" t="s">
        <v>727</v>
      </c>
      <c r="B109" t="s">
        <v>148</v>
      </c>
      <c r="C109" s="4">
        <v>40</v>
      </c>
      <c r="D109" s="4">
        <v>35</v>
      </c>
    </row>
    <row r="110" spans="1:4" x14ac:dyDescent="0.3">
      <c r="A110" s="11" t="s">
        <v>728</v>
      </c>
      <c r="B110" t="s">
        <v>149</v>
      </c>
      <c r="C110" s="4">
        <v>49</v>
      </c>
      <c r="D110" s="4">
        <v>43</v>
      </c>
    </row>
    <row r="111" spans="1:4" x14ac:dyDescent="0.3">
      <c r="A111" s="11" t="s">
        <v>729</v>
      </c>
      <c r="B111" t="s">
        <v>150</v>
      </c>
      <c r="C111" s="4">
        <v>67</v>
      </c>
      <c r="D111" s="4">
        <v>59</v>
      </c>
    </row>
    <row r="112" spans="1:4" x14ac:dyDescent="0.3">
      <c r="A112" s="12">
        <v>4463</v>
      </c>
      <c r="B112" t="s">
        <v>151</v>
      </c>
      <c r="C112" s="4">
        <v>64</v>
      </c>
      <c r="D112" s="4">
        <v>56.5</v>
      </c>
    </row>
    <row r="113" spans="1:4" x14ac:dyDescent="0.3">
      <c r="A113" s="12">
        <v>4464</v>
      </c>
      <c r="B113" t="s">
        <v>152</v>
      </c>
      <c r="C113" s="4">
        <v>79</v>
      </c>
      <c r="D113" s="4">
        <v>69</v>
      </c>
    </row>
    <row r="114" spans="1:4" x14ac:dyDescent="0.3">
      <c r="A114" s="11" t="s">
        <v>730</v>
      </c>
      <c r="B114" t="s">
        <v>153</v>
      </c>
      <c r="C114" s="4">
        <v>92</v>
      </c>
      <c r="D114" s="4">
        <v>82</v>
      </c>
    </row>
    <row r="115" spans="1:4" x14ac:dyDescent="0.3">
      <c r="A115" s="12">
        <v>706</v>
      </c>
      <c r="B115" t="s">
        <v>154</v>
      </c>
      <c r="C115" s="4">
        <v>129.5</v>
      </c>
      <c r="D115" s="4">
        <v>129.5</v>
      </c>
    </row>
    <row r="116" spans="1:4" x14ac:dyDescent="0.3">
      <c r="A116" s="11" t="s">
        <v>731</v>
      </c>
      <c r="B116" t="s">
        <v>155</v>
      </c>
      <c r="C116" s="4">
        <v>144</v>
      </c>
      <c r="D116" s="4">
        <v>144</v>
      </c>
    </row>
    <row r="117" spans="1:4" x14ac:dyDescent="0.3">
      <c r="A117" s="12">
        <v>2170</v>
      </c>
      <c r="B117" t="s">
        <v>156</v>
      </c>
      <c r="C117" s="4">
        <v>9</v>
      </c>
      <c r="D117" s="4">
        <v>7.5</v>
      </c>
    </row>
    <row r="118" spans="1:4" x14ac:dyDescent="0.3">
      <c r="A118" s="12">
        <v>3833</v>
      </c>
      <c r="B118" t="s">
        <v>157</v>
      </c>
      <c r="C118" s="4">
        <v>15</v>
      </c>
      <c r="D118" s="4">
        <v>12.5</v>
      </c>
    </row>
    <row r="119" spans="1:4" x14ac:dyDescent="0.3">
      <c r="A119" s="11" t="s">
        <v>732</v>
      </c>
      <c r="B119" t="s">
        <v>158</v>
      </c>
      <c r="C119" s="4">
        <v>8</v>
      </c>
      <c r="D119" s="4">
        <v>7</v>
      </c>
    </row>
    <row r="120" spans="1:4" x14ac:dyDescent="0.3">
      <c r="A120" s="12">
        <v>3952</v>
      </c>
      <c r="B120" t="s">
        <v>159</v>
      </c>
      <c r="C120" s="4">
        <v>9</v>
      </c>
      <c r="D120" s="4">
        <v>7.5</v>
      </c>
    </row>
    <row r="121" spans="1:4" x14ac:dyDescent="0.3">
      <c r="A121" s="12">
        <v>3486</v>
      </c>
      <c r="B121" t="s">
        <v>160</v>
      </c>
      <c r="C121" s="4">
        <v>12</v>
      </c>
      <c r="D121" s="4">
        <v>10</v>
      </c>
    </row>
    <row r="122" spans="1:4" x14ac:dyDescent="0.3">
      <c r="A122" s="12">
        <v>3953</v>
      </c>
      <c r="B122" t="s">
        <v>161</v>
      </c>
      <c r="C122" s="4">
        <v>12</v>
      </c>
      <c r="D122" s="4">
        <v>10.5</v>
      </c>
    </row>
    <row r="123" spans="1:4" x14ac:dyDescent="0.3">
      <c r="A123" s="12">
        <v>3950</v>
      </c>
      <c r="B123" t="s">
        <v>162</v>
      </c>
      <c r="C123" s="4">
        <v>15</v>
      </c>
      <c r="D123" s="4">
        <v>12.5</v>
      </c>
    </row>
    <row r="124" spans="1:4" x14ac:dyDescent="0.3">
      <c r="A124" s="12">
        <v>3951</v>
      </c>
      <c r="B124" t="s">
        <v>163</v>
      </c>
      <c r="C124" s="4">
        <v>16</v>
      </c>
      <c r="D124" s="4">
        <v>13.5</v>
      </c>
    </row>
    <row r="125" spans="1:4" x14ac:dyDescent="0.3">
      <c r="A125" s="12">
        <v>3430</v>
      </c>
      <c r="B125" t="s">
        <v>164</v>
      </c>
      <c r="C125" s="4">
        <v>20</v>
      </c>
      <c r="D125" s="4">
        <v>17</v>
      </c>
    </row>
    <row r="126" spans="1:4" x14ac:dyDescent="0.3">
      <c r="A126" s="11" t="s">
        <v>733</v>
      </c>
      <c r="B126" t="s">
        <v>165</v>
      </c>
      <c r="C126" s="4">
        <v>21</v>
      </c>
      <c r="D126" s="4">
        <v>18</v>
      </c>
    </row>
    <row r="127" spans="1:4" x14ac:dyDescent="0.3">
      <c r="A127" s="11" t="s">
        <v>734</v>
      </c>
      <c r="B127" t="s">
        <v>166</v>
      </c>
      <c r="C127" s="4">
        <v>50</v>
      </c>
      <c r="D127" s="4">
        <v>44</v>
      </c>
    </row>
    <row r="128" spans="1:4" x14ac:dyDescent="0.3">
      <c r="A128" s="11" t="s">
        <v>735</v>
      </c>
      <c r="B128" t="s">
        <v>167</v>
      </c>
      <c r="C128" s="4">
        <v>58</v>
      </c>
      <c r="D128" s="4">
        <v>51</v>
      </c>
    </row>
    <row r="129" spans="1:4" x14ac:dyDescent="0.3">
      <c r="A129" s="11" t="s">
        <v>736</v>
      </c>
      <c r="B129" t="s">
        <v>168</v>
      </c>
      <c r="C129" s="4">
        <v>70</v>
      </c>
      <c r="D129" s="4">
        <v>60</v>
      </c>
    </row>
    <row r="130" spans="1:4" x14ac:dyDescent="0.3">
      <c r="A130" s="11" t="s">
        <v>737</v>
      </c>
      <c r="B130" t="s">
        <v>169</v>
      </c>
      <c r="C130" s="4">
        <v>130</v>
      </c>
      <c r="D130" s="4">
        <v>114.5</v>
      </c>
    </row>
    <row r="131" spans="1:4" x14ac:dyDescent="0.3">
      <c r="A131" s="11" t="s">
        <v>738</v>
      </c>
      <c r="B131" t="s">
        <v>170</v>
      </c>
      <c r="C131" s="4">
        <v>189</v>
      </c>
      <c r="D131" s="4">
        <v>167</v>
      </c>
    </row>
    <row r="132" spans="1:4" x14ac:dyDescent="0.3">
      <c r="A132" s="12">
        <v>1450</v>
      </c>
      <c r="B132" t="s">
        <v>171</v>
      </c>
      <c r="C132" s="4">
        <v>12</v>
      </c>
      <c r="D132" s="4">
        <v>10</v>
      </c>
    </row>
    <row r="133" spans="1:4" x14ac:dyDescent="0.3">
      <c r="A133" s="11" t="s">
        <v>739</v>
      </c>
      <c r="B133" t="s">
        <v>172</v>
      </c>
      <c r="C133" s="4">
        <v>246</v>
      </c>
      <c r="D133" s="4">
        <v>236</v>
      </c>
    </row>
    <row r="134" spans="1:4" x14ac:dyDescent="0.3">
      <c r="A134" s="11" t="s">
        <v>740</v>
      </c>
      <c r="B134" t="s">
        <v>173</v>
      </c>
      <c r="C134" s="4">
        <v>275</v>
      </c>
      <c r="D134" s="4">
        <v>265</v>
      </c>
    </row>
    <row r="135" spans="1:4" x14ac:dyDescent="0.3">
      <c r="A135" s="11" t="s">
        <v>741</v>
      </c>
      <c r="B135" t="s">
        <v>174</v>
      </c>
      <c r="C135" s="4">
        <v>298</v>
      </c>
      <c r="D135" s="4">
        <v>288</v>
      </c>
    </row>
    <row r="136" spans="1:4" x14ac:dyDescent="0.3">
      <c r="A136" s="12">
        <v>246</v>
      </c>
      <c r="B136" t="s">
        <v>175</v>
      </c>
      <c r="C136" s="4">
        <v>35</v>
      </c>
      <c r="D136" s="4">
        <v>30.5</v>
      </c>
    </row>
    <row r="137" spans="1:4" x14ac:dyDescent="0.3">
      <c r="A137" s="12">
        <v>245</v>
      </c>
      <c r="B137" t="s">
        <v>176</v>
      </c>
      <c r="C137" s="4">
        <v>26</v>
      </c>
      <c r="D137" s="4">
        <v>23</v>
      </c>
    </row>
    <row r="138" spans="1:4" x14ac:dyDescent="0.3">
      <c r="A138" s="11" t="s">
        <v>742</v>
      </c>
      <c r="B138" t="s">
        <v>177</v>
      </c>
      <c r="C138" s="4">
        <v>98</v>
      </c>
      <c r="D138" s="4">
        <v>86.5</v>
      </c>
    </row>
    <row r="139" spans="1:4" x14ac:dyDescent="0.3">
      <c r="A139" s="11" t="s">
        <v>743</v>
      </c>
      <c r="B139" t="s">
        <v>178</v>
      </c>
      <c r="C139" s="4">
        <v>98</v>
      </c>
      <c r="D139" s="4">
        <v>86.5</v>
      </c>
    </row>
    <row r="140" spans="1:4" x14ac:dyDescent="0.3">
      <c r="A140" s="11" t="s">
        <v>744</v>
      </c>
      <c r="B140" t="s">
        <v>179</v>
      </c>
      <c r="C140" s="4">
        <v>120</v>
      </c>
      <c r="D140" s="4">
        <v>104.5</v>
      </c>
    </row>
    <row r="141" spans="1:4" x14ac:dyDescent="0.3">
      <c r="A141" s="11" t="s">
        <v>745</v>
      </c>
      <c r="B141" t="s">
        <v>180</v>
      </c>
      <c r="C141" s="4">
        <v>120</v>
      </c>
      <c r="D141" s="4">
        <v>104.5</v>
      </c>
    </row>
    <row r="142" spans="1:4" x14ac:dyDescent="0.3">
      <c r="A142" s="11" t="s">
        <v>746</v>
      </c>
      <c r="B142" t="s">
        <v>181</v>
      </c>
      <c r="C142" s="4">
        <v>10</v>
      </c>
      <c r="D142" s="4">
        <v>8.5</v>
      </c>
    </row>
    <row r="143" spans="1:4" x14ac:dyDescent="0.3">
      <c r="A143" s="12">
        <v>541</v>
      </c>
      <c r="B143" t="s">
        <v>182</v>
      </c>
      <c r="C143" s="4">
        <v>72</v>
      </c>
      <c r="D143" s="4">
        <v>72</v>
      </c>
    </row>
    <row r="144" spans="1:4" x14ac:dyDescent="0.3">
      <c r="A144" s="11" t="s">
        <v>747</v>
      </c>
      <c r="B144" t="s">
        <v>183</v>
      </c>
      <c r="C144" s="4">
        <v>72</v>
      </c>
      <c r="D144" s="4">
        <v>63.5</v>
      </c>
    </row>
    <row r="145" spans="1:4" x14ac:dyDescent="0.3">
      <c r="A145" s="12">
        <v>1204</v>
      </c>
      <c r="B145" t="s">
        <v>184</v>
      </c>
      <c r="C145" s="4">
        <v>49.5</v>
      </c>
      <c r="D145" s="4">
        <v>49.5</v>
      </c>
    </row>
    <row r="146" spans="1:4" x14ac:dyDescent="0.3">
      <c r="A146" s="11" t="s">
        <v>748</v>
      </c>
      <c r="B146" t="s">
        <v>185</v>
      </c>
      <c r="C146" s="4">
        <v>72</v>
      </c>
      <c r="D146" s="4">
        <v>72</v>
      </c>
    </row>
    <row r="147" spans="1:4" x14ac:dyDescent="0.3">
      <c r="A147" s="11" t="s">
        <v>749</v>
      </c>
      <c r="B147" t="s">
        <v>186</v>
      </c>
      <c r="C147" s="4">
        <v>72</v>
      </c>
      <c r="D147" s="4">
        <v>72</v>
      </c>
    </row>
    <row r="148" spans="1:4" x14ac:dyDescent="0.3">
      <c r="A148" s="12">
        <v>2793</v>
      </c>
      <c r="B148" t="s">
        <v>187</v>
      </c>
      <c r="C148" s="4">
        <v>72</v>
      </c>
      <c r="D148" s="4">
        <v>72</v>
      </c>
    </row>
    <row r="149" spans="1:4" x14ac:dyDescent="0.3">
      <c r="A149" s="11" t="s">
        <v>750</v>
      </c>
      <c r="B149" t="s">
        <v>188</v>
      </c>
      <c r="C149" s="4">
        <v>63.5</v>
      </c>
      <c r="D149" s="4">
        <v>63.5</v>
      </c>
    </row>
    <row r="150" spans="1:4" x14ac:dyDescent="0.3">
      <c r="A150" s="11" t="s">
        <v>751</v>
      </c>
      <c r="B150" t="s">
        <v>189</v>
      </c>
      <c r="C150" s="4">
        <v>63.5</v>
      </c>
      <c r="D150" s="4">
        <v>63.5</v>
      </c>
    </row>
    <row r="151" spans="1:4" x14ac:dyDescent="0.3">
      <c r="A151" s="11" t="s">
        <v>752</v>
      </c>
      <c r="B151" t="s">
        <v>190</v>
      </c>
      <c r="C151" s="4">
        <v>63.5</v>
      </c>
      <c r="D151" s="4">
        <v>63.5</v>
      </c>
    </row>
    <row r="152" spans="1:4" x14ac:dyDescent="0.3">
      <c r="A152" s="11" t="s">
        <v>753</v>
      </c>
      <c r="B152" t="s">
        <v>191</v>
      </c>
      <c r="C152" s="4">
        <v>63.5</v>
      </c>
      <c r="D152" s="4">
        <v>63.5</v>
      </c>
    </row>
    <row r="153" spans="1:4" x14ac:dyDescent="0.3">
      <c r="A153" s="11" t="s">
        <v>754</v>
      </c>
      <c r="B153" t="s">
        <v>192</v>
      </c>
      <c r="C153" s="4">
        <v>59</v>
      </c>
      <c r="D153" s="4">
        <v>59</v>
      </c>
    </row>
    <row r="154" spans="1:4" x14ac:dyDescent="0.3">
      <c r="A154" s="11" t="s">
        <v>755</v>
      </c>
      <c r="B154" t="s">
        <v>193</v>
      </c>
      <c r="C154" s="4">
        <v>58</v>
      </c>
      <c r="D154" s="4">
        <v>51</v>
      </c>
    </row>
    <row r="155" spans="1:4" x14ac:dyDescent="0.3">
      <c r="A155" s="11" t="s">
        <v>756</v>
      </c>
      <c r="B155" t="s">
        <v>194</v>
      </c>
      <c r="C155" s="4">
        <v>24</v>
      </c>
      <c r="D155" s="4">
        <v>21</v>
      </c>
    </row>
    <row r="156" spans="1:4" x14ac:dyDescent="0.3">
      <c r="A156" s="11" t="s">
        <v>757</v>
      </c>
      <c r="B156" t="s">
        <v>195</v>
      </c>
      <c r="C156" s="4">
        <v>10</v>
      </c>
      <c r="D156" s="4">
        <v>8.5</v>
      </c>
    </row>
    <row r="157" spans="1:4" x14ac:dyDescent="0.3">
      <c r="A157" s="11" t="s">
        <v>758</v>
      </c>
      <c r="B157" t="s">
        <v>196</v>
      </c>
      <c r="C157" s="4">
        <v>19</v>
      </c>
      <c r="D157" s="4">
        <v>16.5</v>
      </c>
    </row>
    <row r="158" spans="1:4" x14ac:dyDescent="0.3">
      <c r="A158" s="11" t="s">
        <v>759</v>
      </c>
      <c r="B158" t="s">
        <v>197</v>
      </c>
      <c r="C158" s="4">
        <v>22</v>
      </c>
      <c r="D158" s="4">
        <v>19</v>
      </c>
    </row>
    <row r="159" spans="1:4" x14ac:dyDescent="0.3">
      <c r="A159" s="11" t="s">
        <v>760</v>
      </c>
      <c r="B159" t="s">
        <v>198</v>
      </c>
      <c r="C159" s="4">
        <v>29</v>
      </c>
      <c r="D159" s="4">
        <v>25.5</v>
      </c>
    </row>
    <row r="160" spans="1:4" x14ac:dyDescent="0.3">
      <c r="A160" s="11" t="s">
        <v>761</v>
      </c>
      <c r="B160" t="s">
        <v>199</v>
      </c>
      <c r="C160" s="4">
        <v>29</v>
      </c>
      <c r="D160" s="4">
        <v>25.5</v>
      </c>
    </row>
    <row r="161" spans="1:4" x14ac:dyDescent="0.3">
      <c r="A161" s="11" t="s">
        <v>762</v>
      </c>
      <c r="B161" t="s">
        <v>200</v>
      </c>
      <c r="C161" s="4">
        <v>29</v>
      </c>
      <c r="D161" s="4">
        <v>25.5</v>
      </c>
    </row>
    <row r="162" spans="1:4" x14ac:dyDescent="0.3">
      <c r="A162" s="11" t="s">
        <v>763</v>
      </c>
      <c r="B162" t="s">
        <v>201</v>
      </c>
      <c r="C162" s="4">
        <v>29</v>
      </c>
      <c r="D162" s="4">
        <v>25.5</v>
      </c>
    </row>
    <row r="163" spans="1:4" x14ac:dyDescent="0.3">
      <c r="A163" s="11" t="s">
        <v>764</v>
      </c>
      <c r="B163" t="s">
        <v>202</v>
      </c>
      <c r="C163" s="4">
        <v>34</v>
      </c>
      <c r="D163" s="4">
        <v>30</v>
      </c>
    </row>
    <row r="164" spans="1:4" x14ac:dyDescent="0.3">
      <c r="A164" s="11" t="s">
        <v>765</v>
      </c>
      <c r="B164" t="s">
        <v>203</v>
      </c>
      <c r="C164" s="4">
        <v>34</v>
      </c>
      <c r="D164" s="4">
        <v>30</v>
      </c>
    </row>
    <row r="165" spans="1:4" x14ac:dyDescent="0.3">
      <c r="A165" s="11" t="s">
        <v>766</v>
      </c>
      <c r="B165" t="s">
        <v>204</v>
      </c>
      <c r="C165" s="4">
        <v>45</v>
      </c>
      <c r="D165" s="4">
        <v>39.5</v>
      </c>
    </row>
    <row r="166" spans="1:4" x14ac:dyDescent="0.3">
      <c r="A166" s="11" t="s">
        <v>767</v>
      </c>
      <c r="B166" t="s">
        <v>205</v>
      </c>
      <c r="C166" s="4">
        <v>45</v>
      </c>
      <c r="D166" s="4">
        <v>39.5</v>
      </c>
    </row>
    <row r="167" spans="1:4" x14ac:dyDescent="0.3">
      <c r="A167" s="11" t="s">
        <v>768</v>
      </c>
      <c r="B167" t="s">
        <v>206</v>
      </c>
      <c r="C167" s="4">
        <v>13</v>
      </c>
      <c r="D167" s="4">
        <v>11</v>
      </c>
    </row>
    <row r="168" spans="1:4" x14ac:dyDescent="0.3">
      <c r="A168" s="11" t="s">
        <v>769</v>
      </c>
      <c r="B168" t="s">
        <v>207</v>
      </c>
      <c r="C168" s="4">
        <v>29</v>
      </c>
      <c r="D168" s="4">
        <v>25.5</v>
      </c>
    </row>
    <row r="169" spans="1:4" x14ac:dyDescent="0.3">
      <c r="A169" s="11" t="s">
        <v>770</v>
      </c>
      <c r="B169" t="s">
        <v>208</v>
      </c>
      <c r="C169" s="4">
        <v>34</v>
      </c>
      <c r="D169" s="4">
        <v>30</v>
      </c>
    </row>
    <row r="170" spans="1:4" x14ac:dyDescent="0.3">
      <c r="A170" s="11" t="s">
        <v>771</v>
      </c>
      <c r="B170" t="s">
        <v>209</v>
      </c>
      <c r="C170" s="4">
        <v>50</v>
      </c>
      <c r="D170" s="4">
        <v>44</v>
      </c>
    </row>
    <row r="171" spans="1:4" x14ac:dyDescent="0.3">
      <c r="A171" s="11" t="s">
        <v>772</v>
      </c>
      <c r="B171" t="s">
        <v>210</v>
      </c>
      <c r="C171" s="4">
        <v>6</v>
      </c>
      <c r="D171" s="4">
        <v>4.5</v>
      </c>
    </row>
    <row r="172" spans="1:4" x14ac:dyDescent="0.3">
      <c r="A172" s="11" t="s">
        <v>773</v>
      </c>
      <c r="B172" t="s">
        <v>211</v>
      </c>
      <c r="C172" s="4">
        <v>8</v>
      </c>
      <c r="D172" s="4">
        <v>6.5</v>
      </c>
    </row>
    <row r="173" spans="1:4" x14ac:dyDescent="0.3">
      <c r="A173" s="11" t="s">
        <v>774</v>
      </c>
      <c r="B173" t="s">
        <v>212</v>
      </c>
      <c r="C173" s="4">
        <v>8</v>
      </c>
      <c r="D173" s="4">
        <v>6.5</v>
      </c>
    </row>
    <row r="174" spans="1:4" x14ac:dyDescent="0.3">
      <c r="A174" s="12">
        <v>94</v>
      </c>
      <c r="B174" t="s">
        <v>213</v>
      </c>
      <c r="C174" s="4">
        <v>325</v>
      </c>
      <c r="D174" s="4">
        <v>325</v>
      </c>
    </row>
    <row r="175" spans="1:4" x14ac:dyDescent="0.3">
      <c r="A175" s="11" t="s">
        <v>775</v>
      </c>
      <c r="B175" t="s">
        <v>214</v>
      </c>
      <c r="C175" s="4">
        <v>8</v>
      </c>
      <c r="D175" s="4">
        <v>7</v>
      </c>
    </row>
    <row r="176" spans="1:4" x14ac:dyDescent="0.3">
      <c r="A176" s="11" t="s">
        <v>776</v>
      </c>
      <c r="B176" t="s">
        <v>215</v>
      </c>
      <c r="C176" s="4">
        <v>6</v>
      </c>
      <c r="D176" s="4">
        <v>4.5</v>
      </c>
    </row>
    <row r="177" spans="1:4" x14ac:dyDescent="0.3">
      <c r="A177" s="11" t="s">
        <v>777</v>
      </c>
      <c r="B177" t="s">
        <v>216</v>
      </c>
      <c r="C177" s="4">
        <v>34</v>
      </c>
      <c r="D177" s="4">
        <v>29.5</v>
      </c>
    </row>
    <row r="178" spans="1:4" x14ac:dyDescent="0.3">
      <c r="A178" s="11" t="s">
        <v>778</v>
      </c>
      <c r="B178" t="s">
        <v>217</v>
      </c>
      <c r="C178" s="4">
        <v>20</v>
      </c>
      <c r="D178" s="4">
        <v>17.5</v>
      </c>
    </row>
    <row r="179" spans="1:4" x14ac:dyDescent="0.3">
      <c r="A179" s="11" t="s">
        <v>779</v>
      </c>
      <c r="B179" t="s">
        <v>218</v>
      </c>
      <c r="C179" s="4">
        <v>49</v>
      </c>
      <c r="D179" s="4">
        <v>43</v>
      </c>
    </row>
    <row r="180" spans="1:4" x14ac:dyDescent="0.3">
      <c r="A180" s="12">
        <v>502</v>
      </c>
      <c r="B180" t="s">
        <v>219</v>
      </c>
      <c r="C180" s="4">
        <v>40</v>
      </c>
      <c r="D180" s="4">
        <v>35</v>
      </c>
    </row>
    <row r="181" spans="1:4" x14ac:dyDescent="0.3">
      <c r="A181" s="11" t="s">
        <v>780</v>
      </c>
      <c r="B181" t="s">
        <v>220</v>
      </c>
      <c r="C181" s="4">
        <v>52</v>
      </c>
      <c r="D181" s="4">
        <v>46</v>
      </c>
    </row>
    <row r="182" spans="1:4" x14ac:dyDescent="0.3">
      <c r="A182" s="11" t="s">
        <v>781</v>
      </c>
      <c r="B182" t="s">
        <v>221</v>
      </c>
      <c r="C182" s="4">
        <v>13</v>
      </c>
      <c r="D182" s="4">
        <v>11</v>
      </c>
    </row>
    <row r="183" spans="1:4" x14ac:dyDescent="0.3">
      <c r="A183" s="11" t="s">
        <v>782</v>
      </c>
      <c r="B183" t="s">
        <v>222</v>
      </c>
      <c r="C183" s="4">
        <v>15</v>
      </c>
      <c r="D183" s="4">
        <v>12.5</v>
      </c>
    </row>
    <row r="184" spans="1:4" x14ac:dyDescent="0.3">
      <c r="A184" s="11" t="s">
        <v>783</v>
      </c>
      <c r="B184" t="s">
        <v>223</v>
      </c>
      <c r="C184" s="4">
        <v>34</v>
      </c>
      <c r="D184" s="4">
        <v>29.5</v>
      </c>
    </row>
    <row r="185" spans="1:4" x14ac:dyDescent="0.3">
      <c r="A185" s="11" t="s">
        <v>784</v>
      </c>
      <c r="B185" t="s">
        <v>224</v>
      </c>
      <c r="C185" s="4">
        <v>14.5</v>
      </c>
      <c r="D185" s="4">
        <v>14.5</v>
      </c>
    </row>
    <row r="186" spans="1:4" x14ac:dyDescent="0.3">
      <c r="A186" s="11" t="s">
        <v>785</v>
      </c>
      <c r="B186" t="s">
        <v>225</v>
      </c>
      <c r="C186" s="4">
        <v>14</v>
      </c>
      <c r="D186" s="4">
        <v>12</v>
      </c>
    </row>
    <row r="187" spans="1:4" x14ac:dyDescent="0.3">
      <c r="A187" s="11" t="s">
        <v>786</v>
      </c>
      <c r="B187" t="s">
        <v>226</v>
      </c>
      <c r="C187" s="4">
        <v>20</v>
      </c>
      <c r="D187" s="4">
        <v>17.5</v>
      </c>
    </row>
    <row r="188" spans="1:4" x14ac:dyDescent="0.3">
      <c r="A188" s="11" t="s">
        <v>787</v>
      </c>
      <c r="B188" t="s">
        <v>227</v>
      </c>
      <c r="C188" s="4">
        <v>30</v>
      </c>
      <c r="D188" s="4">
        <v>26.5</v>
      </c>
    </row>
    <row r="189" spans="1:4" x14ac:dyDescent="0.3">
      <c r="A189" s="11" t="s">
        <v>788</v>
      </c>
      <c r="B189" t="s">
        <v>228</v>
      </c>
      <c r="C189" s="4">
        <v>37</v>
      </c>
      <c r="D189" s="4">
        <v>32.5</v>
      </c>
    </row>
    <row r="190" spans="1:4" x14ac:dyDescent="0.3">
      <c r="A190" s="11" t="s">
        <v>789</v>
      </c>
      <c r="B190" t="s">
        <v>229</v>
      </c>
      <c r="C190" s="4">
        <v>73</v>
      </c>
      <c r="D190" s="4">
        <v>64.5</v>
      </c>
    </row>
    <row r="191" spans="1:4" x14ac:dyDescent="0.3">
      <c r="A191" s="11" t="s">
        <v>790</v>
      </c>
      <c r="B191" t="s">
        <v>230</v>
      </c>
      <c r="C191" s="4">
        <v>28</v>
      </c>
      <c r="D191" s="4">
        <v>28</v>
      </c>
    </row>
    <row r="192" spans="1:4" x14ac:dyDescent="0.3">
      <c r="A192" s="11" t="s">
        <v>791</v>
      </c>
      <c r="B192" t="s">
        <v>231</v>
      </c>
      <c r="C192" s="4">
        <v>43</v>
      </c>
      <c r="D192" s="4">
        <v>38</v>
      </c>
    </row>
    <row r="193" spans="1:4" x14ac:dyDescent="0.3">
      <c r="A193" s="11" t="s">
        <v>792</v>
      </c>
      <c r="B193" t="s">
        <v>232</v>
      </c>
      <c r="C193" s="4">
        <v>59</v>
      </c>
      <c r="D193" s="4">
        <v>52</v>
      </c>
    </row>
    <row r="194" spans="1:4" x14ac:dyDescent="0.3">
      <c r="A194" s="11" t="s">
        <v>793</v>
      </c>
      <c r="B194" t="s">
        <v>233</v>
      </c>
      <c r="C194" s="4">
        <v>56</v>
      </c>
      <c r="D194" s="4">
        <v>49.5</v>
      </c>
    </row>
    <row r="195" spans="1:4" x14ac:dyDescent="0.3">
      <c r="A195" s="11" t="s">
        <v>794</v>
      </c>
      <c r="B195" t="s">
        <v>234</v>
      </c>
      <c r="C195" s="4">
        <v>65</v>
      </c>
      <c r="D195" s="4">
        <v>57.5</v>
      </c>
    </row>
    <row r="196" spans="1:4" x14ac:dyDescent="0.3">
      <c r="A196" s="11" t="s">
        <v>795</v>
      </c>
      <c r="B196" t="s">
        <v>235</v>
      </c>
      <c r="C196" s="4">
        <v>29</v>
      </c>
      <c r="D196" s="4">
        <v>25.5</v>
      </c>
    </row>
    <row r="197" spans="1:4" x14ac:dyDescent="0.3">
      <c r="A197" s="11" t="s">
        <v>796</v>
      </c>
      <c r="B197" t="s">
        <v>236</v>
      </c>
      <c r="C197" s="4">
        <v>33</v>
      </c>
      <c r="D197" s="4">
        <v>29</v>
      </c>
    </row>
    <row r="198" spans="1:4" x14ac:dyDescent="0.3">
      <c r="A198" s="11" t="s">
        <v>797</v>
      </c>
      <c r="B198" t="s">
        <v>237</v>
      </c>
      <c r="C198" s="4">
        <v>41</v>
      </c>
      <c r="D198" s="4">
        <v>36</v>
      </c>
    </row>
    <row r="199" spans="1:4" x14ac:dyDescent="0.3">
      <c r="A199" s="11" t="s">
        <v>798</v>
      </c>
      <c r="B199" t="s">
        <v>238</v>
      </c>
      <c r="C199" s="4">
        <v>33</v>
      </c>
      <c r="D199" s="4">
        <v>29</v>
      </c>
    </row>
    <row r="200" spans="1:4" x14ac:dyDescent="0.3">
      <c r="A200" s="11" t="s">
        <v>799</v>
      </c>
      <c r="B200" t="s">
        <v>239</v>
      </c>
      <c r="C200" s="4">
        <v>72</v>
      </c>
      <c r="D200" s="4">
        <v>63.5</v>
      </c>
    </row>
    <row r="201" spans="1:4" x14ac:dyDescent="0.3">
      <c r="A201" s="11" t="s">
        <v>800</v>
      </c>
      <c r="B201" t="s">
        <v>240</v>
      </c>
      <c r="C201" s="4">
        <v>280</v>
      </c>
      <c r="D201" s="4">
        <v>265</v>
      </c>
    </row>
    <row r="202" spans="1:4" x14ac:dyDescent="0.3">
      <c r="A202" s="11" t="s">
        <v>801</v>
      </c>
      <c r="B202" t="s">
        <v>241</v>
      </c>
      <c r="C202" s="4">
        <v>309</v>
      </c>
      <c r="D202" s="4">
        <v>299</v>
      </c>
    </row>
    <row r="203" spans="1:4" x14ac:dyDescent="0.3">
      <c r="A203" s="11" t="s">
        <v>802</v>
      </c>
      <c r="B203" t="s">
        <v>242</v>
      </c>
      <c r="C203" s="4">
        <v>156</v>
      </c>
      <c r="D203" s="4">
        <v>138</v>
      </c>
    </row>
    <row r="204" spans="1:4" x14ac:dyDescent="0.3">
      <c r="A204" s="11" t="s">
        <v>803</v>
      </c>
      <c r="B204" t="s">
        <v>243</v>
      </c>
      <c r="C204" s="4">
        <v>205</v>
      </c>
      <c r="D204" s="4">
        <v>195.5</v>
      </c>
    </row>
    <row r="205" spans="1:4" x14ac:dyDescent="0.3">
      <c r="A205" s="11" t="s">
        <v>804</v>
      </c>
      <c r="B205" t="s">
        <v>244</v>
      </c>
      <c r="C205" s="4">
        <v>300</v>
      </c>
      <c r="D205" s="4">
        <v>290</v>
      </c>
    </row>
    <row r="206" spans="1:4" x14ac:dyDescent="0.3">
      <c r="A206" s="11" t="s">
        <v>805</v>
      </c>
      <c r="B206" t="s">
        <v>245</v>
      </c>
      <c r="C206" s="4">
        <v>369</v>
      </c>
      <c r="D206" s="4">
        <v>359</v>
      </c>
    </row>
    <row r="207" spans="1:4" x14ac:dyDescent="0.3">
      <c r="A207" s="11" t="s">
        <v>806</v>
      </c>
      <c r="B207" t="s">
        <v>246</v>
      </c>
      <c r="C207" s="4">
        <v>572</v>
      </c>
      <c r="D207" s="4">
        <v>506</v>
      </c>
    </row>
    <row r="208" spans="1:4" x14ac:dyDescent="0.3">
      <c r="A208" s="11" t="s">
        <v>807</v>
      </c>
      <c r="B208" t="s">
        <v>247</v>
      </c>
      <c r="C208" s="4">
        <v>29</v>
      </c>
      <c r="D208" s="4">
        <v>25.5</v>
      </c>
    </row>
    <row r="209" spans="1:4" x14ac:dyDescent="0.3">
      <c r="A209" s="11" t="s">
        <v>808</v>
      </c>
      <c r="B209" t="s">
        <v>248</v>
      </c>
      <c r="C209" s="4">
        <v>6</v>
      </c>
      <c r="D209" s="4">
        <v>5</v>
      </c>
    </row>
    <row r="210" spans="1:4" x14ac:dyDescent="0.3">
      <c r="A210" s="11" t="s">
        <v>809</v>
      </c>
      <c r="B210" t="s">
        <v>249</v>
      </c>
      <c r="C210" s="4">
        <v>36</v>
      </c>
      <c r="D210" s="4">
        <v>32</v>
      </c>
    </row>
    <row r="211" spans="1:4" x14ac:dyDescent="0.3">
      <c r="A211" s="11" t="s">
        <v>810</v>
      </c>
      <c r="B211" t="s">
        <v>250</v>
      </c>
      <c r="C211" s="4">
        <v>40</v>
      </c>
      <c r="D211" s="4">
        <v>35</v>
      </c>
    </row>
    <row r="212" spans="1:4" x14ac:dyDescent="0.3">
      <c r="A212" s="11" t="s">
        <v>811</v>
      </c>
      <c r="B212" t="s">
        <v>251</v>
      </c>
      <c r="C212" s="4">
        <v>40</v>
      </c>
      <c r="D212" s="4">
        <v>35.5</v>
      </c>
    </row>
    <row r="213" spans="1:4" x14ac:dyDescent="0.3">
      <c r="A213" s="11" t="s">
        <v>812</v>
      </c>
      <c r="B213" t="s">
        <v>252</v>
      </c>
      <c r="C213" s="4">
        <v>43</v>
      </c>
      <c r="D213" s="4">
        <v>38</v>
      </c>
    </row>
    <row r="214" spans="1:4" x14ac:dyDescent="0.3">
      <c r="A214" s="11" t="s">
        <v>813</v>
      </c>
      <c r="B214" t="s">
        <v>253</v>
      </c>
      <c r="C214" s="4">
        <v>48</v>
      </c>
      <c r="D214" s="4">
        <v>42.5</v>
      </c>
    </row>
    <row r="215" spans="1:4" x14ac:dyDescent="0.3">
      <c r="A215" s="11" t="s">
        <v>814</v>
      </c>
      <c r="B215" t="s">
        <v>254</v>
      </c>
      <c r="C215" s="4">
        <v>82</v>
      </c>
      <c r="D215" s="4">
        <v>82</v>
      </c>
    </row>
    <row r="216" spans="1:4" x14ac:dyDescent="0.3">
      <c r="A216" s="11" t="s">
        <v>815</v>
      </c>
      <c r="B216" t="s">
        <v>255</v>
      </c>
      <c r="C216" s="4">
        <v>90</v>
      </c>
      <c r="D216" s="4">
        <v>90</v>
      </c>
    </row>
    <row r="217" spans="1:4" x14ac:dyDescent="0.3">
      <c r="A217" s="11" t="s">
        <v>816</v>
      </c>
      <c r="B217" t="s">
        <v>256</v>
      </c>
      <c r="C217" s="4">
        <v>58</v>
      </c>
      <c r="D217" s="4">
        <v>58</v>
      </c>
    </row>
    <row r="218" spans="1:4" x14ac:dyDescent="0.3">
      <c r="A218" s="11" t="s">
        <v>817</v>
      </c>
      <c r="B218" t="s">
        <v>257</v>
      </c>
      <c r="C218" s="4">
        <v>50</v>
      </c>
      <c r="D218" s="4">
        <v>44</v>
      </c>
    </row>
    <row r="219" spans="1:4" x14ac:dyDescent="0.3">
      <c r="A219" s="11" t="s">
        <v>818</v>
      </c>
      <c r="B219" t="s">
        <v>258</v>
      </c>
      <c r="C219" s="4">
        <v>25</v>
      </c>
      <c r="D219" s="4">
        <v>21.5</v>
      </c>
    </row>
    <row r="220" spans="1:4" x14ac:dyDescent="0.3">
      <c r="A220" s="11" t="s">
        <v>819</v>
      </c>
      <c r="B220" t="s">
        <v>259</v>
      </c>
      <c r="C220" s="4">
        <v>26</v>
      </c>
      <c r="D220" s="4">
        <v>22.5</v>
      </c>
    </row>
    <row r="221" spans="1:4" x14ac:dyDescent="0.3">
      <c r="A221" s="11" t="s">
        <v>820</v>
      </c>
      <c r="B221" t="s">
        <v>260</v>
      </c>
      <c r="C221" s="4">
        <v>27</v>
      </c>
      <c r="D221" s="4">
        <v>24</v>
      </c>
    </row>
    <row r="222" spans="1:4" x14ac:dyDescent="0.3">
      <c r="A222" s="12">
        <v>910</v>
      </c>
      <c r="B222" t="s">
        <v>261</v>
      </c>
      <c r="C222" s="4">
        <v>33</v>
      </c>
      <c r="D222" s="4">
        <v>29</v>
      </c>
    </row>
    <row r="223" spans="1:4" x14ac:dyDescent="0.3">
      <c r="A223" s="11" t="s">
        <v>821</v>
      </c>
      <c r="B223" t="s">
        <v>262</v>
      </c>
      <c r="C223" s="4">
        <v>46</v>
      </c>
      <c r="D223" s="4">
        <v>40</v>
      </c>
    </row>
    <row r="224" spans="1:4" x14ac:dyDescent="0.3">
      <c r="A224" s="11" t="s">
        <v>822</v>
      </c>
      <c r="B224" t="s">
        <v>263</v>
      </c>
      <c r="C224" s="4">
        <v>21</v>
      </c>
      <c r="D224" s="4">
        <v>18.5</v>
      </c>
    </row>
    <row r="225" spans="1:4" x14ac:dyDescent="0.3">
      <c r="A225" s="11" t="s">
        <v>823</v>
      </c>
      <c r="B225" t="s">
        <v>264</v>
      </c>
      <c r="C225" s="4">
        <v>176</v>
      </c>
      <c r="D225" s="4">
        <v>165.5</v>
      </c>
    </row>
    <row r="226" spans="1:4" x14ac:dyDescent="0.3">
      <c r="A226" s="11" t="s">
        <v>824</v>
      </c>
      <c r="B226" t="s">
        <v>265</v>
      </c>
      <c r="C226" s="4">
        <v>252</v>
      </c>
      <c r="D226" s="4">
        <v>242</v>
      </c>
    </row>
    <row r="227" spans="1:4" x14ac:dyDescent="0.3">
      <c r="A227" s="11" t="s">
        <v>825</v>
      </c>
      <c r="B227" t="s">
        <v>266</v>
      </c>
      <c r="C227" s="4">
        <v>610</v>
      </c>
      <c r="D227" s="4">
        <v>610</v>
      </c>
    </row>
    <row r="228" spans="1:4" x14ac:dyDescent="0.3">
      <c r="A228" s="11" t="s">
        <v>826</v>
      </c>
      <c r="B228" t="s">
        <v>267</v>
      </c>
      <c r="C228" s="4">
        <v>771</v>
      </c>
      <c r="D228" s="4">
        <v>771</v>
      </c>
    </row>
    <row r="229" spans="1:4" x14ac:dyDescent="0.3">
      <c r="A229" s="11" t="s">
        <v>827</v>
      </c>
      <c r="B229" t="s">
        <v>268</v>
      </c>
      <c r="C229" s="4">
        <v>140</v>
      </c>
      <c r="D229" s="4">
        <v>140</v>
      </c>
    </row>
    <row r="230" spans="1:4" x14ac:dyDescent="0.3">
      <c r="A230" s="11" t="s">
        <v>828</v>
      </c>
      <c r="B230" t="s">
        <v>269</v>
      </c>
      <c r="C230" s="4">
        <v>276</v>
      </c>
      <c r="D230" s="4">
        <v>276</v>
      </c>
    </row>
    <row r="231" spans="1:4" x14ac:dyDescent="0.3">
      <c r="A231" s="11" t="s">
        <v>829</v>
      </c>
      <c r="B231" t="s">
        <v>270</v>
      </c>
      <c r="C231" s="4">
        <v>111</v>
      </c>
      <c r="D231" s="4">
        <v>98</v>
      </c>
    </row>
    <row r="232" spans="1:4" x14ac:dyDescent="0.3">
      <c r="A232" s="11" t="s">
        <v>830</v>
      </c>
      <c r="B232" t="s">
        <v>271</v>
      </c>
      <c r="C232" s="4">
        <v>111</v>
      </c>
      <c r="D232" s="4">
        <v>98</v>
      </c>
    </row>
    <row r="233" spans="1:4" x14ac:dyDescent="0.3">
      <c r="A233" s="11" t="s">
        <v>831</v>
      </c>
      <c r="B233" t="s">
        <v>272</v>
      </c>
      <c r="C233" s="4">
        <v>163</v>
      </c>
      <c r="D233" s="4">
        <v>153</v>
      </c>
    </row>
    <row r="234" spans="1:4" x14ac:dyDescent="0.3">
      <c r="A234" s="11" t="s">
        <v>832</v>
      </c>
      <c r="B234" t="s">
        <v>273</v>
      </c>
      <c r="C234" s="4">
        <v>213</v>
      </c>
      <c r="D234" s="4">
        <v>213</v>
      </c>
    </row>
    <row r="235" spans="1:4" x14ac:dyDescent="0.3">
      <c r="A235" s="11" t="s">
        <v>833</v>
      </c>
      <c r="B235" t="s">
        <v>274</v>
      </c>
      <c r="C235" s="4">
        <v>426</v>
      </c>
      <c r="D235" s="4">
        <v>426</v>
      </c>
    </row>
    <row r="236" spans="1:4" x14ac:dyDescent="0.3">
      <c r="A236" s="11" t="s">
        <v>834</v>
      </c>
      <c r="B236" t="s">
        <v>275</v>
      </c>
      <c r="C236" s="4">
        <v>426</v>
      </c>
      <c r="D236" s="4">
        <v>426</v>
      </c>
    </row>
    <row r="237" spans="1:4" x14ac:dyDescent="0.3">
      <c r="A237" s="11" t="s">
        <v>835</v>
      </c>
      <c r="B237" t="s">
        <v>276</v>
      </c>
      <c r="C237" s="4">
        <v>163</v>
      </c>
      <c r="D237" s="4">
        <v>153</v>
      </c>
    </row>
    <row r="238" spans="1:4" x14ac:dyDescent="0.3">
      <c r="A238" s="11" t="s">
        <v>836</v>
      </c>
      <c r="B238" t="s">
        <v>277</v>
      </c>
      <c r="C238" s="4">
        <v>180</v>
      </c>
      <c r="D238" s="4">
        <v>180</v>
      </c>
    </row>
    <row r="239" spans="1:4" x14ac:dyDescent="0.3">
      <c r="A239" s="11" t="s">
        <v>837</v>
      </c>
      <c r="B239" t="s">
        <v>278</v>
      </c>
      <c r="C239" s="4">
        <v>909</v>
      </c>
      <c r="D239" s="4">
        <v>909</v>
      </c>
    </row>
    <row r="240" spans="1:4" x14ac:dyDescent="0.3">
      <c r="A240" s="11" t="s">
        <v>838</v>
      </c>
      <c r="B240" t="s">
        <v>279</v>
      </c>
      <c r="C240" s="4">
        <v>76</v>
      </c>
      <c r="D240" s="4">
        <v>76</v>
      </c>
    </row>
    <row r="241" spans="1:4" x14ac:dyDescent="0.3">
      <c r="A241" s="11" t="s">
        <v>839</v>
      </c>
      <c r="B241" t="s">
        <v>280</v>
      </c>
      <c r="C241" s="4">
        <v>26</v>
      </c>
      <c r="D241" s="4">
        <v>22.5</v>
      </c>
    </row>
    <row r="242" spans="1:4" x14ac:dyDescent="0.3">
      <c r="A242" s="11" t="s">
        <v>840</v>
      </c>
      <c r="B242" t="s">
        <v>281</v>
      </c>
      <c r="C242" s="4">
        <v>47</v>
      </c>
      <c r="D242" s="4">
        <v>41.5</v>
      </c>
    </row>
    <row r="243" spans="1:4" x14ac:dyDescent="0.3">
      <c r="A243" s="11" t="s">
        <v>841</v>
      </c>
      <c r="B243" t="s">
        <v>282</v>
      </c>
      <c r="C243" s="4">
        <v>106</v>
      </c>
      <c r="D243" s="4">
        <v>93.5</v>
      </c>
    </row>
    <row r="244" spans="1:4" x14ac:dyDescent="0.3">
      <c r="A244" s="11" t="s">
        <v>842</v>
      </c>
      <c r="B244" t="s">
        <v>283</v>
      </c>
      <c r="C244" s="4">
        <v>106</v>
      </c>
      <c r="D244" s="4">
        <v>93.5</v>
      </c>
    </row>
    <row r="245" spans="1:4" x14ac:dyDescent="0.3">
      <c r="A245" s="11" t="s">
        <v>843</v>
      </c>
      <c r="B245" t="s">
        <v>284</v>
      </c>
      <c r="C245" s="4">
        <v>118</v>
      </c>
      <c r="D245" s="4">
        <v>104</v>
      </c>
    </row>
    <row r="246" spans="1:4" x14ac:dyDescent="0.3">
      <c r="A246" s="11" t="s">
        <v>844</v>
      </c>
      <c r="B246" t="s">
        <v>285</v>
      </c>
      <c r="C246" s="4">
        <v>107</v>
      </c>
      <c r="D246" s="4">
        <v>94.5</v>
      </c>
    </row>
    <row r="247" spans="1:4" x14ac:dyDescent="0.3">
      <c r="A247" s="12">
        <v>308</v>
      </c>
      <c r="B247" t="s">
        <v>286</v>
      </c>
      <c r="C247" s="4">
        <v>19</v>
      </c>
      <c r="D247" s="4">
        <v>17.5</v>
      </c>
    </row>
    <row r="248" spans="1:4" x14ac:dyDescent="0.3">
      <c r="A248" s="11" t="s">
        <v>845</v>
      </c>
      <c r="B248" t="s">
        <v>287</v>
      </c>
      <c r="C248" s="4">
        <v>201</v>
      </c>
      <c r="D248" s="4">
        <v>191</v>
      </c>
    </row>
    <row r="249" spans="1:4" x14ac:dyDescent="0.3">
      <c r="A249" s="11" t="s">
        <v>846</v>
      </c>
      <c r="B249" t="s">
        <v>288</v>
      </c>
      <c r="C249" s="4">
        <v>53</v>
      </c>
      <c r="D249" s="4">
        <v>46.5</v>
      </c>
    </row>
    <row r="250" spans="1:4" x14ac:dyDescent="0.3">
      <c r="A250" s="11" t="s">
        <v>847</v>
      </c>
      <c r="B250" t="s">
        <v>289</v>
      </c>
      <c r="C250" s="4">
        <v>217</v>
      </c>
      <c r="D250" s="4">
        <v>207</v>
      </c>
    </row>
    <row r="251" spans="1:4" x14ac:dyDescent="0.3">
      <c r="A251" s="11" t="s">
        <v>848</v>
      </c>
      <c r="B251" t="s">
        <v>290</v>
      </c>
      <c r="C251" s="4">
        <v>146</v>
      </c>
      <c r="D251" s="4">
        <v>129</v>
      </c>
    </row>
    <row r="252" spans="1:4" x14ac:dyDescent="0.3">
      <c r="A252" s="11" t="s">
        <v>849</v>
      </c>
      <c r="B252" t="s">
        <v>291</v>
      </c>
      <c r="C252" s="4">
        <v>33</v>
      </c>
      <c r="D252" s="4">
        <v>29</v>
      </c>
    </row>
    <row r="253" spans="1:4" x14ac:dyDescent="0.3">
      <c r="A253" s="12">
        <v>3793</v>
      </c>
      <c r="B253" t="s">
        <v>292</v>
      </c>
      <c r="C253" s="4">
        <v>55</v>
      </c>
      <c r="D253" s="4">
        <v>48</v>
      </c>
    </row>
    <row r="254" spans="1:4" x14ac:dyDescent="0.3">
      <c r="A254" s="11" t="s">
        <v>850</v>
      </c>
      <c r="B254" t="s">
        <v>293</v>
      </c>
      <c r="C254" s="4">
        <v>104</v>
      </c>
      <c r="D254" s="4">
        <v>92</v>
      </c>
    </row>
    <row r="255" spans="1:4" x14ac:dyDescent="0.3">
      <c r="A255" s="11" t="s">
        <v>851</v>
      </c>
      <c r="B255" t="s">
        <v>294</v>
      </c>
      <c r="C255" s="4">
        <v>108</v>
      </c>
      <c r="D255" s="4">
        <v>95.5</v>
      </c>
    </row>
    <row r="256" spans="1:4" x14ac:dyDescent="0.3">
      <c r="A256" s="11" t="s">
        <v>852</v>
      </c>
      <c r="B256" t="s">
        <v>295</v>
      </c>
      <c r="C256" s="4">
        <v>108</v>
      </c>
      <c r="D256" s="4">
        <v>95.5</v>
      </c>
    </row>
    <row r="257" spans="1:4" x14ac:dyDescent="0.3">
      <c r="A257" s="11" t="s">
        <v>853</v>
      </c>
      <c r="B257" t="s">
        <v>296</v>
      </c>
      <c r="C257" s="4">
        <v>137</v>
      </c>
      <c r="D257" s="4">
        <v>121</v>
      </c>
    </row>
    <row r="258" spans="1:4" x14ac:dyDescent="0.3">
      <c r="A258" s="11" t="s">
        <v>854</v>
      </c>
      <c r="B258" t="s">
        <v>297</v>
      </c>
      <c r="C258" s="4">
        <v>21</v>
      </c>
      <c r="D258" s="4">
        <v>18.5</v>
      </c>
    </row>
    <row r="259" spans="1:4" x14ac:dyDescent="0.3">
      <c r="A259" s="11" t="s">
        <v>855</v>
      </c>
      <c r="B259" t="s">
        <v>298</v>
      </c>
      <c r="C259" s="4">
        <v>17</v>
      </c>
      <c r="D259" s="4">
        <v>15</v>
      </c>
    </row>
    <row r="260" spans="1:4" x14ac:dyDescent="0.3">
      <c r="A260" s="11" t="s">
        <v>856</v>
      </c>
      <c r="B260" t="s">
        <v>299</v>
      </c>
      <c r="C260" s="4">
        <v>8</v>
      </c>
      <c r="D260" s="4">
        <v>7</v>
      </c>
    </row>
    <row r="261" spans="1:4" x14ac:dyDescent="0.3">
      <c r="A261" s="11" t="s">
        <v>857</v>
      </c>
      <c r="B261" t="s">
        <v>300</v>
      </c>
      <c r="C261" s="4">
        <v>32</v>
      </c>
      <c r="D261" s="4">
        <v>28</v>
      </c>
    </row>
    <row r="262" spans="1:4" x14ac:dyDescent="0.3">
      <c r="A262" s="11" t="s">
        <v>858</v>
      </c>
      <c r="B262" t="s">
        <v>301</v>
      </c>
      <c r="C262" s="4">
        <v>8</v>
      </c>
      <c r="D262" s="4">
        <v>7</v>
      </c>
    </row>
    <row r="263" spans="1:4" x14ac:dyDescent="0.3">
      <c r="A263" s="11" t="s">
        <v>859</v>
      </c>
      <c r="B263" t="s">
        <v>302</v>
      </c>
      <c r="C263" s="4">
        <v>21</v>
      </c>
      <c r="D263" s="4">
        <v>18.5</v>
      </c>
    </row>
    <row r="264" spans="1:4" x14ac:dyDescent="0.3">
      <c r="A264" s="11" t="s">
        <v>860</v>
      </c>
      <c r="B264" t="s">
        <v>303</v>
      </c>
      <c r="C264" s="4">
        <v>11</v>
      </c>
      <c r="D264" s="4">
        <v>9</v>
      </c>
    </row>
    <row r="265" spans="1:4" x14ac:dyDescent="0.3">
      <c r="A265" s="11" t="s">
        <v>861</v>
      </c>
      <c r="B265" t="s">
        <v>304</v>
      </c>
      <c r="C265" s="4">
        <v>11</v>
      </c>
      <c r="D265" s="4">
        <v>9.5</v>
      </c>
    </row>
    <row r="266" spans="1:4" x14ac:dyDescent="0.3">
      <c r="A266" s="11" t="s">
        <v>862</v>
      </c>
      <c r="B266" t="s">
        <v>305</v>
      </c>
      <c r="C266" s="4">
        <v>17</v>
      </c>
      <c r="D266" s="4">
        <v>15</v>
      </c>
    </row>
    <row r="267" spans="1:4" x14ac:dyDescent="0.3">
      <c r="A267" s="11" t="s">
        <v>863</v>
      </c>
      <c r="B267" t="s">
        <v>306</v>
      </c>
      <c r="C267" s="4">
        <v>8</v>
      </c>
      <c r="D267" s="4">
        <v>7</v>
      </c>
    </row>
    <row r="268" spans="1:4" x14ac:dyDescent="0.3">
      <c r="A268" s="11" t="s">
        <v>864</v>
      </c>
      <c r="B268" t="s">
        <v>307</v>
      </c>
      <c r="C268" s="4">
        <v>28</v>
      </c>
      <c r="D268" s="4">
        <v>24.5</v>
      </c>
    </row>
    <row r="269" spans="1:4" x14ac:dyDescent="0.3">
      <c r="A269" s="11" t="s">
        <v>865</v>
      </c>
      <c r="B269" t="s">
        <v>308</v>
      </c>
      <c r="C269" s="4">
        <v>130</v>
      </c>
      <c r="D269" s="4">
        <v>115</v>
      </c>
    </row>
    <row r="270" spans="1:4" x14ac:dyDescent="0.3">
      <c r="A270" s="11" t="s">
        <v>866</v>
      </c>
      <c r="B270" t="s">
        <v>309</v>
      </c>
      <c r="C270" s="4">
        <v>92</v>
      </c>
      <c r="D270" s="4">
        <v>92</v>
      </c>
    </row>
    <row r="271" spans="1:4" x14ac:dyDescent="0.3">
      <c r="A271" s="11" t="s">
        <v>867</v>
      </c>
      <c r="B271" t="s">
        <v>310</v>
      </c>
      <c r="C271" s="4">
        <v>36</v>
      </c>
      <c r="D271" s="4">
        <v>36</v>
      </c>
    </row>
    <row r="272" spans="1:4" x14ac:dyDescent="0.3">
      <c r="A272" s="12">
        <v>1021</v>
      </c>
      <c r="B272" t="s">
        <v>311</v>
      </c>
      <c r="C272" s="4">
        <v>17</v>
      </c>
      <c r="D272" s="4">
        <v>15</v>
      </c>
    </row>
    <row r="273" spans="1:4" x14ac:dyDescent="0.3">
      <c r="A273" s="11" t="s">
        <v>868</v>
      </c>
      <c r="B273" t="s">
        <v>312</v>
      </c>
      <c r="C273" s="4">
        <v>20</v>
      </c>
      <c r="D273" s="4">
        <v>17.5</v>
      </c>
    </row>
    <row r="274" spans="1:4" x14ac:dyDescent="0.3">
      <c r="A274" s="11" t="s">
        <v>869</v>
      </c>
      <c r="B274" t="s">
        <v>313</v>
      </c>
      <c r="C274" s="4">
        <v>38</v>
      </c>
      <c r="D274" s="4">
        <v>38</v>
      </c>
    </row>
    <row r="275" spans="1:4" x14ac:dyDescent="0.3">
      <c r="A275" s="11" t="s">
        <v>870</v>
      </c>
      <c r="B275" t="s">
        <v>314</v>
      </c>
      <c r="C275" s="4">
        <v>45</v>
      </c>
      <c r="D275" s="4">
        <v>39.5</v>
      </c>
    </row>
    <row r="276" spans="1:4" x14ac:dyDescent="0.3">
      <c r="A276" s="11" t="s">
        <v>871</v>
      </c>
      <c r="B276" t="s">
        <v>315</v>
      </c>
      <c r="C276" s="4">
        <v>58</v>
      </c>
      <c r="D276" s="4">
        <v>51</v>
      </c>
    </row>
    <row r="277" spans="1:4" x14ac:dyDescent="0.3">
      <c r="A277" s="11" t="s">
        <v>872</v>
      </c>
      <c r="B277" t="s">
        <v>316</v>
      </c>
      <c r="C277" s="4">
        <v>498</v>
      </c>
      <c r="D277" s="4">
        <v>477.5</v>
      </c>
    </row>
    <row r="278" spans="1:4" x14ac:dyDescent="0.3">
      <c r="A278" s="11" t="s">
        <v>873</v>
      </c>
      <c r="B278" t="s">
        <v>317</v>
      </c>
      <c r="C278" s="4">
        <v>160</v>
      </c>
      <c r="D278" s="4">
        <v>155</v>
      </c>
    </row>
    <row r="279" spans="1:4" x14ac:dyDescent="0.3">
      <c r="A279" s="11" t="s">
        <v>874</v>
      </c>
      <c r="B279" t="s">
        <v>318</v>
      </c>
      <c r="C279" s="4">
        <v>522</v>
      </c>
      <c r="D279" s="4">
        <v>512</v>
      </c>
    </row>
    <row r="280" spans="1:4" x14ac:dyDescent="0.3">
      <c r="A280" s="12">
        <v>8449</v>
      </c>
      <c r="B280" t="s">
        <v>319</v>
      </c>
      <c r="C280" s="4">
        <v>16</v>
      </c>
      <c r="D280" s="4">
        <v>14</v>
      </c>
    </row>
    <row r="281" spans="1:4" x14ac:dyDescent="0.3">
      <c r="A281" s="12">
        <v>1206</v>
      </c>
      <c r="B281" t="s">
        <v>320</v>
      </c>
      <c r="C281" s="4">
        <v>14</v>
      </c>
      <c r="D281" s="4">
        <v>12</v>
      </c>
    </row>
    <row r="282" spans="1:4" x14ac:dyDescent="0.3">
      <c r="A282" s="11" t="s">
        <v>875</v>
      </c>
      <c r="B282" t="s">
        <v>321</v>
      </c>
      <c r="C282" s="4">
        <v>72</v>
      </c>
      <c r="D282" s="4">
        <v>63.5</v>
      </c>
    </row>
    <row r="283" spans="1:4" x14ac:dyDescent="0.3">
      <c r="A283" s="11" t="s">
        <v>876</v>
      </c>
      <c r="B283" t="s">
        <v>322</v>
      </c>
      <c r="C283" s="4">
        <v>26</v>
      </c>
      <c r="D283" s="4">
        <v>23</v>
      </c>
    </row>
    <row r="284" spans="1:4" x14ac:dyDescent="0.3">
      <c r="A284" s="12">
        <v>668</v>
      </c>
      <c r="B284" t="s">
        <v>323</v>
      </c>
      <c r="C284" s="4">
        <v>713</v>
      </c>
      <c r="D284" s="4">
        <v>713</v>
      </c>
    </row>
    <row r="285" spans="1:4" x14ac:dyDescent="0.3">
      <c r="A285" s="12">
        <v>1037</v>
      </c>
      <c r="B285" t="s">
        <v>324</v>
      </c>
      <c r="C285" s="4">
        <v>33</v>
      </c>
      <c r="D285" s="4">
        <v>29</v>
      </c>
    </row>
    <row r="286" spans="1:4" x14ac:dyDescent="0.3">
      <c r="A286" s="12">
        <v>1053</v>
      </c>
      <c r="B286" t="s">
        <v>325</v>
      </c>
      <c r="C286" s="4">
        <v>58</v>
      </c>
      <c r="D286" s="4">
        <v>50.5</v>
      </c>
    </row>
    <row r="287" spans="1:4" x14ac:dyDescent="0.3">
      <c r="A287" s="12">
        <v>1051</v>
      </c>
      <c r="B287" t="s">
        <v>326</v>
      </c>
      <c r="C287" s="4">
        <v>50</v>
      </c>
      <c r="D287" s="4">
        <v>43.5</v>
      </c>
    </row>
    <row r="288" spans="1:4" x14ac:dyDescent="0.3">
      <c r="A288" s="11" t="s">
        <v>877</v>
      </c>
      <c r="B288" t="s">
        <v>327</v>
      </c>
      <c r="C288" s="4">
        <v>71</v>
      </c>
      <c r="D288" s="4">
        <v>62.5</v>
      </c>
    </row>
    <row r="289" spans="1:4" x14ac:dyDescent="0.3">
      <c r="A289" s="11" t="s">
        <v>878</v>
      </c>
      <c r="B289" t="s">
        <v>328</v>
      </c>
      <c r="C289" s="4">
        <v>107</v>
      </c>
      <c r="D289" s="4">
        <v>94.5</v>
      </c>
    </row>
    <row r="290" spans="1:4" x14ac:dyDescent="0.3">
      <c r="A290" s="11" t="s">
        <v>879</v>
      </c>
      <c r="B290" t="s">
        <v>329</v>
      </c>
      <c r="C290" s="4">
        <v>173</v>
      </c>
      <c r="D290" s="4">
        <v>173</v>
      </c>
    </row>
    <row r="291" spans="1:4" x14ac:dyDescent="0.3">
      <c r="A291" s="11" t="s">
        <v>880</v>
      </c>
      <c r="B291" t="s">
        <v>330</v>
      </c>
      <c r="C291" s="4">
        <v>107</v>
      </c>
      <c r="D291" s="4">
        <v>94.5</v>
      </c>
    </row>
    <row r="292" spans="1:4" x14ac:dyDescent="0.3">
      <c r="A292" s="11" t="s">
        <v>881</v>
      </c>
      <c r="B292" t="s">
        <v>331</v>
      </c>
      <c r="C292" s="4">
        <v>77</v>
      </c>
      <c r="D292" s="4">
        <v>68</v>
      </c>
    </row>
    <row r="293" spans="1:4" x14ac:dyDescent="0.3">
      <c r="A293" s="11" t="s">
        <v>882</v>
      </c>
      <c r="B293" t="s">
        <v>332</v>
      </c>
      <c r="C293" s="4">
        <v>94</v>
      </c>
      <c r="D293" s="4">
        <v>83</v>
      </c>
    </row>
    <row r="294" spans="1:4" x14ac:dyDescent="0.3">
      <c r="A294" s="11" t="s">
        <v>883</v>
      </c>
      <c r="B294" t="s">
        <v>333</v>
      </c>
      <c r="C294" s="4">
        <v>132.5</v>
      </c>
      <c r="D294" s="4">
        <v>132.5</v>
      </c>
    </row>
    <row r="295" spans="1:4" x14ac:dyDescent="0.3">
      <c r="A295" s="11" t="s">
        <v>884</v>
      </c>
      <c r="B295" t="s">
        <v>334</v>
      </c>
      <c r="C295" s="4">
        <v>94</v>
      </c>
      <c r="D295" s="4">
        <v>83</v>
      </c>
    </row>
    <row r="296" spans="1:4" x14ac:dyDescent="0.3">
      <c r="A296" s="11" t="s">
        <v>885</v>
      </c>
      <c r="B296" t="s">
        <v>335</v>
      </c>
      <c r="C296" s="4">
        <v>92</v>
      </c>
      <c r="D296" s="4">
        <v>81</v>
      </c>
    </row>
    <row r="297" spans="1:4" x14ac:dyDescent="0.3">
      <c r="A297" s="12">
        <v>78</v>
      </c>
      <c r="B297" t="s">
        <v>336</v>
      </c>
      <c r="C297" s="4">
        <v>28</v>
      </c>
      <c r="D297" s="4">
        <v>25</v>
      </c>
    </row>
    <row r="298" spans="1:4" x14ac:dyDescent="0.3">
      <c r="A298" s="12">
        <v>81</v>
      </c>
      <c r="B298" t="s">
        <v>337</v>
      </c>
      <c r="C298" s="4">
        <v>43</v>
      </c>
      <c r="D298" s="4">
        <v>38</v>
      </c>
    </row>
    <row r="299" spans="1:4" x14ac:dyDescent="0.3">
      <c r="A299" s="12">
        <v>97</v>
      </c>
      <c r="B299" t="s">
        <v>338</v>
      </c>
      <c r="C299" s="4">
        <v>61</v>
      </c>
      <c r="D299" s="4">
        <v>54</v>
      </c>
    </row>
    <row r="300" spans="1:4" x14ac:dyDescent="0.3">
      <c r="A300" s="12">
        <v>158</v>
      </c>
      <c r="B300" t="s">
        <v>339</v>
      </c>
      <c r="C300" s="4">
        <v>65</v>
      </c>
      <c r="D300" s="4">
        <v>59</v>
      </c>
    </row>
    <row r="301" spans="1:4" x14ac:dyDescent="0.3">
      <c r="A301" s="12">
        <v>21</v>
      </c>
      <c r="B301" t="s">
        <v>340</v>
      </c>
      <c r="C301" s="4">
        <v>21</v>
      </c>
      <c r="D301" s="4">
        <v>18</v>
      </c>
    </row>
    <row r="302" spans="1:4" x14ac:dyDescent="0.3">
      <c r="A302" s="12">
        <v>152</v>
      </c>
      <c r="B302" t="s">
        <v>341</v>
      </c>
      <c r="C302" s="4">
        <v>36</v>
      </c>
      <c r="D302" s="4">
        <v>32</v>
      </c>
    </row>
    <row r="303" spans="1:4" x14ac:dyDescent="0.3">
      <c r="A303" s="12">
        <v>183</v>
      </c>
      <c r="B303" t="s">
        <v>342</v>
      </c>
      <c r="C303" s="4">
        <v>45</v>
      </c>
      <c r="D303" s="4">
        <v>40</v>
      </c>
    </row>
    <row r="304" spans="1:4" x14ac:dyDescent="0.3">
      <c r="A304" s="12">
        <v>284</v>
      </c>
      <c r="B304" t="s">
        <v>343</v>
      </c>
      <c r="C304" s="4">
        <v>50</v>
      </c>
      <c r="D304" s="4">
        <v>44</v>
      </c>
    </row>
    <row r="305" spans="1:4" x14ac:dyDescent="0.3">
      <c r="A305" s="11" t="s">
        <v>886</v>
      </c>
      <c r="B305" t="s">
        <v>344</v>
      </c>
      <c r="C305" s="4">
        <v>21</v>
      </c>
      <c r="D305" s="4">
        <v>18</v>
      </c>
    </row>
    <row r="306" spans="1:4" x14ac:dyDescent="0.3">
      <c r="A306" s="11" t="s">
        <v>887</v>
      </c>
      <c r="B306" t="s">
        <v>345</v>
      </c>
      <c r="C306" s="4">
        <v>40</v>
      </c>
      <c r="D306" s="4">
        <v>35</v>
      </c>
    </row>
    <row r="307" spans="1:4" x14ac:dyDescent="0.3">
      <c r="A307" s="11" t="s">
        <v>888</v>
      </c>
      <c r="B307" t="s">
        <v>346</v>
      </c>
      <c r="C307" s="4">
        <v>26</v>
      </c>
      <c r="D307" s="4">
        <v>22.5</v>
      </c>
    </row>
    <row r="308" spans="1:4" x14ac:dyDescent="0.3">
      <c r="A308" s="11" t="s">
        <v>889</v>
      </c>
      <c r="B308" t="s">
        <v>347</v>
      </c>
      <c r="C308" s="4">
        <v>30</v>
      </c>
      <c r="D308" s="4">
        <v>26.5</v>
      </c>
    </row>
    <row r="309" spans="1:4" x14ac:dyDescent="0.3">
      <c r="A309" s="11" t="s">
        <v>890</v>
      </c>
      <c r="B309" t="s">
        <v>348</v>
      </c>
      <c r="C309" s="4">
        <v>66</v>
      </c>
      <c r="D309" s="4">
        <v>58</v>
      </c>
    </row>
    <row r="310" spans="1:4" x14ac:dyDescent="0.3">
      <c r="A310" s="11" t="s">
        <v>891</v>
      </c>
      <c r="B310" t="s">
        <v>349</v>
      </c>
      <c r="C310" s="4">
        <v>39</v>
      </c>
      <c r="D310" s="4">
        <v>34</v>
      </c>
    </row>
    <row r="311" spans="1:4" x14ac:dyDescent="0.3">
      <c r="A311" s="11" t="s">
        <v>892</v>
      </c>
      <c r="B311" t="s">
        <v>350</v>
      </c>
      <c r="C311" s="4">
        <v>49</v>
      </c>
      <c r="D311" s="4">
        <v>43</v>
      </c>
    </row>
    <row r="312" spans="1:4" x14ac:dyDescent="0.3">
      <c r="A312" s="11" t="s">
        <v>893</v>
      </c>
      <c r="B312" t="s">
        <v>351</v>
      </c>
      <c r="C312" s="4">
        <v>41</v>
      </c>
      <c r="D312" s="4">
        <v>36</v>
      </c>
    </row>
    <row r="313" spans="1:4" x14ac:dyDescent="0.3">
      <c r="A313" s="11" t="s">
        <v>894</v>
      </c>
      <c r="B313" t="s">
        <v>352</v>
      </c>
      <c r="C313" s="4">
        <v>89</v>
      </c>
      <c r="D313" s="4">
        <v>78.5</v>
      </c>
    </row>
    <row r="314" spans="1:4" x14ac:dyDescent="0.3">
      <c r="A314" s="11" t="s">
        <v>895</v>
      </c>
      <c r="B314" t="s">
        <v>353</v>
      </c>
      <c r="C314" s="4">
        <v>52</v>
      </c>
      <c r="D314" s="4">
        <v>46</v>
      </c>
    </row>
    <row r="315" spans="1:4" x14ac:dyDescent="0.3">
      <c r="A315" s="11" t="s">
        <v>896</v>
      </c>
      <c r="B315" t="s">
        <v>354</v>
      </c>
      <c r="C315" s="4">
        <v>84</v>
      </c>
      <c r="D315" s="4">
        <v>74</v>
      </c>
    </row>
    <row r="316" spans="1:4" x14ac:dyDescent="0.3">
      <c r="A316" s="11" t="s">
        <v>897</v>
      </c>
      <c r="B316" t="s">
        <v>355</v>
      </c>
      <c r="C316" s="4">
        <v>58</v>
      </c>
      <c r="D316" s="4">
        <v>51</v>
      </c>
    </row>
    <row r="317" spans="1:4" x14ac:dyDescent="0.3">
      <c r="A317" s="11" t="s">
        <v>898</v>
      </c>
      <c r="B317" t="s">
        <v>356</v>
      </c>
      <c r="C317" s="4">
        <v>146</v>
      </c>
      <c r="D317" s="4">
        <v>129</v>
      </c>
    </row>
    <row r="318" spans="1:4" x14ac:dyDescent="0.3">
      <c r="A318" s="11" t="s">
        <v>899</v>
      </c>
      <c r="B318" t="s">
        <v>357</v>
      </c>
      <c r="C318" s="4">
        <v>82</v>
      </c>
      <c r="D318" s="4">
        <v>72.5</v>
      </c>
    </row>
    <row r="319" spans="1:4" x14ac:dyDescent="0.3">
      <c r="A319" s="11" t="s">
        <v>900</v>
      </c>
      <c r="B319" t="s">
        <v>358</v>
      </c>
      <c r="C319" s="4">
        <v>214</v>
      </c>
      <c r="D319" s="4">
        <v>189</v>
      </c>
    </row>
    <row r="320" spans="1:4" x14ac:dyDescent="0.3">
      <c r="A320" s="11" t="s">
        <v>901</v>
      </c>
      <c r="B320" t="s">
        <v>359</v>
      </c>
      <c r="C320" s="4">
        <v>118</v>
      </c>
      <c r="D320" s="4">
        <v>104</v>
      </c>
    </row>
    <row r="321" spans="1:4" x14ac:dyDescent="0.3">
      <c r="A321" s="11" t="s">
        <v>902</v>
      </c>
      <c r="B321" t="s">
        <v>360</v>
      </c>
      <c r="C321" s="4">
        <v>274</v>
      </c>
      <c r="D321" s="4">
        <v>242</v>
      </c>
    </row>
    <row r="322" spans="1:4" x14ac:dyDescent="0.3">
      <c r="A322" s="11" t="s">
        <v>903</v>
      </c>
      <c r="B322" t="s">
        <v>361</v>
      </c>
      <c r="C322" s="4">
        <v>150</v>
      </c>
      <c r="D322" s="4">
        <v>132.5</v>
      </c>
    </row>
    <row r="323" spans="1:4" x14ac:dyDescent="0.3">
      <c r="A323" s="11" t="s">
        <v>904</v>
      </c>
      <c r="B323" t="s">
        <v>362</v>
      </c>
      <c r="C323" s="4">
        <v>215</v>
      </c>
      <c r="D323" s="4">
        <v>190</v>
      </c>
    </row>
    <row r="324" spans="1:4" x14ac:dyDescent="0.3">
      <c r="A324" s="11" t="s">
        <v>905</v>
      </c>
      <c r="B324" t="s">
        <v>363</v>
      </c>
      <c r="C324" s="4">
        <v>49</v>
      </c>
      <c r="D324" s="4">
        <v>43</v>
      </c>
    </row>
    <row r="325" spans="1:4" x14ac:dyDescent="0.3">
      <c r="A325" s="11" t="s">
        <v>906</v>
      </c>
      <c r="B325" t="s">
        <v>364</v>
      </c>
      <c r="C325" s="4">
        <v>311</v>
      </c>
      <c r="D325" s="4">
        <v>311</v>
      </c>
    </row>
    <row r="326" spans="1:4" x14ac:dyDescent="0.3">
      <c r="A326" s="11" t="s">
        <v>907</v>
      </c>
      <c r="B326" t="s">
        <v>365</v>
      </c>
      <c r="C326" s="4">
        <v>234</v>
      </c>
      <c r="D326" s="4">
        <v>207</v>
      </c>
    </row>
    <row r="327" spans="1:4" x14ac:dyDescent="0.3">
      <c r="A327" s="12">
        <v>4370</v>
      </c>
      <c r="B327" t="s">
        <v>366</v>
      </c>
      <c r="C327" s="4">
        <v>29</v>
      </c>
      <c r="D327" s="4">
        <v>25</v>
      </c>
    </row>
    <row r="328" spans="1:4" x14ac:dyDescent="0.3">
      <c r="A328" s="11" t="s">
        <v>908</v>
      </c>
      <c r="B328" t="s">
        <v>367</v>
      </c>
      <c r="C328" s="4">
        <v>26</v>
      </c>
      <c r="D328" s="4">
        <v>22.5</v>
      </c>
    </row>
    <row r="329" spans="1:4" x14ac:dyDescent="0.3">
      <c r="A329" s="12">
        <v>179</v>
      </c>
      <c r="B329" t="s">
        <v>368</v>
      </c>
      <c r="C329" s="4">
        <v>27</v>
      </c>
      <c r="D329" s="4">
        <v>23</v>
      </c>
    </row>
    <row r="330" spans="1:4" x14ac:dyDescent="0.3">
      <c r="A330" s="11" t="s">
        <v>909</v>
      </c>
      <c r="B330" t="s">
        <v>369</v>
      </c>
      <c r="C330" s="4">
        <v>41</v>
      </c>
      <c r="D330" s="4">
        <v>36</v>
      </c>
    </row>
    <row r="331" spans="1:4" x14ac:dyDescent="0.3">
      <c r="A331" s="11" t="s">
        <v>910</v>
      </c>
      <c r="B331" t="s">
        <v>370</v>
      </c>
      <c r="C331" s="4">
        <v>72</v>
      </c>
      <c r="D331" s="4">
        <v>63.5</v>
      </c>
    </row>
    <row r="332" spans="1:4" x14ac:dyDescent="0.3">
      <c r="A332" s="11" t="s">
        <v>911</v>
      </c>
      <c r="B332" t="s">
        <v>371</v>
      </c>
      <c r="C332" s="4">
        <v>58</v>
      </c>
      <c r="D332" s="4">
        <v>51</v>
      </c>
    </row>
    <row r="333" spans="1:4" x14ac:dyDescent="0.3">
      <c r="A333" s="11" t="s">
        <v>912</v>
      </c>
      <c r="B333" t="s">
        <v>372</v>
      </c>
      <c r="C333" s="4">
        <v>82</v>
      </c>
      <c r="D333" s="4">
        <v>72</v>
      </c>
    </row>
    <row r="334" spans="1:4" x14ac:dyDescent="0.3">
      <c r="A334" s="11" t="s">
        <v>913</v>
      </c>
      <c r="B334" t="s">
        <v>373</v>
      </c>
      <c r="C334" s="4">
        <v>136</v>
      </c>
      <c r="D334" s="4">
        <v>120</v>
      </c>
    </row>
    <row r="335" spans="1:4" x14ac:dyDescent="0.3">
      <c r="A335" s="12">
        <v>1076</v>
      </c>
      <c r="B335" t="s">
        <v>374</v>
      </c>
      <c r="C335" s="4">
        <v>670</v>
      </c>
      <c r="D335" s="4">
        <v>592.5</v>
      </c>
    </row>
    <row r="336" spans="1:4" x14ac:dyDescent="0.3">
      <c r="A336" s="12">
        <v>1078</v>
      </c>
      <c r="B336" t="s">
        <v>375</v>
      </c>
      <c r="C336" s="4">
        <v>807</v>
      </c>
      <c r="D336" s="4">
        <v>776.5</v>
      </c>
    </row>
    <row r="337" spans="1:4" x14ac:dyDescent="0.3">
      <c r="A337" s="12">
        <v>1079</v>
      </c>
      <c r="B337" t="s">
        <v>376</v>
      </c>
      <c r="C337" s="4">
        <v>1133</v>
      </c>
      <c r="D337" s="4">
        <v>1133</v>
      </c>
    </row>
    <row r="338" spans="1:4" x14ac:dyDescent="0.3">
      <c r="A338" s="11" t="s">
        <v>914</v>
      </c>
      <c r="B338" t="s">
        <v>377</v>
      </c>
      <c r="C338" s="4">
        <v>33</v>
      </c>
      <c r="D338" s="4">
        <v>29</v>
      </c>
    </row>
    <row r="339" spans="1:4" x14ac:dyDescent="0.3">
      <c r="A339" s="11" t="s">
        <v>915</v>
      </c>
      <c r="B339" t="s">
        <v>378</v>
      </c>
      <c r="C339" s="4">
        <v>54</v>
      </c>
      <c r="D339" s="4">
        <v>47.5</v>
      </c>
    </row>
    <row r="340" spans="1:4" x14ac:dyDescent="0.3">
      <c r="A340" s="12">
        <v>1230</v>
      </c>
      <c r="B340" t="s">
        <v>379</v>
      </c>
      <c r="C340" s="4">
        <v>897</v>
      </c>
      <c r="D340" s="4">
        <v>897</v>
      </c>
    </row>
    <row r="341" spans="1:4" x14ac:dyDescent="0.3">
      <c r="A341" s="11" t="s">
        <v>916</v>
      </c>
      <c r="B341" t="s">
        <v>380</v>
      </c>
      <c r="C341" s="4">
        <v>486</v>
      </c>
      <c r="D341" s="4">
        <v>481</v>
      </c>
    </row>
    <row r="342" spans="1:4" x14ac:dyDescent="0.3">
      <c r="A342" s="11" t="s">
        <v>917</v>
      </c>
      <c r="B342" t="s">
        <v>381</v>
      </c>
      <c r="C342" s="4">
        <v>1047</v>
      </c>
      <c r="D342" s="4">
        <v>1047</v>
      </c>
    </row>
    <row r="343" spans="1:4" x14ac:dyDescent="0.3">
      <c r="A343" s="11" t="s">
        <v>918</v>
      </c>
      <c r="B343" t="s">
        <v>382</v>
      </c>
      <c r="C343" s="4">
        <v>1668</v>
      </c>
      <c r="D343" s="4">
        <v>1668</v>
      </c>
    </row>
    <row r="344" spans="1:4" x14ac:dyDescent="0.3">
      <c r="A344" s="12">
        <v>311</v>
      </c>
      <c r="B344" t="s">
        <v>383</v>
      </c>
      <c r="C344" s="4">
        <v>132.5</v>
      </c>
      <c r="D344" s="4">
        <v>132.5</v>
      </c>
    </row>
    <row r="345" spans="1:4" x14ac:dyDescent="0.3">
      <c r="A345" s="12">
        <v>3990</v>
      </c>
      <c r="B345" t="s">
        <v>384</v>
      </c>
      <c r="C345" s="4">
        <v>92</v>
      </c>
      <c r="D345" s="4">
        <v>81</v>
      </c>
    </row>
    <row r="346" spans="1:4" x14ac:dyDescent="0.3">
      <c r="A346" s="12">
        <v>1083</v>
      </c>
      <c r="B346" t="s">
        <v>385</v>
      </c>
      <c r="C346" s="4">
        <v>38</v>
      </c>
      <c r="D346" s="4">
        <v>33.5</v>
      </c>
    </row>
    <row r="347" spans="1:4" x14ac:dyDescent="0.3">
      <c r="A347" s="11" t="s">
        <v>919</v>
      </c>
      <c r="B347" t="s">
        <v>386</v>
      </c>
      <c r="C347" s="4">
        <v>50</v>
      </c>
      <c r="D347" s="4">
        <v>44</v>
      </c>
    </row>
    <row r="348" spans="1:4" x14ac:dyDescent="0.3">
      <c r="A348" s="11" t="s">
        <v>920</v>
      </c>
      <c r="B348" t="s">
        <v>387</v>
      </c>
      <c r="C348" s="4">
        <v>380</v>
      </c>
      <c r="D348" s="4">
        <v>380</v>
      </c>
    </row>
    <row r="349" spans="1:4" x14ac:dyDescent="0.3">
      <c r="A349" s="11" t="s">
        <v>921</v>
      </c>
      <c r="B349" t="s">
        <v>388</v>
      </c>
      <c r="C349" s="4">
        <v>46</v>
      </c>
      <c r="D349" s="4">
        <v>40.5</v>
      </c>
    </row>
    <row r="350" spans="1:4" x14ac:dyDescent="0.3">
      <c r="A350" s="11" t="s">
        <v>922</v>
      </c>
      <c r="B350" t="s">
        <v>389</v>
      </c>
      <c r="C350" s="4">
        <v>64</v>
      </c>
      <c r="D350" s="4">
        <v>56.5</v>
      </c>
    </row>
    <row r="351" spans="1:4" x14ac:dyDescent="0.3">
      <c r="A351" s="11" t="s">
        <v>923</v>
      </c>
      <c r="B351" t="s">
        <v>390</v>
      </c>
      <c r="C351" s="4">
        <v>52</v>
      </c>
      <c r="D351" s="4">
        <v>46</v>
      </c>
    </row>
    <row r="352" spans="1:4" x14ac:dyDescent="0.3">
      <c r="A352" s="11" t="s">
        <v>924</v>
      </c>
      <c r="B352" t="s">
        <v>391</v>
      </c>
      <c r="C352" s="4">
        <v>64</v>
      </c>
      <c r="D352" s="4">
        <v>56.5</v>
      </c>
    </row>
    <row r="353" spans="1:4" x14ac:dyDescent="0.3">
      <c r="A353" s="11" t="s">
        <v>925</v>
      </c>
      <c r="B353" t="s">
        <v>392</v>
      </c>
      <c r="C353" s="4">
        <v>78</v>
      </c>
      <c r="D353" s="4">
        <v>69</v>
      </c>
    </row>
    <row r="354" spans="1:4" x14ac:dyDescent="0.3">
      <c r="A354" s="11" t="s">
        <v>926</v>
      </c>
      <c r="B354" t="s">
        <v>393</v>
      </c>
      <c r="C354" s="4">
        <v>70</v>
      </c>
      <c r="D354" s="4">
        <v>62</v>
      </c>
    </row>
    <row r="355" spans="1:4" x14ac:dyDescent="0.3">
      <c r="A355" s="11" t="s">
        <v>927</v>
      </c>
      <c r="B355" t="s">
        <v>394</v>
      </c>
      <c r="C355" s="4">
        <v>150</v>
      </c>
      <c r="D355" s="4">
        <v>132.5</v>
      </c>
    </row>
    <row r="356" spans="1:4" x14ac:dyDescent="0.3">
      <c r="A356" s="11" t="s">
        <v>928</v>
      </c>
      <c r="B356" t="s">
        <v>395</v>
      </c>
      <c r="C356" s="4">
        <v>167</v>
      </c>
      <c r="D356" s="4">
        <v>147.5</v>
      </c>
    </row>
    <row r="357" spans="1:4" x14ac:dyDescent="0.3">
      <c r="A357" s="11" t="s">
        <v>929</v>
      </c>
      <c r="B357" t="s">
        <v>396</v>
      </c>
      <c r="C357" s="4">
        <v>177</v>
      </c>
      <c r="D357" s="4">
        <v>167</v>
      </c>
    </row>
    <row r="358" spans="1:4" x14ac:dyDescent="0.3">
      <c r="A358" s="11" t="s">
        <v>930</v>
      </c>
      <c r="B358" t="s">
        <v>397</v>
      </c>
      <c r="C358" s="4">
        <v>64</v>
      </c>
      <c r="D358" s="4">
        <v>56</v>
      </c>
    </row>
    <row r="359" spans="1:4" x14ac:dyDescent="0.3">
      <c r="A359" s="11" t="s">
        <v>931</v>
      </c>
      <c r="B359" t="s">
        <v>398</v>
      </c>
      <c r="C359" s="4">
        <v>46</v>
      </c>
      <c r="D359" s="4">
        <v>40.5</v>
      </c>
    </row>
    <row r="360" spans="1:4" x14ac:dyDescent="0.3">
      <c r="A360" s="11" t="s">
        <v>932</v>
      </c>
      <c r="B360" t="s">
        <v>399</v>
      </c>
      <c r="C360" s="4">
        <v>66</v>
      </c>
      <c r="D360" s="4">
        <v>58</v>
      </c>
    </row>
    <row r="361" spans="1:4" x14ac:dyDescent="0.3">
      <c r="A361" s="11" t="s">
        <v>933</v>
      </c>
      <c r="B361" t="s">
        <v>400</v>
      </c>
      <c r="C361" s="4">
        <v>16</v>
      </c>
      <c r="D361" s="4">
        <v>14</v>
      </c>
    </row>
    <row r="362" spans="1:4" x14ac:dyDescent="0.3">
      <c r="A362" s="11" t="s">
        <v>934</v>
      </c>
      <c r="B362" t="s">
        <v>401</v>
      </c>
      <c r="C362" s="4">
        <v>18</v>
      </c>
      <c r="D362" s="4">
        <v>15.5</v>
      </c>
    </row>
    <row r="363" spans="1:4" x14ac:dyDescent="0.3">
      <c r="A363" s="11" t="s">
        <v>935</v>
      </c>
      <c r="B363" t="s">
        <v>402</v>
      </c>
      <c r="C363" s="4">
        <v>33</v>
      </c>
      <c r="D363" s="4">
        <v>29</v>
      </c>
    </row>
    <row r="364" spans="1:4" x14ac:dyDescent="0.3">
      <c r="A364" s="12">
        <v>1635</v>
      </c>
      <c r="B364" t="s">
        <v>403</v>
      </c>
      <c r="C364" s="4">
        <v>55</v>
      </c>
      <c r="D364" s="4">
        <v>48.5</v>
      </c>
    </row>
    <row r="365" spans="1:4" x14ac:dyDescent="0.3">
      <c r="A365" s="12">
        <v>3332</v>
      </c>
      <c r="B365" t="s">
        <v>404</v>
      </c>
      <c r="C365" s="4">
        <v>46</v>
      </c>
      <c r="D365" s="4">
        <v>40.5</v>
      </c>
    </row>
    <row r="366" spans="1:4" x14ac:dyDescent="0.3">
      <c r="A366" s="11" t="s">
        <v>936</v>
      </c>
      <c r="B366" t="s">
        <v>405</v>
      </c>
      <c r="C366" s="4">
        <v>43</v>
      </c>
      <c r="D366" s="4">
        <v>38</v>
      </c>
    </row>
    <row r="367" spans="1:4" x14ac:dyDescent="0.3">
      <c r="A367" s="11" t="s">
        <v>937</v>
      </c>
      <c r="B367" t="s">
        <v>406</v>
      </c>
      <c r="C367" s="4">
        <v>38</v>
      </c>
      <c r="D367" s="4">
        <v>33</v>
      </c>
    </row>
    <row r="368" spans="1:4" x14ac:dyDescent="0.3">
      <c r="A368" s="11" t="s">
        <v>938</v>
      </c>
      <c r="B368" t="s">
        <v>407</v>
      </c>
      <c r="C368" s="4">
        <v>59</v>
      </c>
      <c r="D368" s="4">
        <v>52</v>
      </c>
    </row>
    <row r="369" spans="1:4" x14ac:dyDescent="0.3">
      <c r="A369" s="11" t="s">
        <v>939</v>
      </c>
      <c r="B369" t="s">
        <v>408</v>
      </c>
      <c r="C369" s="4">
        <v>34</v>
      </c>
      <c r="D369" s="4">
        <v>29</v>
      </c>
    </row>
    <row r="370" spans="1:4" x14ac:dyDescent="0.3">
      <c r="A370" s="11" t="s">
        <v>940</v>
      </c>
      <c r="B370" t="s">
        <v>409</v>
      </c>
      <c r="C370" s="4">
        <v>32</v>
      </c>
      <c r="D370" s="4">
        <v>28</v>
      </c>
    </row>
    <row r="371" spans="1:4" x14ac:dyDescent="0.3">
      <c r="A371" s="11" t="s">
        <v>941</v>
      </c>
      <c r="B371" t="s">
        <v>410</v>
      </c>
      <c r="C371" s="4">
        <v>52</v>
      </c>
      <c r="D371" s="4">
        <v>46</v>
      </c>
    </row>
    <row r="372" spans="1:4" x14ac:dyDescent="0.3">
      <c r="A372" s="11" t="s">
        <v>942</v>
      </c>
      <c r="B372" t="s">
        <v>411</v>
      </c>
      <c r="C372" s="4">
        <v>30</v>
      </c>
      <c r="D372" s="4">
        <v>26.5</v>
      </c>
    </row>
    <row r="373" spans="1:4" x14ac:dyDescent="0.3">
      <c r="A373" s="11" t="s">
        <v>943</v>
      </c>
      <c r="B373" t="s">
        <v>412</v>
      </c>
      <c r="C373" s="4">
        <v>32</v>
      </c>
      <c r="D373" s="4">
        <v>28</v>
      </c>
    </row>
    <row r="374" spans="1:4" x14ac:dyDescent="0.3">
      <c r="A374" s="11" t="s">
        <v>944</v>
      </c>
      <c r="B374" t="s">
        <v>413</v>
      </c>
      <c r="C374" s="4">
        <v>46</v>
      </c>
      <c r="D374" s="4">
        <v>40.5</v>
      </c>
    </row>
    <row r="375" spans="1:4" x14ac:dyDescent="0.3">
      <c r="A375" s="11" t="s">
        <v>945</v>
      </c>
      <c r="B375" t="s">
        <v>414</v>
      </c>
      <c r="C375" s="4">
        <v>61</v>
      </c>
      <c r="D375" s="4">
        <v>53</v>
      </c>
    </row>
    <row r="376" spans="1:4" x14ac:dyDescent="0.3">
      <c r="A376" s="11" t="s">
        <v>946</v>
      </c>
      <c r="B376" t="s">
        <v>415</v>
      </c>
      <c r="C376" s="4">
        <v>55</v>
      </c>
      <c r="D376" s="4">
        <v>48.5</v>
      </c>
    </row>
    <row r="377" spans="1:4" x14ac:dyDescent="0.3">
      <c r="A377" s="11" t="s">
        <v>947</v>
      </c>
      <c r="B377" t="s">
        <v>416</v>
      </c>
      <c r="C377" s="4">
        <v>71</v>
      </c>
      <c r="D377" s="4">
        <v>62.5</v>
      </c>
    </row>
    <row r="378" spans="1:4" x14ac:dyDescent="0.3">
      <c r="A378" s="11" t="s">
        <v>948</v>
      </c>
      <c r="B378" t="s">
        <v>417</v>
      </c>
      <c r="C378" s="4">
        <v>38</v>
      </c>
      <c r="D378" s="4">
        <v>33</v>
      </c>
    </row>
    <row r="379" spans="1:4" x14ac:dyDescent="0.3">
      <c r="A379" s="11" t="s">
        <v>949</v>
      </c>
      <c r="B379" t="s">
        <v>418</v>
      </c>
      <c r="C379" s="4">
        <v>34</v>
      </c>
      <c r="D379" s="4">
        <v>30</v>
      </c>
    </row>
    <row r="380" spans="1:4" x14ac:dyDescent="0.3">
      <c r="A380" s="11" t="s">
        <v>950</v>
      </c>
      <c r="B380" t="s">
        <v>419</v>
      </c>
      <c r="C380" s="4">
        <v>32</v>
      </c>
      <c r="D380" s="4">
        <v>28</v>
      </c>
    </row>
    <row r="381" spans="1:4" x14ac:dyDescent="0.3">
      <c r="A381" s="11" t="s">
        <v>951</v>
      </c>
      <c r="B381" t="s">
        <v>420</v>
      </c>
      <c r="C381" s="4">
        <v>46</v>
      </c>
      <c r="D381" s="4">
        <v>40.5</v>
      </c>
    </row>
    <row r="382" spans="1:4" x14ac:dyDescent="0.3">
      <c r="A382" s="11" t="s">
        <v>952</v>
      </c>
      <c r="B382" t="s">
        <v>421</v>
      </c>
      <c r="C382" s="4">
        <v>52</v>
      </c>
      <c r="D382" s="4">
        <v>46</v>
      </c>
    </row>
    <row r="383" spans="1:4" x14ac:dyDescent="0.3">
      <c r="A383" s="11" t="s">
        <v>953</v>
      </c>
      <c r="B383" t="s">
        <v>422</v>
      </c>
      <c r="C383" s="4">
        <v>43</v>
      </c>
      <c r="D383" s="4">
        <v>37.5</v>
      </c>
    </row>
    <row r="384" spans="1:4" x14ac:dyDescent="0.3">
      <c r="A384" s="11" t="s">
        <v>954</v>
      </c>
      <c r="B384" t="s">
        <v>423</v>
      </c>
      <c r="C384" s="4">
        <v>36</v>
      </c>
      <c r="D384" s="4">
        <v>31.5</v>
      </c>
    </row>
    <row r="385" spans="1:4" x14ac:dyDescent="0.3">
      <c r="A385" s="11" t="s">
        <v>955</v>
      </c>
      <c r="B385" t="s">
        <v>424</v>
      </c>
      <c r="C385" s="4">
        <v>40</v>
      </c>
      <c r="D385" s="4">
        <v>35</v>
      </c>
    </row>
    <row r="386" spans="1:4" x14ac:dyDescent="0.3">
      <c r="A386" s="11" t="s">
        <v>5</v>
      </c>
      <c r="B386" t="s">
        <v>425</v>
      </c>
      <c r="C386" s="4">
        <v>67</v>
      </c>
      <c r="D386" s="4">
        <v>59</v>
      </c>
    </row>
    <row r="387" spans="1:4" x14ac:dyDescent="0.3">
      <c r="A387" s="11" t="s">
        <v>956</v>
      </c>
      <c r="B387" t="s">
        <v>426</v>
      </c>
      <c r="C387" s="4">
        <v>90</v>
      </c>
      <c r="D387" s="4">
        <v>79</v>
      </c>
    </row>
    <row r="388" spans="1:4" x14ac:dyDescent="0.3">
      <c r="A388" s="11" t="s">
        <v>957</v>
      </c>
      <c r="B388" t="s">
        <v>427</v>
      </c>
      <c r="C388" s="4">
        <v>66</v>
      </c>
      <c r="D388" s="4">
        <v>58</v>
      </c>
    </row>
    <row r="389" spans="1:4" x14ac:dyDescent="0.3">
      <c r="A389" s="11" t="s">
        <v>958</v>
      </c>
      <c r="B389" t="s">
        <v>428</v>
      </c>
      <c r="C389" s="4">
        <v>98</v>
      </c>
      <c r="D389" s="4">
        <v>86.5</v>
      </c>
    </row>
    <row r="390" spans="1:4" x14ac:dyDescent="0.3">
      <c r="A390" s="11" t="s">
        <v>959</v>
      </c>
      <c r="B390" t="s">
        <v>429</v>
      </c>
      <c r="C390" s="4">
        <v>55</v>
      </c>
      <c r="D390" s="4">
        <v>48.5</v>
      </c>
    </row>
    <row r="391" spans="1:4" x14ac:dyDescent="0.3">
      <c r="A391" s="11" t="s">
        <v>960</v>
      </c>
      <c r="B391" t="s">
        <v>430</v>
      </c>
      <c r="C391" s="4">
        <v>20</v>
      </c>
      <c r="D391" s="4">
        <v>17.5</v>
      </c>
    </row>
    <row r="392" spans="1:4" x14ac:dyDescent="0.3">
      <c r="A392" s="11" t="s">
        <v>961</v>
      </c>
      <c r="B392" t="s">
        <v>431</v>
      </c>
      <c r="C392" s="4">
        <v>120</v>
      </c>
      <c r="D392" s="4">
        <v>106</v>
      </c>
    </row>
    <row r="393" spans="1:4" x14ac:dyDescent="0.3">
      <c r="A393" s="11" t="s">
        <v>962</v>
      </c>
      <c r="B393" t="s">
        <v>432</v>
      </c>
      <c r="C393" s="4">
        <v>98</v>
      </c>
      <c r="D393" s="4">
        <v>86.5</v>
      </c>
    </row>
    <row r="394" spans="1:4" x14ac:dyDescent="0.3">
      <c r="A394" s="11" t="s">
        <v>963</v>
      </c>
      <c r="B394" t="s">
        <v>433</v>
      </c>
      <c r="C394" s="4">
        <v>7</v>
      </c>
      <c r="D394" s="4">
        <v>6</v>
      </c>
    </row>
    <row r="395" spans="1:4" x14ac:dyDescent="0.3">
      <c r="A395" s="11" t="s">
        <v>964</v>
      </c>
      <c r="B395" t="s">
        <v>434</v>
      </c>
      <c r="C395" s="4">
        <v>15</v>
      </c>
      <c r="D395" s="4">
        <v>13</v>
      </c>
    </row>
    <row r="396" spans="1:4" x14ac:dyDescent="0.3">
      <c r="A396" s="11" t="s">
        <v>965</v>
      </c>
      <c r="B396" t="s">
        <v>435</v>
      </c>
      <c r="C396" s="4">
        <v>17</v>
      </c>
      <c r="D396" s="4">
        <v>15</v>
      </c>
    </row>
    <row r="397" spans="1:4" x14ac:dyDescent="0.3">
      <c r="A397" s="11" t="s">
        <v>966</v>
      </c>
      <c r="B397" t="s">
        <v>436</v>
      </c>
      <c r="C397" s="4">
        <v>3</v>
      </c>
      <c r="D397" s="4">
        <v>2.5</v>
      </c>
    </row>
    <row r="398" spans="1:4" x14ac:dyDescent="0.3">
      <c r="A398" s="11" t="s">
        <v>967</v>
      </c>
      <c r="B398" t="s">
        <v>437</v>
      </c>
      <c r="C398" s="4">
        <v>4</v>
      </c>
      <c r="D398" s="4">
        <v>3</v>
      </c>
    </row>
    <row r="399" spans="1:4" x14ac:dyDescent="0.3">
      <c r="A399" s="11" t="s">
        <v>968</v>
      </c>
      <c r="B399" t="s">
        <v>438</v>
      </c>
      <c r="C399" s="4">
        <v>11</v>
      </c>
      <c r="D399" s="4">
        <v>9.5</v>
      </c>
    </row>
    <row r="400" spans="1:4" x14ac:dyDescent="0.3">
      <c r="A400" s="11" t="s">
        <v>969</v>
      </c>
      <c r="B400" t="s">
        <v>439</v>
      </c>
      <c r="C400" s="4">
        <v>3</v>
      </c>
      <c r="D400" s="4">
        <v>2.5</v>
      </c>
    </row>
    <row r="401" spans="1:4" x14ac:dyDescent="0.3">
      <c r="A401" s="11" t="s">
        <v>970</v>
      </c>
      <c r="B401" t="s">
        <v>440</v>
      </c>
      <c r="C401" s="4">
        <v>7</v>
      </c>
      <c r="D401" s="4">
        <v>6</v>
      </c>
    </row>
    <row r="402" spans="1:4" x14ac:dyDescent="0.3">
      <c r="A402" s="11" t="s">
        <v>971</v>
      </c>
      <c r="B402" t="s">
        <v>441</v>
      </c>
      <c r="C402" s="4">
        <v>17</v>
      </c>
      <c r="D402" s="4">
        <v>15</v>
      </c>
    </row>
    <row r="403" spans="1:4" x14ac:dyDescent="0.3">
      <c r="A403" s="12">
        <v>652</v>
      </c>
      <c r="B403" t="s">
        <v>442</v>
      </c>
      <c r="C403" s="4">
        <v>92</v>
      </c>
      <c r="D403" s="4">
        <v>81</v>
      </c>
    </row>
    <row r="404" spans="1:4" x14ac:dyDescent="0.3">
      <c r="A404" s="12">
        <v>3143</v>
      </c>
      <c r="B404" t="s">
        <v>443</v>
      </c>
      <c r="C404" s="4">
        <v>92</v>
      </c>
      <c r="D404" s="4">
        <v>81</v>
      </c>
    </row>
    <row r="405" spans="1:4" x14ac:dyDescent="0.3">
      <c r="A405" s="11" t="s">
        <v>972</v>
      </c>
      <c r="B405" t="s">
        <v>444</v>
      </c>
      <c r="C405" s="4">
        <v>19</v>
      </c>
      <c r="D405" s="4">
        <v>16.5</v>
      </c>
    </row>
    <row r="406" spans="1:4" x14ac:dyDescent="0.3">
      <c r="A406" s="12">
        <v>1088</v>
      </c>
      <c r="B406" t="s">
        <v>445</v>
      </c>
      <c r="C406" s="4">
        <v>17</v>
      </c>
      <c r="D406" s="4">
        <v>15</v>
      </c>
    </row>
    <row r="407" spans="1:4" x14ac:dyDescent="0.3">
      <c r="A407" s="11" t="s">
        <v>973</v>
      </c>
      <c r="B407" t="s">
        <v>446</v>
      </c>
      <c r="C407" s="4">
        <v>84</v>
      </c>
      <c r="D407" s="4">
        <v>74</v>
      </c>
    </row>
    <row r="408" spans="1:4" x14ac:dyDescent="0.3">
      <c r="A408" s="11" t="s">
        <v>974</v>
      </c>
      <c r="B408" t="s">
        <v>447</v>
      </c>
      <c r="C408" s="4">
        <v>77</v>
      </c>
      <c r="D408" s="4">
        <v>68</v>
      </c>
    </row>
    <row r="409" spans="1:4" x14ac:dyDescent="0.3">
      <c r="A409" s="11" t="s">
        <v>975</v>
      </c>
      <c r="B409" t="s">
        <v>448</v>
      </c>
      <c r="C409" s="4">
        <v>98</v>
      </c>
      <c r="D409" s="4">
        <v>86.5</v>
      </c>
    </row>
    <row r="410" spans="1:4" x14ac:dyDescent="0.3">
      <c r="A410" s="11" t="s">
        <v>976</v>
      </c>
      <c r="B410" t="s">
        <v>449</v>
      </c>
      <c r="C410" s="4">
        <v>124</v>
      </c>
      <c r="D410" s="4">
        <v>109.5</v>
      </c>
    </row>
    <row r="411" spans="1:4" x14ac:dyDescent="0.3">
      <c r="A411" s="11" t="s">
        <v>977</v>
      </c>
      <c r="B411" t="s">
        <v>450</v>
      </c>
      <c r="C411" s="4">
        <v>137</v>
      </c>
      <c r="D411" s="4">
        <v>121</v>
      </c>
    </row>
    <row r="412" spans="1:4" x14ac:dyDescent="0.3">
      <c r="A412" s="11" t="s">
        <v>978</v>
      </c>
      <c r="B412" t="s">
        <v>451</v>
      </c>
      <c r="C412" s="4">
        <v>92</v>
      </c>
      <c r="D412" s="4">
        <v>81</v>
      </c>
    </row>
    <row r="413" spans="1:4" x14ac:dyDescent="0.3">
      <c r="A413" s="11" t="s">
        <v>979</v>
      </c>
      <c r="B413" t="s">
        <v>452</v>
      </c>
      <c r="C413" s="4">
        <v>42</v>
      </c>
      <c r="D413" s="4">
        <v>36.5</v>
      </c>
    </row>
    <row r="414" spans="1:4" x14ac:dyDescent="0.3">
      <c r="A414" s="11" t="s">
        <v>980</v>
      </c>
      <c r="B414" t="s">
        <v>453</v>
      </c>
      <c r="C414" s="4">
        <v>368</v>
      </c>
      <c r="D414" s="4">
        <v>368</v>
      </c>
    </row>
    <row r="415" spans="1:4" x14ac:dyDescent="0.3">
      <c r="A415" s="11" t="s">
        <v>981</v>
      </c>
      <c r="B415" t="s">
        <v>454</v>
      </c>
      <c r="C415" s="4">
        <v>222</v>
      </c>
      <c r="D415" s="4">
        <v>196</v>
      </c>
    </row>
    <row r="416" spans="1:4" x14ac:dyDescent="0.3">
      <c r="A416" s="11" t="s">
        <v>982</v>
      </c>
      <c r="B416" t="s">
        <v>455</v>
      </c>
      <c r="C416" s="4">
        <v>55</v>
      </c>
      <c r="D416" s="4">
        <v>48.5</v>
      </c>
    </row>
    <row r="417" spans="1:4" x14ac:dyDescent="0.3">
      <c r="A417" s="11" t="s">
        <v>983</v>
      </c>
      <c r="B417" t="s">
        <v>456</v>
      </c>
      <c r="C417" s="4">
        <v>55</v>
      </c>
      <c r="D417" s="4">
        <v>48.5</v>
      </c>
    </row>
    <row r="418" spans="1:4" x14ac:dyDescent="0.3">
      <c r="A418" s="12">
        <v>269</v>
      </c>
      <c r="B418" t="s">
        <v>457</v>
      </c>
      <c r="C418" s="4">
        <v>713</v>
      </c>
      <c r="D418" s="4">
        <v>713</v>
      </c>
    </row>
    <row r="419" spans="1:4" x14ac:dyDescent="0.3">
      <c r="A419" s="12">
        <v>387</v>
      </c>
      <c r="B419" t="s">
        <v>458</v>
      </c>
      <c r="C419" s="4">
        <v>12</v>
      </c>
      <c r="D419" s="4">
        <v>12</v>
      </c>
    </row>
    <row r="420" spans="1:4" x14ac:dyDescent="0.3">
      <c r="A420" s="11" t="s">
        <v>984</v>
      </c>
      <c r="B420" t="s">
        <v>459</v>
      </c>
      <c r="C420" s="4">
        <v>82</v>
      </c>
      <c r="D420" s="4">
        <v>71.5</v>
      </c>
    </row>
    <row r="421" spans="1:4" x14ac:dyDescent="0.3">
      <c r="A421" s="11" t="s">
        <v>985</v>
      </c>
      <c r="B421" t="s">
        <v>460</v>
      </c>
      <c r="C421" s="4">
        <v>101</v>
      </c>
      <c r="D421" s="4">
        <v>89</v>
      </c>
    </row>
    <row r="422" spans="1:4" x14ac:dyDescent="0.3">
      <c r="A422" s="11" t="s">
        <v>986</v>
      </c>
      <c r="B422" t="s">
        <v>461</v>
      </c>
      <c r="C422" s="4">
        <v>186</v>
      </c>
      <c r="D422" s="4">
        <v>164.5</v>
      </c>
    </row>
    <row r="423" spans="1:4" x14ac:dyDescent="0.3">
      <c r="A423" s="12">
        <v>723</v>
      </c>
      <c r="B423" t="s">
        <v>462</v>
      </c>
      <c r="C423" s="4">
        <v>4</v>
      </c>
      <c r="D423" s="4">
        <v>4</v>
      </c>
    </row>
    <row r="424" spans="1:4" x14ac:dyDescent="0.3">
      <c r="A424" s="12">
        <v>432</v>
      </c>
      <c r="B424" t="s">
        <v>463</v>
      </c>
      <c r="C424" s="4">
        <v>3.5</v>
      </c>
      <c r="D424" s="4">
        <v>3.5</v>
      </c>
    </row>
    <row r="425" spans="1:4" x14ac:dyDescent="0.3">
      <c r="A425" s="12">
        <v>386</v>
      </c>
      <c r="B425" t="s">
        <v>464</v>
      </c>
      <c r="C425" s="4">
        <v>14</v>
      </c>
      <c r="D425" s="4">
        <v>12</v>
      </c>
    </row>
    <row r="426" spans="1:4" x14ac:dyDescent="0.3">
      <c r="A426" s="12">
        <v>548</v>
      </c>
      <c r="B426" t="s">
        <v>465</v>
      </c>
      <c r="C426" s="4">
        <v>4</v>
      </c>
      <c r="D426" s="4">
        <v>4</v>
      </c>
    </row>
    <row r="427" spans="1:4" x14ac:dyDescent="0.3">
      <c r="A427" s="12">
        <v>846</v>
      </c>
      <c r="B427" t="s">
        <v>466</v>
      </c>
      <c r="C427" s="4">
        <v>61</v>
      </c>
      <c r="D427" s="4">
        <v>54</v>
      </c>
    </row>
    <row r="428" spans="1:4" x14ac:dyDescent="0.3">
      <c r="A428" s="12">
        <v>2045</v>
      </c>
      <c r="B428" t="s">
        <v>467</v>
      </c>
      <c r="C428" s="4">
        <v>62</v>
      </c>
      <c r="D428" s="4">
        <v>54.5</v>
      </c>
    </row>
    <row r="429" spans="1:4" x14ac:dyDescent="0.3">
      <c r="A429" s="11" t="s">
        <v>987</v>
      </c>
      <c r="B429" t="s">
        <v>468</v>
      </c>
      <c r="C429" s="4">
        <v>64</v>
      </c>
      <c r="D429" s="4">
        <v>56.5</v>
      </c>
    </row>
    <row r="430" spans="1:4" x14ac:dyDescent="0.3">
      <c r="A430" s="11" t="s">
        <v>988</v>
      </c>
      <c r="B430" t="s">
        <v>469</v>
      </c>
      <c r="C430" s="4">
        <v>64</v>
      </c>
      <c r="D430" s="4">
        <v>56.5</v>
      </c>
    </row>
    <row r="431" spans="1:4" x14ac:dyDescent="0.3">
      <c r="A431" s="12">
        <v>73</v>
      </c>
      <c r="B431" t="s">
        <v>470</v>
      </c>
      <c r="C431" s="4">
        <v>163</v>
      </c>
      <c r="D431" s="4">
        <v>144</v>
      </c>
    </row>
    <row r="432" spans="1:4" x14ac:dyDescent="0.3">
      <c r="A432" s="11" t="s">
        <v>989</v>
      </c>
      <c r="B432" t="s">
        <v>471</v>
      </c>
      <c r="C432" s="4">
        <v>210</v>
      </c>
      <c r="D432" s="4">
        <v>201.5</v>
      </c>
    </row>
    <row r="433" spans="1:4" x14ac:dyDescent="0.3">
      <c r="A433" s="11" t="s">
        <v>990</v>
      </c>
      <c r="B433" t="s">
        <v>472</v>
      </c>
      <c r="C433" s="4">
        <v>210</v>
      </c>
      <c r="D433" s="4">
        <v>201.5</v>
      </c>
    </row>
    <row r="434" spans="1:4" x14ac:dyDescent="0.3">
      <c r="A434" s="11" t="s">
        <v>991</v>
      </c>
      <c r="B434" t="s">
        <v>473</v>
      </c>
      <c r="C434" s="4">
        <v>230</v>
      </c>
      <c r="D434" s="4">
        <v>230</v>
      </c>
    </row>
    <row r="435" spans="1:4" x14ac:dyDescent="0.3">
      <c r="A435" s="11" t="s">
        <v>992</v>
      </c>
      <c r="B435" t="s">
        <v>474</v>
      </c>
      <c r="C435" s="4">
        <v>401</v>
      </c>
      <c r="D435" s="4">
        <v>391</v>
      </c>
    </row>
    <row r="436" spans="1:4" x14ac:dyDescent="0.3">
      <c r="A436" s="11" t="s">
        <v>993</v>
      </c>
      <c r="B436" t="s">
        <v>475</v>
      </c>
      <c r="C436" s="4">
        <v>370</v>
      </c>
      <c r="D436" s="4">
        <v>362.5</v>
      </c>
    </row>
    <row r="437" spans="1:4" x14ac:dyDescent="0.3">
      <c r="A437" s="11" t="s">
        <v>994</v>
      </c>
      <c r="B437" t="s">
        <v>476</v>
      </c>
      <c r="C437" s="4">
        <v>37</v>
      </c>
      <c r="D437" s="4">
        <v>32.5</v>
      </c>
    </row>
    <row r="438" spans="1:4" x14ac:dyDescent="0.3">
      <c r="A438" s="11" t="s">
        <v>995</v>
      </c>
      <c r="B438" t="s">
        <v>477</v>
      </c>
      <c r="C438" s="4">
        <v>23</v>
      </c>
      <c r="D438" s="4">
        <v>20.5</v>
      </c>
    </row>
    <row r="439" spans="1:4" x14ac:dyDescent="0.3">
      <c r="A439" s="12">
        <v>1562</v>
      </c>
      <c r="B439" t="s">
        <v>478</v>
      </c>
      <c r="C439" s="4">
        <v>25</v>
      </c>
      <c r="D439" s="4">
        <v>22</v>
      </c>
    </row>
    <row r="440" spans="1:4" x14ac:dyDescent="0.3">
      <c r="A440" s="11" t="s">
        <v>996</v>
      </c>
      <c r="B440" t="s">
        <v>479</v>
      </c>
      <c r="C440" s="4">
        <v>26</v>
      </c>
      <c r="D440" s="4">
        <v>23</v>
      </c>
    </row>
    <row r="441" spans="1:4" x14ac:dyDescent="0.3">
      <c r="A441" s="11" t="s">
        <v>997</v>
      </c>
      <c r="B441" t="s">
        <v>480</v>
      </c>
      <c r="C441" s="4">
        <v>45</v>
      </c>
      <c r="D441" s="4">
        <v>39</v>
      </c>
    </row>
    <row r="442" spans="1:4" x14ac:dyDescent="0.3">
      <c r="A442" s="11" t="s">
        <v>998</v>
      </c>
      <c r="B442" t="s">
        <v>481</v>
      </c>
      <c r="C442" s="4">
        <v>150</v>
      </c>
      <c r="D442" s="4">
        <v>132.5</v>
      </c>
    </row>
    <row r="443" spans="1:4" x14ac:dyDescent="0.3">
      <c r="A443" s="11" t="s">
        <v>999</v>
      </c>
      <c r="B443" t="s">
        <v>482</v>
      </c>
      <c r="C443" s="4">
        <v>151</v>
      </c>
      <c r="D443" s="4">
        <v>140.5</v>
      </c>
    </row>
    <row r="444" spans="1:4" x14ac:dyDescent="0.3">
      <c r="A444" s="11" t="s">
        <v>1000</v>
      </c>
      <c r="B444" t="s">
        <v>483</v>
      </c>
      <c r="C444" s="4">
        <v>173</v>
      </c>
      <c r="D444" s="4">
        <v>153</v>
      </c>
    </row>
    <row r="445" spans="1:4" x14ac:dyDescent="0.3">
      <c r="A445" s="11" t="s">
        <v>1001</v>
      </c>
      <c r="B445" t="s">
        <v>484</v>
      </c>
      <c r="C445" s="4">
        <v>60</v>
      </c>
      <c r="D445" s="4">
        <v>53</v>
      </c>
    </row>
    <row r="446" spans="1:4" x14ac:dyDescent="0.3">
      <c r="A446" s="12">
        <v>1149</v>
      </c>
      <c r="B446" t="s">
        <v>485</v>
      </c>
      <c r="C446" s="4">
        <v>52</v>
      </c>
      <c r="D446" s="4">
        <v>46</v>
      </c>
    </row>
    <row r="447" spans="1:4" x14ac:dyDescent="0.3">
      <c r="A447" s="11" t="s">
        <v>1002</v>
      </c>
      <c r="B447" t="s">
        <v>486</v>
      </c>
      <c r="C447" s="4">
        <v>358</v>
      </c>
      <c r="D447" s="4">
        <v>316.5</v>
      </c>
    </row>
    <row r="448" spans="1:4" x14ac:dyDescent="0.3">
      <c r="A448" s="11" t="s">
        <v>1003</v>
      </c>
      <c r="B448" t="s">
        <v>487</v>
      </c>
      <c r="C448" s="4">
        <v>67</v>
      </c>
      <c r="D448" s="4">
        <v>59</v>
      </c>
    </row>
    <row r="449" spans="1:4" x14ac:dyDescent="0.3">
      <c r="A449" s="11" t="s">
        <v>1004</v>
      </c>
      <c r="B449" t="s">
        <v>488</v>
      </c>
      <c r="C449" s="4">
        <v>182</v>
      </c>
      <c r="D449" s="4">
        <v>161</v>
      </c>
    </row>
    <row r="450" spans="1:4" x14ac:dyDescent="0.3">
      <c r="A450" s="11" t="s">
        <v>1005</v>
      </c>
      <c r="B450" t="s">
        <v>489</v>
      </c>
      <c r="C450" s="4">
        <v>258</v>
      </c>
      <c r="D450" s="4">
        <v>247.5</v>
      </c>
    </row>
    <row r="451" spans="1:4" x14ac:dyDescent="0.3">
      <c r="A451" s="12">
        <v>3571</v>
      </c>
      <c r="B451" t="s">
        <v>490</v>
      </c>
      <c r="C451" s="4">
        <v>29</v>
      </c>
      <c r="D451" s="4">
        <v>25.5</v>
      </c>
    </row>
    <row r="452" spans="1:4" x14ac:dyDescent="0.3">
      <c r="A452" s="11" t="s">
        <v>1006</v>
      </c>
      <c r="B452" t="s">
        <v>491</v>
      </c>
      <c r="C452" s="4">
        <v>60</v>
      </c>
      <c r="D452" s="4">
        <v>53</v>
      </c>
    </row>
    <row r="453" spans="1:4" x14ac:dyDescent="0.3">
      <c r="A453" s="11" t="s">
        <v>1007</v>
      </c>
      <c r="B453" t="s">
        <v>492</v>
      </c>
      <c r="C453" s="4">
        <v>60</v>
      </c>
      <c r="D453" s="4">
        <v>53</v>
      </c>
    </row>
    <row r="454" spans="1:4" x14ac:dyDescent="0.3">
      <c r="A454" s="11" t="s">
        <v>1008</v>
      </c>
      <c r="B454" t="s">
        <v>493</v>
      </c>
      <c r="C454" s="4">
        <v>98</v>
      </c>
      <c r="D454" s="4">
        <v>98</v>
      </c>
    </row>
    <row r="455" spans="1:4" x14ac:dyDescent="0.3">
      <c r="A455" s="11" t="s">
        <v>1009</v>
      </c>
      <c r="B455" t="s">
        <v>494</v>
      </c>
      <c r="C455" s="4">
        <v>104</v>
      </c>
      <c r="D455" s="4">
        <v>92</v>
      </c>
    </row>
    <row r="456" spans="1:4" x14ac:dyDescent="0.3">
      <c r="A456" s="11" t="s">
        <v>1010</v>
      </c>
      <c r="B456" t="s">
        <v>495</v>
      </c>
      <c r="C456" s="4">
        <v>63.5</v>
      </c>
      <c r="D456" s="4">
        <v>63.5</v>
      </c>
    </row>
    <row r="457" spans="1:4" x14ac:dyDescent="0.3">
      <c r="A457" s="11" t="s">
        <v>1011</v>
      </c>
      <c r="B457" t="s">
        <v>496</v>
      </c>
      <c r="C457" s="4">
        <v>52</v>
      </c>
      <c r="D457" s="4">
        <v>52</v>
      </c>
    </row>
    <row r="458" spans="1:4" x14ac:dyDescent="0.3">
      <c r="A458" s="11" t="s">
        <v>1012</v>
      </c>
      <c r="B458" t="s">
        <v>497</v>
      </c>
      <c r="C458" s="4">
        <v>180</v>
      </c>
      <c r="D458" s="4">
        <v>178.5</v>
      </c>
    </row>
    <row r="459" spans="1:4" x14ac:dyDescent="0.3">
      <c r="A459" s="11" t="s">
        <v>1013</v>
      </c>
      <c r="B459" t="s">
        <v>498</v>
      </c>
      <c r="C459" s="4">
        <v>182</v>
      </c>
      <c r="D459" s="4">
        <v>161</v>
      </c>
    </row>
    <row r="460" spans="1:4" x14ac:dyDescent="0.3">
      <c r="A460" s="11" t="s">
        <v>1014</v>
      </c>
      <c r="B460" t="s">
        <v>499</v>
      </c>
      <c r="C460" s="4">
        <v>133</v>
      </c>
      <c r="D460" s="4">
        <v>132.5</v>
      </c>
    </row>
    <row r="461" spans="1:4" x14ac:dyDescent="0.3">
      <c r="A461" s="11" t="s">
        <v>1015</v>
      </c>
      <c r="B461" t="s">
        <v>500</v>
      </c>
      <c r="C461" s="4">
        <v>118</v>
      </c>
      <c r="D461" s="4">
        <v>105</v>
      </c>
    </row>
    <row r="462" spans="1:4" x14ac:dyDescent="0.3">
      <c r="A462" s="11" t="s">
        <v>1016</v>
      </c>
      <c r="B462" t="s">
        <v>501</v>
      </c>
      <c r="C462" s="4">
        <v>155</v>
      </c>
      <c r="D462" s="4">
        <v>152</v>
      </c>
    </row>
    <row r="463" spans="1:4" x14ac:dyDescent="0.3">
      <c r="A463" s="11" t="s">
        <v>1017</v>
      </c>
      <c r="B463" t="s">
        <v>502</v>
      </c>
      <c r="C463" s="4">
        <v>144</v>
      </c>
      <c r="D463" s="4">
        <v>127</v>
      </c>
    </row>
    <row r="464" spans="1:4" x14ac:dyDescent="0.3">
      <c r="A464" s="11" t="s">
        <v>1018</v>
      </c>
      <c r="B464" t="s">
        <v>503</v>
      </c>
      <c r="C464" s="4">
        <v>125</v>
      </c>
      <c r="D464" s="4">
        <v>124.5</v>
      </c>
    </row>
    <row r="465" spans="1:4" x14ac:dyDescent="0.3">
      <c r="A465" s="11" t="s">
        <v>1019</v>
      </c>
      <c r="B465" t="s">
        <v>504</v>
      </c>
      <c r="C465" s="4">
        <v>155</v>
      </c>
      <c r="D465" s="4">
        <v>153</v>
      </c>
    </row>
    <row r="466" spans="1:4" x14ac:dyDescent="0.3">
      <c r="A466" s="11" t="s">
        <v>1020</v>
      </c>
      <c r="B466" t="s">
        <v>505</v>
      </c>
      <c r="C466" s="4">
        <v>88</v>
      </c>
      <c r="D466" s="4">
        <v>88</v>
      </c>
    </row>
    <row r="467" spans="1:4" x14ac:dyDescent="0.3">
      <c r="A467" s="11" t="s">
        <v>1021</v>
      </c>
      <c r="B467" t="s">
        <v>506</v>
      </c>
      <c r="C467" s="4">
        <v>95</v>
      </c>
      <c r="D467" s="4">
        <v>95</v>
      </c>
    </row>
    <row r="468" spans="1:4" x14ac:dyDescent="0.3">
      <c r="A468" s="11" t="s">
        <v>1022</v>
      </c>
      <c r="B468" t="s">
        <v>507</v>
      </c>
      <c r="C468" s="4">
        <v>45</v>
      </c>
      <c r="D468" s="4">
        <v>39</v>
      </c>
    </row>
    <row r="469" spans="1:4" x14ac:dyDescent="0.3">
      <c r="A469" s="11" t="s">
        <v>1023</v>
      </c>
      <c r="B469" t="s">
        <v>508</v>
      </c>
      <c r="C469" s="4">
        <v>52</v>
      </c>
      <c r="D469" s="4">
        <v>45.5</v>
      </c>
    </row>
    <row r="470" spans="1:4" x14ac:dyDescent="0.3">
      <c r="A470" s="11" t="s">
        <v>1024</v>
      </c>
      <c r="B470" t="s">
        <v>509</v>
      </c>
      <c r="C470" s="4">
        <v>99</v>
      </c>
      <c r="D470" s="4">
        <v>87.5</v>
      </c>
    </row>
    <row r="471" spans="1:4" x14ac:dyDescent="0.3">
      <c r="A471" s="11" t="s">
        <v>1025</v>
      </c>
      <c r="B471" t="s">
        <v>510</v>
      </c>
      <c r="C471" s="4">
        <v>39</v>
      </c>
      <c r="D471" s="4">
        <v>34</v>
      </c>
    </row>
    <row r="472" spans="1:4" x14ac:dyDescent="0.3">
      <c r="A472" s="11" t="s">
        <v>1026</v>
      </c>
      <c r="B472" t="s">
        <v>511</v>
      </c>
      <c r="C472" s="4">
        <v>33</v>
      </c>
      <c r="D472" s="4">
        <v>29</v>
      </c>
    </row>
    <row r="473" spans="1:4" x14ac:dyDescent="0.3">
      <c r="A473" s="11" t="s">
        <v>1027</v>
      </c>
      <c r="B473" t="s">
        <v>512</v>
      </c>
      <c r="C473" s="4">
        <v>82</v>
      </c>
      <c r="D473" s="4">
        <v>71.5</v>
      </c>
    </row>
    <row r="474" spans="1:4" x14ac:dyDescent="0.3">
      <c r="A474" s="11" t="s">
        <v>1028</v>
      </c>
      <c r="B474" t="s">
        <v>513</v>
      </c>
      <c r="C474" s="4">
        <v>251</v>
      </c>
      <c r="D474" s="4">
        <v>236</v>
      </c>
    </row>
    <row r="475" spans="1:4" x14ac:dyDescent="0.3">
      <c r="A475" s="12">
        <v>28</v>
      </c>
      <c r="B475" t="s">
        <v>514</v>
      </c>
      <c r="C475" s="4">
        <v>85</v>
      </c>
      <c r="D475" s="4">
        <v>80</v>
      </c>
    </row>
    <row r="476" spans="1:4" x14ac:dyDescent="0.3">
      <c r="A476" s="12">
        <v>29</v>
      </c>
      <c r="B476" t="s">
        <v>515</v>
      </c>
      <c r="C476" s="4">
        <v>85</v>
      </c>
      <c r="D476" s="4">
        <v>80</v>
      </c>
    </row>
    <row r="477" spans="1:4" x14ac:dyDescent="0.3">
      <c r="A477" s="11" t="s">
        <v>1029</v>
      </c>
      <c r="B477" t="s">
        <v>516</v>
      </c>
      <c r="C477" s="4">
        <v>173</v>
      </c>
      <c r="D477" s="4">
        <v>173</v>
      </c>
    </row>
    <row r="478" spans="1:4" x14ac:dyDescent="0.3">
      <c r="A478" s="11" t="s">
        <v>1030</v>
      </c>
      <c r="B478" t="s">
        <v>517</v>
      </c>
      <c r="C478" s="4">
        <v>293.5</v>
      </c>
      <c r="D478" s="4">
        <v>293.5</v>
      </c>
    </row>
    <row r="479" spans="1:4" x14ac:dyDescent="0.3">
      <c r="A479" s="12">
        <v>3748</v>
      </c>
      <c r="B479" t="s">
        <v>518</v>
      </c>
      <c r="C479" s="4">
        <v>32</v>
      </c>
      <c r="D479" s="4">
        <v>27.5</v>
      </c>
    </row>
    <row r="480" spans="1:4" x14ac:dyDescent="0.3">
      <c r="A480" s="12">
        <v>1182</v>
      </c>
      <c r="B480" t="s">
        <v>519</v>
      </c>
      <c r="C480" s="4">
        <v>58</v>
      </c>
      <c r="D480" s="4">
        <v>50.5</v>
      </c>
    </row>
    <row r="481" spans="1:4" x14ac:dyDescent="0.3">
      <c r="A481" s="11" t="s">
        <v>1031</v>
      </c>
      <c r="B481" t="s">
        <v>520</v>
      </c>
      <c r="C481" s="4">
        <v>68</v>
      </c>
      <c r="D481" s="4">
        <v>59.5</v>
      </c>
    </row>
    <row r="482" spans="1:4" x14ac:dyDescent="0.3">
      <c r="A482" s="11" t="s">
        <v>1032</v>
      </c>
      <c r="B482" t="s">
        <v>521</v>
      </c>
      <c r="C482" s="4">
        <v>120</v>
      </c>
      <c r="D482" s="4">
        <v>106</v>
      </c>
    </row>
    <row r="483" spans="1:4" x14ac:dyDescent="0.3">
      <c r="A483" s="11" t="s">
        <v>1033</v>
      </c>
      <c r="B483" t="s">
        <v>522</v>
      </c>
      <c r="C483" s="4">
        <v>183</v>
      </c>
      <c r="D483" s="4">
        <v>173</v>
      </c>
    </row>
    <row r="484" spans="1:4" x14ac:dyDescent="0.3">
      <c r="A484" s="11" t="s">
        <v>1034</v>
      </c>
      <c r="B484" t="s">
        <v>523</v>
      </c>
      <c r="C484" s="4">
        <v>447</v>
      </c>
      <c r="D484" s="4">
        <v>431.5</v>
      </c>
    </row>
    <row r="485" spans="1:4" x14ac:dyDescent="0.3">
      <c r="A485" s="11" t="s">
        <v>1035</v>
      </c>
      <c r="B485" t="s">
        <v>524</v>
      </c>
      <c r="C485" s="4">
        <v>9</v>
      </c>
      <c r="D485" s="4">
        <v>7.5</v>
      </c>
    </row>
    <row r="486" spans="1:4" x14ac:dyDescent="0.3">
      <c r="A486" s="12">
        <v>1189</v>
      </c>
      <c r="B486" t="s">
        <v>525</v>
      </c>
      <c r="C486" s="4">
        <v>14</v>
      </c>
      <c r="D486" s="4">
        <v>12</v>
      </c>
    </row>
    <row r="487" spans="1:4" x14ac:dyDescent="0.3">
      <c r="A487" s="11" t="s">
        <v>1036</v>
      </c>
      <c r="B487" t="s">
        <v>526</v>
      </c>
      <c r="C487" s="4">
        <v>148</v>
      </c>
      <c r="D487" s="4">
        <v>138</v>
      </c>
    </row>
    <row r="488" spans="1:4" x14ac:dyDescent="0.3">
      <c r="A488" s="11" t="s">
        <v>1037</v>
      </c>
      <c r="B488" t="s">
        <v>527</v>
      </c>
      <c r="C488" s="4">
        <v>169.5</v>
      </c>
      <c r="D488" s="4">
        <v>169.5</v>
      </c>
    </row>
    <row r="489" spans="1:4" x14ac:dyDescent="0.3">
      <c r="A489" s="11" t="s">
        <v>1038</v>
      </c>
      <c r="B489" t="s">
        <v>528</v>
      </c>
      <c r="C489" s="4">
        <v>219</v>
      </c>
      <c r="D489" s="4">
        <v>219</v>
      </c>
    </row>
    <row r="490" spans="1:4" x14ac:dyDescent="0.3">
      <c r="A490" s="11" t="s">
        <v>1039</v>
      </c>
      <c r="B490" t="s">
        <v>529</v>
      </c>
      <c r="C490" s="4">
        <v>247.5</v>
      </c>
      <c r="D490" s="4">
        <v>247.5</v>
      </c>
    </row>
    <row r="491" spans="1:4" x14ac:dyDescent="0.3">
      <c r="A491" s="11" t="s">
        <v>1040</v>
      </c>
      <c r="B491" t="s">
        <v>530</v>
      </c>
      <c r="C491" s="4">
        <v>144</v>
      </c>
      <c r="D491" s="4">
        <v>133.5</v>
      </c>
    </row>
    <row r="492" spans="1:4" x14ac:dyDescent="0.3">
      <c r="A492" s="11" t="s">
        <v>1041</v>
      </c>
      <c r="B492" t="s">
        <v>531</v>
      </c>
      <c r="C492" s="4">
        <v>49</v>
      </c>
      <c r="D492" s="4">
        <v>43</v>
      </c>
    </row>
    <row r="493" spans="1:4" x14ac:dyDescent="0.3">
      <c r="A493" s="11" t="s">
        <v>1042</v>
      </c>
      <c r="B493" t="s">
        <v>532</v>
      </c>
      <c r="C493" s="4">
        <v>62</v>
      </c>
      <c r="D493" s="4">
        <v>54.5</v>
      </c>
    </row>
    <row r="494" spans="1:4" x14ac:dyDescent="0.3">
      <c r="A494" s="11" t="s">
        <v>1043</v>
      </c>
      <c r="B494" t="s">
        <v>533</v>
      </c>
      <c r="C494" s="4">
        <v>64</v>
      </c>
      <c r="D494" s="4">
        <v>56</v>
      </c>
    </row>
    <row r="495" spans="1:4" x14ac:dyDescent="0.3">
      <c r="A495" s="11" t="s">
        <v>1044</v>
      </c>
      <c r="B495" t="s">
        <v>534</v>
      </c>
      <c r="C495" s="4">
        <v>51</v>
      </c>
      <c r="D495" s="4">
        <v>45</v>
      </c>
    </row>
    <row r="496" spans="1:4" x14ac:dyDescent="0.3">
      <c r="A496" s="11" t="s">
        <v>1045</v>
      </c>
      <c r="B496" t="s">
        <v>535</v>
      </c>
      <c r="C496" s="4">
        <v>49</v>
      </c>
      <c r="D496" s="4">
        <v>43</v>
      </c>
    </row>
    <row r="497" spans="1:4" x14ac:dyDescent="0.3">
      <c r="A497" s="11" t="s">
        <v>1046</v>
      </c>
      <c r="B497" t="s">
        <v>536</v>
      </c>
      <c r="C497" s="4">
        <v>67</v>
      </c>
      <c r="D497" s="4">
        <v>59</v>
      </c>
    </row>
    <row r="498" spans="1:4" x14ac:dyDescent="0.3">
      <c r="A498" s="11" t="s">
        <v>1047</v>
      </c>
      <c r="B498" t="s">
        <v>537</v>
      </c>
      <c r="C498" s="4">
        <v>69</v>
      </c>
      <c r="D498" s="4">
        <v>61</v>
      </c>
    </row>
    <row r="499" spans="1:4" x14ac:dyDescent="0.3">
      <c r="A499" s="11" t="s">
        <v>1048</v>
      </c>
      <c r="B499" t="s">
        <v>538</v>
      </c>
      <c r="C499" s="4">
        <v>78</v>
      </c>
      <c r="D499" s="4">
        <v>69</v>
      </c>
    </row>
    <row r="500" spans="1:4" x14ac:dyDescent="0.3">
      <c r="A500" s="12">
        <v>1007</v>
      </c>
      <c r="B500" t="s">
        <v>539</v>
      </c>
      <c r="C500" s="4">
        <v>62</v>
      </c>
      <c r="D500" s="4">
        <v>55</v>
      </c>
    </row>
    <row r="501" spans="1:4" x14ac:dyDescent="0.3">
      <c r="A501" s="11" t="s">
        <v>1049</v>
      </c>
      <c r="B501" t="s">
        <v>540</v>
      </c>
      <c r="C501" s="4">
        <v>138</v>
      </c>
      <c r="D501" s="4">
        <v>132.5</v>
      </c>
    </row>
    <row r="502" spans="1:4" x14ac:dyDescent="0.3">
      <c r="A502" s="11" t="s">
        <v>1050</v>
      </c>
      <c r="B502" t="s">
        <v>541</v>
      </c>
      <c r="C502" s="4">
        <v>184</v>
      </c>
      <c r="D502" s="4">
        <v>184</v>
      </c>
    </row>
    <row r="503" spans="1:4" x14ac:dyDescent="0.3">
      <c r="A503" s="11" t="s">
        <v>1051</v>
      </c>
      <c r="B503" t="s">
        <v>542</v>
      </c>
      <c r="C503" s="4">
        <v>230</v>
      </c>
      <c r="D503" s="4">
        <v>230</v>
      </c>
    </row>
    <row r="504" spans="1:4" x14ac:dyDescent="0.3">
      <c r="A504" s="11" t="s">
        <v>1052</v>
      </c>
      <c r="B504" t="s">
        <v>543</v>
      </c>
      <c r="C504" s="4">
        <v>257</v>
      </c>
      <c r="D504" s="4">
        <v>257</v>
      </c>
    </row>
    <row r="505" spans="1:4" x14ac:dyDescent="0.3">
      <c r="A505" s="12">
        <v>838</v>
      </c>
      <c r="B505" t="s">
        <v>544</v>
      </c>
      <c r="C505" s="4">
        <v>167</v>
      </c>
      <c r="D505" s="4">
        <v>148.5</v>
      </c>
    </row>
    <row r="506" spans="1:4" x14ac:dyDescent="0.3">
      <c r="A506" s="11" t="s">
        <v>1053</v>
      </c>
      <c r="B506" t="s">
        <v>545</v>
      </c>
      <c r="C506" s="4">
        <v>94</v>
      </c>
      <c r="D506" s="4">
        <v>83</v>
      </c>
    </row>
    <row r="507" spans="1:4" x14ac:dyDescent="0.3">
      <c r="A507" s="11" t="s">
        <v>1054</v>
      </c>
      <c r="B507" t="s">
        <v>546</v>
      </c>
      <c r="C507" s="4">
        <v>189</v>
      </c>
      <c r="D507" s="4">
        <v>167</v>
      </c>
    </row>
    <row r="508" spans="1:4" x14ac:dyDescent="0.3">
      <c r="A508" s="11" t="s">
        <v>1055</v>
      </c>
      <c r="B508" t="s">
        <v>547</v>
      </c>
      <c r="C508" s="4">
        <v>52</v>
      </c>
      <c r="D508" s="4">
        <v>46</v>
      </c>
    </row>
    <row r="509" spans="1:4" x14ac:dyDescent="0.3">
      <c r="A509" s="11" t="s">
        <v>1056</v>
      </c>
      <c r="B509" t="s">
        <v>548</v>
      </c>
      <c r="C509" s="4">
        <v>62</v>
      </c>
      <c r="D509" s="4">
        <v>54.5</v>
      </c>
    </row>
    <row r="510" spans="1:4" x14ac:dyDescent="0.3">
      <c r="A510" s="11" t="s">
        <v>1057</v>
      </c>
      <c r="B510" t="s">
        <v>549</v>
      </c>
      <c r="C510" s="4">
        <v>98</v>
      </c>
      <c r="D510" s="4">
        <v>86.5</v>
      </c>
    </row>
    <row r="511" spans="1:4" x14ac:dyDescent="0.3">
      <c r="A511" s="11" t="s">
        <v>1058</v>
      </c>
      <c r="B511" t="s">
        <v>550</v>
      </c>
      <c r="C511" s="4">
        <v>75</v>
      </c>
      <c r="D511" s="4">
        <v>66</v>
      </c>
    </row>
    <row r="512" spans="1:4" x14ac:dyDescent="0.3">
      <c r="A512" s="11" t="s">
        <v>1059</v>
      </c>
      <c r="B512" t="s">
        <v>551</v>
      </c>
      <c r="C512" s="4">
        <v>46</v>
      </c>
      <c r="D512" s="4">
        <v>40.5</v>
      </c>
    </row>
    <row r="513" spans="1:4" x14ac:dyDescent="0.3">
      <c r="A513" s="11" t="s">
        <v>1060</v>
      </c>
      <c r="B513" t="s">
        <v>552</v>
      </c>
      <c r="C513" s="4">
        <v>47</v>
      </c>
      <c r="D513" s="4">
        <v>41.5</v>
      </c>
    </row>
    <row r="514" spans="1:4" x14ac:dyDescent="0.3">
      <c r="A514" s="11" t="s">
        <v>1061</v>
      </c>
      <c r="B514" t="s">
        <v>553</v>
      </c>
      <c r="C514" s="4">
        <v>64</v>
      </c>
      <c r="D514" s="4">
        <v>57</v>
      </c>
    </row>
    <row r="515" spans="1:4" x14ac:dyDescent="0.3">
      <c r="A515" s="11" t="s">
        <v>1062</v>
      </c>
      <c r="B515" t="s">
        <v>554</v>
      </c>
      <c r="C515" s="4">
        <v>60</v>
      </c>
      <c r="D515" s="4">
        <v>53</v>
      </c>
    </row>
    <row r="516" spans="1:4" x14ac:dyDescent="0.3">
      <c r="A516" s="11" t="s">
        <v>1063</v>
      </c>
      <c r="B516" t="s">
        <v>555</v>
      </c>
      <c r="C516" s="4">
        <v>36</v>
      </c>
      <c r="D516" s="4">
        <v>36</v>
      </c>
    </row>
    <row r="517" spans="1:4" x14ac:dyDescent="0.3">
      <c r="A517" s="12">
        <v>1219</v>
      </c>
      <c r="B517" t="s">
        <v>556</v>
      </c>
      <c r="C517" s="4">
        <v>39</v>
      </c>
      <c r="D517" s="4">
        <v>34</v>
      </c>
    </row>
    <row r="518" spans="1:4" x14ac:dyDescent="0.3">
      <c r="A518" s="11" t="s">
        <v>1064</v>
      </c>
      <c r="B518" t="s">
        <v>557</v>
      </c>
      <c r="C518" s="4">
        <v>53</v>
      </c>
      <c r="D518" s="4">
        <v>53</v>
      </c>
    </row>
    <row r="519" spans="1:4" x14ac:dyDescent="0.3">
      <c r="A519" s="11" t="s">
        <v>1065</v>
      </c>
      <c r="B519" t="s">
        <v>558</v>
      </c>
      <c r="C519" s="4">
        <v>98</v>
      </c>
      <c r="D519" s="4">
        <v>98</v>
      </c>
    </row>
    <row r="520" spans="1:4" x14ac:dyDescent="0.3">
      <c r="A520" s="11" t="s">
        <v>1066</v>
      </c>
      <c r="B520" t="s">
        <v>559</v>
      </c>
      <c r="C520" s="4">
        <v>101</v>
      </c>
      <c r="D520" s="4">
        <v>89</v>
      </c>
    </row>
    <row r="521" spans="1:4" x14ac:dyDescent="0.3">
      <c r="A521" s="11" t="s">
        <v>1067</v>
      </c>
      <c r="B521" t="s">
        <v>560</v>
      </c>
      <c r="C521" s="4">
        <v>100</v>
      </c>
      <c r="D521" s="4">
        <v>90</v>
      </c>
    </row>
    <row r="522" spans="1:4" x14ac:dyDescent="0.3">
      <c r="A522" s="11" t="s">
        <v>1068</v>
      </c>
      <c r="B522" t="s">
        <v>561</v>
      </c>
      <c r="C522" s="4">
        <v>34</v>
      </c>
      <c r="D522" s="4">
        <v>30</v>
      </c>
    </row>
    <row r="523" spans="1:4" x14ac:dyDescent="0.3">
      <c r="A523" s="11" t="s">
        <v>1069</v>
      </c>
      <c r="B523" t="s">
        <v>562</v>
      </c>
      <c r="C523" s="4">
        <v>46</v>
      </c>
      <c r="D523" s="4">
        <v>40</v>
      </c>
    </row>
    <row r="524" spans="1:4" x14ac:dyDescent="0.3">
      <c r="A524" s="11" t="s">
        <v>1070</v>
      </c>
      <c r="B524" t="s">
        <v>563</v>
      </c>
      <c r="C524" s="4">
        <v>26</v>
      </c>
      <c r="D524" s="4">
        <v>22.5</v>
      </c>
    </row>
    <row r="525" spans="1:4" x14ac:dyDescent="0.3">
      <c r="A525" s="12">
        <v>1227</v>
      </c>
      <c r="B525" t="s">
        <v>564</v>
      </c>
      <c r="C525" s="4">
        <v>113</v>
      </c>
      <c r="D525" s="4">
        <v>103.5</v>
      </c>
    </row>
    <row r="526" spans="1:4" x14ac:dyDescent="0.3">
      <c r="A526" s="11" t="s">
        <v>1071</v>
      </c>
      <c r="B526" t="s">
        <v>565</v>
      </c>
      <c r="C526" s="4">
        <v>200</v>
      </c>
      <c r="D526" s="4">
        <v>190</v>
      </c>
    </row>
    <row r="527" spans="1:4" x14ac:dyDescent="0.3">
      <c r="A527" s="11" t="s">
        <v>1072</v>
      </c>
      <c r="B527" t="s">
        <v>566</v>
      </c>
      <c r="C527" s="4">
        <v>140</v>
      </c>
      <c r="D527" s="4">
        <v>132.5</v>
      </c>
    </row>
    <row r="528" spans="1:4" x14ac:dyDescent="0.3">
      <c r="A528" s="12">
        <v>1235</v>
      </c>
      <c r="B528" t="s">
        <v>567</v>
      </c>
      <c r="C528" s="4">
        <v>29</v>
      </c>
      <c r="D528" s="4">
        <v>25.5</v>
      </c>
    </row>
    <row r="529" spans="1:4" x14ac:dyDescent="0.3">
      <c r="A529" s="11" t="s">
        <v>1073</v>
      </c>
      <c r="B529" t="s">
        <v>568</v>
      </c>
      <c r="C529" s="4">
        <v>14</v>
      </c>
      <c r="D529" s="4">
        <v>12</v>
      </c>
    </row>
    <row r="530" spans="1:4" x14ac:dyDescent="0.3">
      <c r="A530" s="11" t="s">
        <v>1074</v>
      </c>
      <c r="B530" t="s">
        <v>569</v>
      </c>
      <c r="C530" s="4">
        <v>254</v>
      </c>
      <c r="D530" s="4">
        <v>244</v>
      </c>
    </row>
    <row r="531" spans="1:4" x14ac:dyDescent="0.3">
      <c r="A531" s="11" t="s">
        <v>1075</v>
      </c>
      <c r="B531" t="s">
        <v>570</v>
      </c>
      <c r="C531" s="4">
        <v>94</v>
      </c>
      <c r="D531" s="4">
        <v>83</v>
      </c>
    </row>
    <row r="532" spans="1:4" x14ac:dyDescent="0.3">
      <c r="A532" s="11" t="s">
        <v>1076</v>
      </c>
      <c r="B532" t="s">
        <v>571</v>
      </c>
      <c r="C532" s="4">
        <v>28</v>
      </c>
      <c r="D532" s="4">
        <v>24</v>
      </c>
    </row>
    <row r="533" spans="1:4" x14ac:dyDescent="0.3">
      <c r="A533" s="11" t="s">
        <v>1077</v>
      </c>
      <c r="B533" t="s">
        <v>572</v>
      </c>
      <c r="C533" s="4">
        <v>32</v>
      </c>
      <c r="D533" s="4">
        <v>28</v>
      </c>
    </row>
    <row r="534" spans="1:4" x14ac:dyDescent="0.3">
      <c r="A534" s="11" t="s">
        <v>1078</v>
      </c>
      <c r="B534" t="s">
        <v>573</v>
      </c>
      <c r="C534" s="4">
        <v>137</v>
      </c>
      <c r="D534" s="4">
        <v>121</v>
      </c>
    </row>
    <row r="535" spans="1:4" x14ac:dyDescent="0.3">
      <c r="A535" s="11" t="s">
        <v>1079</v>
      </c>
      <c r="B535" t="s">
        <v>574</v>
      </c>
      <c r="C535" s="4">
        <v>33</v>
      </c>
      <c r="D535" s="4">
        <v>29</v>
      </c>
    </row>
    <row r="536" spans="1:4" x14ac:dyDescent="0.3">
      <c r="A536" s="11" t="s">
        <v>1080</v>
      </c>
      <c r="B536" t="s">
        <v>575</v>
      </c>
      <c r="C536" s="4">
        <v>130</v>
      </c>
      <c r="D536" s="4">
        <v>115</v>
      </c>
    </row>
    <row r="537" spans="1:4" x14ac:dyDescent="0.3">
      <c r="A537" s="11" t="s">
        <v>1081</v>
      </c>
      <c r="B537" t="s">
        <v>576</v>
      </c>
      <c r="C537" s="4">
        <v>315</v>
      </c>
      <c r="D537" s="4">
        <v>305</v>
      </c>
    </row>
    <row r="538" spans="1:4" x14ac:dyDescent="0.3">
      <c r="A538" s="11" t="s">
        <v>1082</v>
      </c>
      <c r="B538" t="s">
        <v>577</v>
      </c>
      <c r="C538" s="4">
        <v>146</v>
      </c>
      <c r="D538" s="4">
        <v>129</v>
      </c>
    </row>
    <row r="539" spans="1:4" x14ac:dyDescent="0.3">
      <c r="A539" s="12">
        <v>4637</v>
      </c>
      <c r="B539" t="s">
        <v>578</v>
      </c>
      <c r="C539" s="4">
        <v>55</v>
      </c>
      <c r="D539" s="4">
        <v>48.5</v>
      </c>
    </row>
    <row r="540" spans="1:4" x14ac:dyDescent="0.3">
      <c r="A540" s="11" t="s">
        <v>1083</v>
      </c>
      <c r="B540" t="s">
        <v>579</v>
      </c>
      <c r="C540" s="4">
        <v>82</v>
      </c>
      <c r="D540" s="4">
        <v>72.5</v>
      </c>
    </row>
    <row r="541" spans="1:4" x14ac:dyDescent="0.3">
      <c r="A541" s="12">
        <v>56</v>
      </c>
      <c r="B541" t="s">
        <v>580</v>
      </c>
      <c r="C541" s="4">
        <v>13</v>
      </c>
      <c r="D541" s="4">
        <v>11</v>
      </c>
    </row>
    <row r="542" spans="1:4" x14ac:dyDescent="0.3">
      <c r="A542" s="12">
        <v>3</v>
      </c>
      <c r="B542" t="s">
        <v>581</v>
      </c>
      <c r="C542" s="4">
        <v>40</v>
      </c>
      <c r="D542" s="4">
        <v>35</v>
      </c>
    </row>
    <row r="543" spans="1:4" x14ac:dyDescent="0.3">
      <c r="A543" s="12">
        <v>55</v>
      </c>
      <c r="B543" t="s">
        <v>582</v>
      </c>
      <c r="C543" s="4">
        <v>40</v>
      </c>
      <c r="D543" s="4">
        <v>35</v>
      </c>
    </row>
    <row r="544" spans="1:4" x14ac:dyDescent="0.3">
      <c r="A544" s="11" t="s">
        <v>1084</v>
      </c>
      <c r="B544" t="s">
        <v>583</v>
      </c>
      <c r="C544" s="4">
        <v>68</v>
      </c>
      <c r="D544" s="4">
        <v>60</v>
      </c>
    </row>
    <row r="545" spans="1:4" x14ac:dyDescent="0.3">
      <c r="A545" s="11" t="s">
        <v>1085</v>
      </c>
      <c r="B545" t="s">
        <v>584</v>
      </c>
      <c r="C545" s="4">
        <v>230</v>
      </c>
      <c r="D545" s="4">
        <v>230</v>
      </c>
    </row>
    <row r="546" spans="1:4" x14ac:dyDescent="0.3">
      <c r="A546" s="11" t="s">
        <v>1086</v>
      </c>
      <c r="B546" t="s">
        <v>585</v>
      </c>
      <c r="C546" s="4">
        <v>374</v>
      </c>
      <c r="D546" s="4">
        <v>374</v>
      </c>
    </row>
    <row r="547" spans="1:4" x14ac:dyDescent="0.3">
      <c r="A547" s="11" t="s">
        <v>1087</v>
      </c>
      <c r="B547" t="s">
        <v>586</v>
      </c>
      <c r="C547" s="4">
        <v>385.5</v>
      </c>
      <c r="D547" s="4">
        <v>385.5</v>
      </c>
    </row>
    <row r="548" spans="1:4" x14ac:dyDescent="0.3">
      <c r="A548" s="12">
        <v>4163</v>
      </c>
      <c r="B548" t="s">
        <v>587</v>
      </c>
      <c r="C548" s="4">
        <v>38</v>
      </c>
      <c r="D548" s="4">
        <v>33</v>
      </c>
    </row>
    <row r="549" spans="1:4" x14ac:dyDescent="0.3">
      <c r="A549" s="11" t="s">
        <v>1088</v>
      </c>
      <c r="B549" t="s">
        <v>588</v>
      </c>
      <c r="C549" s="4">
        <v>78</v>
      </c>
      <c r="D549" s="4">
        <v>69</v>
      </c>
    </row>
    <row r="550" spans="1:4" x14ac:dyDescent="0.3">
      <c r="A550" s="11" t="s">
        <v>1089</v>
      </c>
      <c r="B550" t="s">
        <v>589</v>
      </c>
      <c r="C550" s="4">
        <v>104</v>
      </c>
      <c r="D550" s="4">
        <v>92</v>
      </c>
    </row>
    <row r="551" spans="1:4" x14ac:dyDescent="0.3">
      <c r="A551" s="11" t="s">
        <v>1090</v>
      </c>
      <c r="B551" t="s">
        <v>590</v>
      </c>
      <c r="C551" s="4">
        <v>120</v>
      </c>
      <c r="D551" s="4">
        <v>106</v>
      </c>
    </row>
    <row r="552" spans="1:4" x14ac:dyDescent="0.3">
      <c r="A552" s="11" t="s">
        <v>1091</v>
      </c>
      <c r="B552" t="s">
        <v>591</v>
      </c>
      <c r="C552" s="4">
        <v>166</v>
      </c>
      <c r="D552" s="4">
        <v>155.5</v>
      </c>
    </row>
    <row r="553" spans="1:4" x14ac:dyDescent="0.3">
      <c r="A553" s="11" t="s">
        <v>1092</v>
      </c>
      <c r="B553" t="s">
        <v>592</v>
      </c>
      <c r="C553" s="4">
        <v>106</v>
      </c>
      <c r="D553" s="4">
        <v>93.5</v>
      </c>
    </row>
    <row r="554" spans="1:4" x14ac:dyDescent="0.3">
      <c r="A554" s="11" t="s">
        <v>1093</v>
      </c>
      <c r="B554" t="s">
        <v>593</v>
      </c>
      <c r="C554" s="4">
        <v>182</v>
      </c>
      <c r="D554" s="4">
        <v>161</v>
      </c>
    </row>
    <row r="555" spans="1:4" x14ac:dyDescent="0.3">
      <c r="A555" s="11" t="s">
        <v>1094</v>
      </c>
      <c r="B555" t="s">
        <v>594</v>
      </c>
      <c r="C555" s="4">
        <v>65</v>
      </c>
      <c r="D555" s="4">
        <v>57.5</v>
      </c>
    </row>
    <row r="556" spans="1:4" x14ac:dyDescent="0.3">
      <c r="A556" s="11" t="s">
        <v>1095</v>
      </c>
      <c r="B556" t="s">
        <v>595</v>
      </c>
      <c r="C556" s="4">
        <v>86</v>
      </c>
      <c r="D556" s="4">
        <v>76</v>
      </c>
    </row>
    <row r="557" spans="1:4" x14ac:dyDescent="0.3">
      <c r="A557" s="11" t="s">
        <v>1096</v>
      </c>
      <c r="B557" t="s">
        <v>596</v>
      </c>
      <c r="C557" s="4">
        <v>49</v>
      </c>
      <c r="D557" s="4">
        <v>43</v>
      </c>
    </row>
    <row r="558" spans="1:4" x14ac:dyDescent="0.3">
      <c r="A558" s="11" t="s">
        <v>1097</v>
      </c>
      <c r="B558" t="s">
        <v>597</v>
      </c>
      <c r="C558" s="4">
        <v>17</v>
      </c>
      <c r="D558" s="4">
        <v>14.5</v>
      </c>
    </row>
    <row r="559" spans="1:4" x14ac:dyDescent="0.3">
      <c r="A559" s="11" t="s">
        <v>1098</v>
      </c>
      <c r="B559" t="s">
        <v>598</v>
      </c>
      <c r="C559" s="4">
        <v>9</v>
      </c>
      <c r="D559" s="4">
        <v>7.5</v>
      </c>
    </row>
    <row r="560" spans="1:4" x14ac:dyDescent="0.3">
      <c r="A560" s="11" t="s">
        <v>1099</v>
      </c>
      <c r="B560" t="s">
        <v>599</v>
      </c>
      <c r="C560" s="4">
        <v>11</v>
      </c>
      <c r="D560" s="4">
        <v>9</v>
      </c>
    </row>
    <row r="561" spans="1:4" x14ac:dyDescent="0.3">
      <c r="A561" s="11" t="s">
        <v>1100</v>
      </c>
      <c r="B561" t="s">
        <v>600</v>
      </c>
      <c r="C561" s="4">
        <v>11</v>
      </c>
      <c r="D561" s="4">
        <v>9</v>
      </c>
    </row>
    <row r="562" spans="1:4" x14ac:dyDescent="0.3">
      <c r="A562" s="11" t="s">
        <v>1101</v>
      </c>
      <c r="B562" t="s">
        <v>601</v>
      </c>
      <c r="C562" s="4">
        <v>12</v>
      </c>
      <c r="D562" s="4">
        <v>10.5</v>
      </c>
    </row>
    <row r="563" spans="1:4" x14ac:dyDescent="0.3">
      <c r="A563" s="11" t="s">
        <v>1102</v>
      </c>
      <c r="B563" t="s">
        <v>602</v>
      </c>
      <c r="C563" s="4">
        <v>12</v>
      </c>
      <c r="D563" s="4">
        <v>10.5</v>
      </c>
    </row>
    <row r="564" spans="1:4" x14ac:dyDescent="0.3">
      <c r="A564" s="11" t="s">
        <v>1103</v>
      </c>
      <c r="B564" t="s">
        <v>603</v>
      </c>
      <c r="C564" s="4">
        <v>12</v>
      </c>
      <c r="D564" s="4">
        <v>10.5</v>
      </c>
    </row>
    <row r="565" spans="1:4" x14ac:dyDescent="0.3">
      <c r="A565" s="11" t="s">
        <v>1104</v>
      </c>
      <c r="B565" t="s">
        <v>604</v>
      </c>
      <c r="C565" s="4">
        <v>14</v>
      </c>
      <c r="D565" s="4">
        <v>12</v>
      </c>
    </row>
    <row r="566" spans="1:4" x14ac:dyDescent="0.3">
      <c r="A566" s="11" t="s">
        <v>1105</v>
      </c>
      <c r="B566" t="s">
        <v>605</v>
      </c>
      <c r="C566" s="4">
        <v>19</v>
      </c>
      <c r="D566" s="4">
        <v>16</v>
      </c>
    </row>
    <row r="567" spans="1:4" x14ac:dyDescent="0.3">
      <c r="A567" s="11" t="s">
        <v>1106</v>
      </c>
      <c r="B567" t="s">
        <v>606</v>
      </c>
      <c r="C567" s="4">
        <v>19</v>
      </c>
      <c r="D567" s="4">
        <v>16</v>
      </c>
    </row>
    <row r="568" spans="1:4" x14ac:dyDescent="0.3">
      <c r="A568" s="11" t="s">
        <v>1107</v>
      </c>
      <c r="B568" t="s">
        <v>607</v>
      </c>
      <c r="C568" s="4">
        <v>20</v>
      </c>
      <c r="D568" s="4">
        <v>17.5</v>
      </c>
    </row>
    <row r="569" spans="1:4" x14ac:dyDescent="0.3">
      <c r="A569" s="11" t="s">
        <v>1108</v>
      </c>
      <c r="B569" t="s">
        <v>608</v>
      </c>
      <c r="C569" s="4">
        <v>21</v>
      </c>
      <c r="D569" s="4">
        <v>18.5</v>
      </c>
    </row>
    <row r="570" spans="1:4" x14ac:dyDescent="0.3">
      <c r="A570" s="11" t="s">
        <v>1109</v>
      </c>
      <c r="B570" t="s">
        <v>609</v>
      </c>
      <c r="C570" s="4">
        <v>23</v>
      </c>
      <c r="D570" s="4">
        <v>20</v>
      </c>
    </row>
    <row r="571" spans="1:4" x14ac:dyDescent="0.3">
      <c r="A571" s="11" t="s">
        <v>1110</v>
      </c>
      <c r="B571" t="s">
        <v>610</v>
      </c>
      <c r="C571" s="4">
        <v>88</v>
      </c>
      <c r="D571" s="4">
        <v>77.5</v>
      </c>
    </row>
    <row r="572" spans="1:4" x14ac:dyDescent="0.3">
      <c r="A572" s="11" t="s">
        <v>1111</v>
      </c>
      <c r="B572" t="s">
        <v>611</v>
      </c>
      <c r="C572" s="4">
        <v>7</v>
      </c>
      <c r="D572" s="4">
        <v>6</v>
      </c>
    </row>
    <row r="573" spans="1:4" x14ac:dyDescent="0.3">
      <c r="A573" s="11" t="s">
        <v>1112</v>
      </c>
      <c r="B573" t="s">
        <v>612</v>
      </c>
      <c r="C573" s="4">
        <v>89</v>
      </c>
      <c r="D573" s="4">
        <v>78.5</v>
      </c>
    </row>
    <row r="574" spans="1:4" x14ac:dyDescent="0.3">
      <c r="A574" s="12">
        <v>475</v>
      </c>
      <c r="B574" t="s">
        <v>613</v>
      </c>
      <c r="C574" s="4">
        <v>76</v>
      </c>
      <c r="D574" s="4">
        <v>67</v>
      </c>
    </row>
    <row r="575" spans="1:4" x14ac:dyDescent="0.3">
      <c r="A575" s="12">
        <v>2</v>
      </c>
      <c r="B575" t="s">
        <v>614</v>
      </c>
      <c r="C575" s="4">
        <v>76</v>
      </c>
      <c r="D575" s="4">
        <v>67</v>
      </c>
    </row>
    <row r="576" spans="1:4" x14ac:dyDescent="0.3">
      <c r="A576" s="11" t="s">
        <v>1113</v>
      </c>
      <c r="B576" t="s">
        <v>615</v>
      </c>
      <c r="C576" s="4">
        <v>89</v>
      </c>
      <c r="D576" s="4">
        <v>78.5</v>
      </c>
    </row>
    <row r="577" spans="1:4" x14ac:dyDescent="0.3">
      <c r="A577" s="11" t="s">
        <v>1114</v>
      </c>
      <c r="B577" t="s">
        <v>616</v>
      </c>
      <c r="C577" s="4">
        <v>20</v>
      </c>
      <c r="D577" s="4">
        <v>17.5</v>
      </c>
    </row>
    <row r="578" spans="1:4" x14ac:dyDescent="0.3">
      <c r="A578" s="11" t="s">
        <v>1115</v>
      </c>
      <c r="B578" t="s">
        <v>617</v>
      </c>
      <c r="C578" s="4">
        <v>385.5</v>
      </c>
      <c r="D578" s="4">
        <v>385.5</v>
      </c>
    </row>
    <row r="579" spans="1:4" x14ac:dyDescent="0.3">
      <c r="A579" s="11" t="s">
        <v>1116</v>
      </c>
      <c r="B579" t="s">
        <v>618</v>
      </c>
      <c r="C579" s="4">
        <v>558</v>
      </c>
      <c r="D579" s="4">
        <v>558</v>
      </c>
    </row>
    <row r="580" spans="1:4" x14ac:dyDescent="0.3">
      <c r="A580" s="11" t="s">
        <v>1117</v>
      </c>
      <c r="B580" t="s">
        <v>619</v>
      </c>
      <c r="C580" s="4">
        <v>77</v>
      </c>
      <c r="D580" s="4">
        <v>68</v>
      </c>
    </row>
    <row r="581" spans="1:4" x14ac:dyDescent="0.3">
      <c r="A581" s="11" t="s">
        <v>1118</v>
      </c>
      <c r="B581" t="s">
        <v>620</v>
      </c>
      <c r="C581" s="4">
        <v>99</v>
      </c>
      <c r="D581" s="4">
        <v>87.5</v>
      </c>
    </row>
    <row r="582" spans="1:4" x14ac:dyDescent="0.3">
      <c r="A582" s="11" t="s">
        <v>1119</v>
      </c>
      <c r="B582" t="s">
        <v>621</v>
      </c>
      <c r="C582" s="4">
        <v>82</v>
      </c>
      <c r="D582" s="4">
        <v>72.5</v>
      </c>
    </row>
    <row r="583" spans="1:4" x14ac:dyDescent="0.3">
      <c r="A583" s="11" t="s">
        <v>1120</v>
      </c>
      <c r="B583" t="s">
        <v>622</v>
      </c>
      <c r="C583" s="4">
        <v>104</v>
      </c>
      <c r="D583" s="4">
        <v>92</v>
      </c>
    </row>
    <row r="584" spans="1:4" x14ac:dyDescent="0.3">
      <c r="A584" s="11" t="s">
        <v>1121</v>
      </c>
      <c r="B584" t="s">
        <v>623</v>
      </c>
      <c r="C584" s="4">
        <v>450</v>
      </c>
      <c r="D584" s="4">
        <v>450</v>
      </c>
    </row>
    <row r="585" spans="1:4" x14ac:dyDescent="0.3">
      <c r="A585" s="12">
        <v>685</v>
      </c>
      <c r="B585" t="s">
        <v>624</v>
      </c>
      <c r="C585" s="4">
        <v>384</v>
      </c>
      <c r="D585" s="4">
        <v>374</v>
      </c>
    </row>
    <row r="586" spans="1:4" x14ac:dyDescent="0.3">
      <c r="A586" s="12">
        <v>612</v>
      </c>
      <c r="B586" t="s">
        <v>625</v>
      </c>
      <c r="C586" s="4">
        <v>615.5</v>
      </c>
      <c r="D586" s="4">
        <v>615.5</v>
      </c>
    </row>
    <row r="587" spans="1:4" x14ac:dyDescent="0.3">
      <c r="A587" s="11" t="s">
        <v>1122</v>
      </c>
      <c r="B587" t="s">
        <v>626</v>
      </c>
      <c r="C587" s="4">
        <v>10</v>
      </c>
      <c r="D587" s="4">
        <v>8.5</v>
      </c>
    </row>
    <row r="588" spans="1:4" x14ac:dyDescent="0.3">
      <c r="A588" s="11" t="s">
        <v>1123</v>
      </c>
      <c r="B588" t="s">
        <v>627</v>
      </c>
      <c r="C588" s="4">
        <v>16</v>
      </c>
      <c r="D588" s="4">
        <v>13.5</v>
      </c>
    </row>
    <row r="589" spans="1:4" x14ac:dyDescent="0.3">
      <c r="A589" s="11" t="s">
        <v>1124</v>
      </c>
      <c r="B589" t="s">
        <v>628</v>
      </c>
      <c r="C589" s="4">
        <v>156</v>
      </c>
      <c r="D589" s="4">
        <v>138</v>
      </c>
    </row>
    <row r="590" spans="1:4" x14ac:dyDescent="0.3">
      <c r="A590" s="11" t="s">
        <v>1125</v>
      </c>
      <c r="B590" t="s">
        <v>629</v>
      </c>
      <c r="C590" s="4">
        <v>176</v>
      </c>
      <c r="D590" s="4">
        <v>155.5</v>
      </c>
    </row>
  </sheetData>
  <pageMargins left="0.7" right="0.7" top="0.75" bottom="0.75" header="0.3" footer="0.3"/>
  <ignoredErrors>
    <ignoredError sqref="A15" numberStoredAsText="1"/>
  </ignoredError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9701F-3DAD-4328-8EDC-4FB5506F3E28}">
  <sheetPr codeName="Hoja5"/>
  <dimension ref="A1:F3"/>
  <sheetViews>
    <sheetView workbookViewId="0"/>
  </sheetViews>
  <sheetFormatPr baseColWidth="10" defaultRowHeight="16.5" x14ac:dyDescent="0.3"/>
  <cols>
    <col min="1" max="1" width="10.25" style="5" customWidth="1"/>
    <col min="2" max="2" width="30.625" customWidth="1"/>
    <col min="3" max="3" width="31.125" customWidth="1"/>
    <col min="4" max="4" width="15.125" style="5" customWidth="1"/>
    <col min="6" max="6" width="21.375" customWidth="1"/>
  </cols>
  <sheetData>
    <row r="1" spans="1:6" x14ac:dyDescent="0.3">
      <c r="A1" s="1" t="s">
        <v>26</v>
      </c>
      <c r="B1" s="1" t="s">
        <v>27</v>
      </c>
      <c r="C1" s="1" t="s">
        <v>29</v>
      </c>
      <c r="D1" s="1" t="s">
        <v>28</v>
      </c>
      <c r="E1" s="1" t="s">
        <v>0</v>
      </c>
      <c r="F1" s="1" t="s">
        <v>30</v>
      </c>
    </row>
    <row r="2" spans="1:6" x14ac:dyDescent="0.3">
      <c r="A2" s="5">
        <v>100</v>
      </c>
      <c r="B2" t="s">
        <v>31</v>
      </c>
      <c r="C2" t="s">
        <v>32</v>
      </c>
      <c r="D2" s="5" t="s">
        <v>33</v>
      </c>
      <c r="E2" t="s">
        <v>34</v>
      </c>
      <c r="F2" s="6" t="s">
        <v>39</v>
      </c>
    </row>
    <row r="3" spans="1:6" x14ac:dyDescent="0.3">
      <c r="A3" s="5">
        <v>101</v>
      </c>
      <c r="B3" t="s">
        <v>35</v>
      </c>
      <c r="C3" t="s">
        <v>32</v>
      </c>
      <c r="D3" s="5" t="s">
        <v>33</v>
      </c>
      <c r="E3" t="s">
        <v>34</v>
      </c>
      <c r="F3" s="6" t="s">
        <v>40</v>
      </c>
    </row>
  </sheetData>
  <hyperlinks>
    <hyperlink ref="F2" r:id="rId1" xr:uid="{8DC26BAF-1A65-4605-9B76-BB3A5BDA9E67}"/>
    <hyperlink ref="F3" r:id="rId2" xr:uid="{0D42574D-D2B9-4FFF-99DC-E84F7DDAD83C}"/>
  </hyperlinks>
  <pageMargins left="0.7" right="0.7" top="0.75" bottom="0.75" header="0.3" footer="0.3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0469C-08FC-4D5C-B368-2BC79AA53393}">
  <sheetPr codeName="Hoja2">
    <pageSetUpPr autoPageBreaks="0" fitToPage="1"/>
  </sheetPr>
  <dimension ref="A1:M59"/>
  <sheetViews>
    <sheetView showGridLines="0" zoomScale="115" zoomScaleNormal="115" zoomScaleSheetLayoutView="100" workbookViewId="0">
      <selection activeCell="D4" sqref="D4"/>
    </sheetView>
  </sheetViews>
  <sheetFormatPr baseColWidth="10" defaultColWidth="8" defaultRowHeight="13.5" x14ac:dyDescent="0.25"/>
  <cols>
    <col min="1" max="1" width="11" style="7" customWidth="1"/>
    <col min="2" max="2" width="40.375" style="7" customWidth="1"/>
    <col min="3" max="3" width="5.25" style="7" customWidth="1"/>
    <col min="4" max="4" width="10.5" style="7" customWidth="1"/>
    <col min="5" max="5" width="11.875" style="7" customWidth="1"/>
    <col min="6" max="6" width="12.625" style="7" customWidth="1"/>
    <col min="7" max="7" width="13" style="7" customWidth="1"/>
    <col min="8" max="8" width="2.5" style="7" customWidth="1"/>
    <col min="9" max="9" width="4.125" style="7" customWidth="1"/>
    <col min="10" max="10" width="2.625" style="7" customWidth="1"/>
    <col min="11" max="12" width="8" style="7"/>
    <col min="13" max="13" width="0" style="7" hidden="1" customWidth="1"/>
    <col min="14" max="16384" width="8" style="7"/>
  </cols>
  <sheetData>
    <row r="1" spans="1:13" ht="42" customHeight="1" thickBot="1" x14ac:dyDescent="0.4">
      <c r="A1" s="72" t="s">
        <v>25</v>
      </c>
      <c r="B1" s="72"/>
      <c r="C1" s="44"/>
      <c r="D1" s="19"/>
      <c r="E1" s="19"/>
      <c r="F1" s="73" t="s">
        <v>6</v>
      </c>
      <c r="G1" s="73"/>
      <c r="K1" s="69" t="s">
        <v>630</v>
      </c>
      <c r="L1" s="69"/>
    </row>
    <row r="2" spans="1:13" ht="14.25" thickBot="1" x14ac:dyDescent="0.3">
      <c r="A2" s="19" t="s">
        <v>36</v>
      </c>
      <c r="B2" s="19"/>
      <c r="C2" s="19"/>
      <c r="D2" s="19"/>
      <c r="E2" s="19"/>
      <c r="F2" s="19"/>
      <c r="G2" s="19"/>
      <c r="K2" s="74" t="s">
        <v>4</v>
      </c>
      <c r="L2" s="71"/>
      <c r="M2" s="8">
        <f>MATCH(K2,Productos!1:1,0)</f>
        <v>4</v>
      </c>
    </row>
    <row r="3" spans="1:13" ht="14.25" thickTop="1" x14ac:dyDescent="0.25">
      <c r="A3" s="19" t="s">
        <v>37</v>
      </c>
      <c r="B3" s="19"/>
      <c r="C3" s="19"/>
      <c r="D3" s="19"/>
      <c r="E3" s="19"/>
      <c r="F3" s="45" t="s">
        <v>7</v>
      </c>
      <c r="G3" s="20">
        <v>43890</v>
      </c>
    </row>
    <row r="4" spans="1:13" x14ac:dyDescent="0.25">
      <c r="A4" s="19" t="s">
        <v>8</v>
      </c>
      <c r="B4" s="19"/>
      <c r="C4" s="19"/>
      <c r="D4" s="19"/>
      <c r="E4" s="19"/>
      <c r="F4" s="45" t="s">
        <v>9</v>
      </c>
      <c r="G4" s="21">
        <v>126</v>
      </c>
      <c r="K4" s="69" t="s">
        <v>1131</v>
      </c>
      <c r="L4" s="69"/>
    </row>
    <row r="5" spans="1:13" ht="14.25" thickBot="1" x14ac:dyDescent="0.3">
      <c r="A5" s="19" t="s">
        <v>38</v>
      </c>
      <c r="B5" s="19"/>
      <c r="C5" s="19"/>
      <c r="D5" s="19"/>
      <c r="E5" s="19"/>
      <c r="F5" s="45" t="s">
        <v>10</v>
      </c>
      <c r="G5" s="22">
        <v>101</v>
      </c>
      <c r="K5" s="70">
        <v>0.13</v>
      </c>
      <c r="L5" s="71"/>
    </row>
    <row r="6" spans="1:13" ht="14.25" thickTop="1" x14ac:dyDescent="0.25">
      <c r="A6" s="19" t="s">
        <v>1127</v>
      </c>
      <c r="B6" s="19"/>
      <c r="C6" s="19"/>
      <c r="D6" s="19"/>
      <c r="E6" s="19"/>
      <c r="F6" s="45" t="s">
        <v>11</v>
      </c>
      <c r="G6" s="20"/>
    </row>
    <row r="7" spans="1:13" x14ac:dyDescent="0.25">
      <c r="A7" s="19" t="s">
        <v>12</v>
      </c>
      <c r="B7" s="19"/>
      <c r="C7" s="19"/>
      <c r="D7" s="19"/>
      <c r="E7" s="19"/>
      <c r="F7" s="19"/>
      <c r="G7" s="19"/>
    </row>
    <row r="8" spans="1:13" x14ac:dyDescent="0.25">
      <c r="A8" s="19"/>
      <c r="B8" s="19"/>
      <c r="C8" s="19"/>
      <c r="D8" s="19"/>
      <c r="E8" s="19"/>
      <c r="F8" s="19"/>
      <c r="G8" s="19"/>
    </row>
    <row r="9" spans="1:13" ht="15" x14ac:dyDescent="0.25">
      <c r="A9" s="38" t="s">
        <v>13</v>
      </c>
      <c r="B9" s="38"/>
      <c r="C9" s="42"/>
      <c r="D9" s="42"/>
      <c r="E9" s="42"/>
      <c r="F9" s="42"/>
      <c r="G9" s="42"/>
    </row>
    <row r="10" spans="1:13" x14ac:dyDescent="0.25">
      <c r="A10" s="7" t="str">
        <f>CONCATENATE("Nombre: ",IFERROR(VLOOKUP($G$5,Clientes!A:F,2,0),""))</f>
        <v>Nombre: Christofer Miguel Andubar</v>
      </c>
    </row>
    <row r="11" spans="1:13" x14ac:dyDescent="0.25">
      <c r="A11" s="7" t="str">
        <f>CONCATENATE("Email: ",IFERROR(VLOOKUP($G$5,Clientes!A:F,6,0),""))</f>
        <v>Email: cmiguel@gmail.com</v>
      </c>
    </row>
    <row r="12" spans="1:13" x14ac:dyDescent="0.25">
      <c r="A12" s="7" t="str">
        <f>CONCATENATE("Dirección: ",IFERROR(VLOOKUP($G$5,Clientes!A:F,3,0),""))</f>
        <v>Dirección: Av. 90, Calle 3, Bloc 1</v>
      </c>
    </row>
    <row r="13" spans="1:13" x14ac:dyDescent="0.25">
      <c r="A13" s="7" t="str">
        <f>CONCATENATE("Ciudad: ",IFERROR(VLOOKUP($G$5,Clientes!A:F,4,0),""))</f>
        <v>Ciudad: San Salvador</v>
      </c>
    </row>
    <row r="14" spans="1:13" x14ac:dyDescent="0.25">
      <c r="A14" s="7" t="str">
        <f>CONCATENATE("Teléfono: ",IFERROR(VLOOKUP($G$5,Clientes!A:F,5,0),""))</f>
        <v>Teléfono: 7125-3225</v>
      </c>
    </row>
    <row r="15" spans="1:13" ht="8.25" customHeight="1" x14ac:dyDescent="0.25"/>
    <row r="16" spans="1:13" ht="12.75" customHeight="1" x14ac:dyDescent="0.25">
      <c r="A16" s="40" t="s">
        <v>1</v>
      </c>
      <c r="B16" s="40" t="s">
        <v>14</v>
      </c>
      <c r="C16" s="40" t="s">
        <v>15</v>
      </c>
      <c r="D16" s="40" t="s">
        <v>631</v>
      </c>
      <c r="E16" s="40" t="s">
        <v>632</v>
      </c>
      <c r="F16" s="40" t="str">
        <f>K4</f>
        <v>IMPUESTO</v>
      </c>
      <c r="G16" s="40" t="s">
        <v>16</v>
      </c>
    </row>
    <row r="17" spans="1:7" s="16" customFormat="1" ht="16.5" x14ac:dyDescent="0.3">
      <c r="A17" s="36"/>
      <c r="B17" s="37"/>
      <c r="C17" s="43"/>
      <c r="D17" s="14" t="str">
        <f>IFERROR(INDEX(Productos!A:D,MATCH('pag1'!A17,Productos!A:A,0),'pag1'!$M$2),"")</f>
        <v/>
      </c>
      <c r="E17" s="15" t="str">
        <f>IFERROR(C17*D17,"")</f>
        <v/>
      </c>
      <c r="F17" s="41" t="str">
        <f>IFERROR(E17*$K$5,"")</f>
        <v/>
      </c>
      <c r="G17" s="15" t="str">
        <f>IFERROR(E17+F17,"")</f>
        <v/>
      </c>
    </row>
    <row r="18" spans="1:7" s="17" customFormat="1" ht="16.5" x14ac:dyDescent="0.3">
      <c r="A18" s="36"/>
      <c r="B18" s="37"/>
      <c r="C18" s="43"/>
      <c r="D18" s="14" t="str">
        <f>IFERROR(INDEX(Productos!A:D,MATCH('pag1'!A18,Productos!A:A,0),'pag1'!$M$2),"")</f>
        <v/>
      </c>
      <c r="E18" s="15" t="str">
        <f t="shared" ref="E18:E43" si="0">IFERROR(C18*D18,"")</f>
        <v/>
      </c>
      <c r="F18" s="41" t="str">
        <f t="shared" ref="F18:F43" si="1">IFERROR(E18*$K$5,"")</f>
        <v/>
      </c>
      <c r="G18" s="15" t="str">
        <f t="shared" ref="G18:G43" si="2">IFERROR(E18+F18,"")</f>
        <v/>
      </c>
    </row>
    <row r="19" spans="1:7" s="16" customFormat="1" ht="16.5" x14ac:dyDescent="0.3">
      <c r="A19" s="36"/>
      <c r="B19" s="37"/>
      <c r="C19" s="43"/>
      <c r="D19" s="14" t="str">
        <f>IFERROR(INDEX(Productos!A:D,MATCH('pag1'!A19,Productos!A:A,0),'pag1'!$M$2),"")</f>
        <v/>
      </c>
      <c r="E19" s="15" t="str">
        <f t="shared" si="0"/>
        <v/>
      </c>
      <c r="F19" s="41" t="str">
        <f t="shared" si="1"/>
        <v/>
      </c>
      <c r="G19" s="15" t="str">
        <f t="shared" si="2"/>
        <v/>
      </c>
    </row>
    <row r="20" spans="1:7" s="16" customFormat="1" ht="16.5" x14ac:dyDescent="0.3">
      <c r="A20" s="36"/>
      <c r="B20" s="37"/>
      <c r="C20" s="43"/>
      <c r="D20" s="14" t="str">
        <f>IFERROR(INDEX(Productos!A:D,MATCH('pag1'!A20,Productos!A:A,0),'pag1'!$M$2),"")</f>
        <v/>
      </c>
      <c r="E20" s="15" t="str">
        <f t="shared" si="0"/>
        <v/>
      </c>
      <c r="F20" s="41" t="str">
        <f t="shared" si="1"/>
        <v/>
      </c>
      <c r="G20" s="15" t="str">
        <f t="shared" si="2"/>
        <v/>
      </c>
    </row>
    <row r="21" spans="1:7" s="16" customFormat="1" ht="16.5" x14ac:dyDescent="0.3">
      <c r="A21" s="36"/>
      <c r="B21" s="37"/>
      <c r="C21" s="43"/>
      <c r="D21" s="14" t="str">
        <f>IFERROR(INDEX(Productos!A:D,MATCH('pag1'!A21,Productos!A:A,0),'pag1'!$M$2),"")</f>
        <v/>
      </c>
      <c r="E21" s="15" t="str">
        <f t="shared" si="0"/>
        <v/>
      </c>
      <c r="F21" s="41" t="str">
        <f t="shared" si="1"/>
        <v/>
      </c>
      <c r="G21" s="15" t="str">
        <f t="shared" si="2"/>
        <v/>
      </c>
    </row>
    <row r="22" spans="1:7" s="16" customFormat="1" ht="16.5" x14ac:dyDescent="0.3">
      <c r="A22" s="36"/>
      <c r="B22" s="37"/>
      <c r="C22" s="43"/>
      <c r="D22" s="14" t="str">
        <f>IFERROR(INDEX(Productos!A:D,MATCH('pag1'!A22,Productos!A:A,0),'pag1'!$M$2),"")</f>
        <v/>
      </c>
      <c r="E22" s="15" t="str">
        <f t="shared" si="0"/>
        <v/>
      </c>
      <c r="F22" s="41" t="str">
        <f t="shared" si="1"/>
        <v/>
      </c>
      <c r="G22" s="15" t="str">
        <f t="shared" si="2"/>
        <v/>
      </c>
    </row>
    <row r="23" spans="1:7" s="16" customFormat="1" ht="16.5" x14ac:dyDescent="0.3">
      <c r="A23" s="36"/>
      <c r="B23" s="37"/>
      <c r="C23" s="43"/>
      <c r="D23" s="14" t="str">
        <f>IFERROR(INDEX(Productos!A:D,MATCH('pag1'!A23,Productos!A:A,0),'pag1'!$M$2),"")</f>
        <v/>
      </c>
      <c r="E23" s="15" t="str">
        <f t="shared" si="0"/>
        <v/>
      </c>
      <c r="F23" s="41" t="str">
        <f t="shared" si="1"/>
        <v/>
      </c>
      <c r="G23" s="15" t="str">
        <f t="shared" si="2"/>
        <v/>
      </c>
    </row>
    <row r="24" spans="1:7" s="16" customFormat="1" ht="16.5" x14ac:dyDescent="0.3">
      <c r="A24" s="36"/>
      <c r="B24" s="37"/>
      <c r="C24" s="43"/>
      <c r="D24" s="14" t="str">
        <f>IFERROR(INDEX(Productos!A:D,MATCH('pag1'!A24,Productos!A:A,0),'pag1'!$M$2),"")</f>
        <v/>
      </c>
      <c r="E24" s="15" t="str">
        <f t="shared" si="0"/>
        <v/>
      </c>
      <c r="F24" s="41" t="str">
        <f t="shared" si="1"/>
        <v/>
      </c>
      <c r="G24" s="15" t="str">
        <f t="shared" si="2"/>
        <v/>
      </c>
    </row>
    <row r="25" spans="1:7" s="16" customFormat="1" ht="16.5" x14ac:dyDescent="0.3">
      <c r="A25" s="36"/>
      <c r="B25" s="37"/>
      <c r="C25" s="43"/>
      <c r="D25" s="14" t="str">
        <f>IFERROR(INDEX(Productos!A:D,MATCH('pag1'!A25,Productos!A:A,0),'pag1'!$M$2),"")</f>
        <v/>
      </c>
      <c r="E25" s="15" t="str">
        <f t="shared" si="0"/>
        <v/>
      </c>
      <c r="F25" s="41" t="str">
        <f t="shared" si="1"/>
        <v/>
      </c>
      <c r="G25" s="15" t="str">
        <f t="shared" si="2"/>
        <v/>
      </c>
    </row>
    <row r="26" spans="1:7" s="16" customFormat="1" ht="16.5" x14ac:dyDescent="0.3">
      <c r="A26" s="36"/>
      <c r="B26" s="37"/>
      <c r="C26" s="43"/>
      <c r="D26" s="14" t="str">
        <f>IFERROR(INDEX(Productos!A:D,MATCH('pag1'!A26,Productos!A:A,0),'pag1'!$M$2),"")</f>
        <v/>
      </c>
      <c r="E26" s="15" t="str">
        <f t="shared" si="0"/>
        <v/>
      </c>
      <c r="F26" s="41" t="str">
        <f t="shared" si="1"/>
        <v/>
      </c>
      <c r="G26" s="15" t="str">
        <f t="shared" si="2"/>
        <v/>
      </c>
    </row>
    <row r="27" spans="1:7" s="16" customFormat="1" ht="16.5" x14ac:dyDescent="0.3">
      <c r="A27" s="36"/>
      <c r="B27" s="37"/>
      <c r="C27" s="43"/>
      <c r="D27" s="14" t="str">
        <f>IFERROR(INDEX(Productos!A:D,MATCH('pag1'!A27,Productos!A:A,0),'pag1'!$M$2),"")</f>
        <v/>
      </c>
      <c r="E27" s="15" t="str">
        <f t="shared" si="0"/>
        <v/>
      </c>
      <c r="F27" s="41" t="str">
        <f t="shared" si="1"/>
        <v/>
      </c>
      <c r="G27" s="15" t="str">
        <f t="shared" si="2"/>
        <v/>
      </c>
    </row>
    <row r="28" spans="1:7" s="16" customFormat="1" ht="16.5" x14ac:dyDescent="0.3">
      <c r="A28" s="36"/>
      <c r="B28" s="37"/>
      <c r="C28" s="43"/>
      <c r="D28" s="14" t="str">
        <f>IFERROR(INDEX(Productos!A:D,MATCH('pag1'!A28,Productos!A:A,0),'pag1'!$M$2),"")</f>
        <v/>
      </c>
      <c r="E28" s="15" t="str">
        <f t="shared" si="0"/>
        <v/>
      </c>
      <c r="F28" s="41" t="str">
        <f t="shared" si="1"/>
        <v/>
      </c>
      <c r="G28" s="15" t="str">
        <f t="shared" si="2"/>
        <v/>
      </c>
    </row>
    <row r="29" spans="1:7" s="16" customFormat="1" ht="16.5" x14ac:dyDescent="0.3">
      <c r="A29" s="36"/>
      <c r="B29" s="37"/>
      <c r="C29" s="43"/>
      <c r="D29" s="14" t="str">
        <f>IFERROR(INDEX(Productos!A:D,MATCH('pag1'!A29,Productos!A:A,0),'pag1'!$M$2),"")</f>
        <v/>
      </c>
      <c r="E29" s="15" t="str">
        <f t="shared" si="0"/>
        <v/>
      </c>
      <c r="F29" s="41" t="str">
        <f t="shared" si="1"/>
        <v/>
      </c>
      <c r="G29" s="15" t="str">
        <f t="shared" si="2"/>
        <v/>
      </c>
    </row>
    <row r="30" spans="1:7" s="16" customFormat="1" ht="16.5" x14ac:dyDescent="0.3">
      <c r="A30" s="36"/>
      <c r="B30" s="37"/>
      <c r="C30" s="43"/>
      <c r="D30" s="14" t="str">
        <f>IFERROR(INDEX(Productos!A:D,MATCH('pag1'!A30,Productos!A:A,0),'pag1'!$M$2),"")</f>
        <v/>
      </c>
      <c r="E30" s="15" t="str">
        <f t="shared" si="0"/>
        <v/>
      </c>
      <c r="F30" s="41" t="str">
        <f t="shared" si="1"/>
        <v/>
      </c>
      <c r="G30" s="15" t="str">
        <f t="shared" si="2"/>
        <v/>
      </c>
    </row>
    <row r="31" spans="1:7" s="16" customFormat="1" ht="16.5" x14ac:dyDescent="0.3">
      <c r="A31" s="36"/>
      <c r="B31" s="37"/>
      <c r="C31" s="43"/>
      <c r="D31" s="14" t="str">
        <f>IFERROR(INDEX(Productos!A:D,MATCH('pag1'!A31,Productos!A:A,0),'pag1'!$M$2),"")</f>
        <v/>
      </c>
      <c r="E31" s="15" t="str">
        <f t="shared" si="0"/>
        <v/>
      </c>
      <c r="F31" s="41" t="str">
        <f t="shared" si="1"/>
        <v/>
      </c>
      <c r="G31" s="15" t="str">
        <f t="shared" si="2"/>
        <v/>
      </c>
    </row>
    <row r="32" spans="1:7" s="16" customFormat="1" ht="16.5" x14ac:dyDescent="0.3">
      <c r="A32" s="36"/>
      <c r="B32" s="37"/>
      <c r="C32" s="43"/>
      <c r="D32" s="14" t="str">
        <f>IFERROR(INDEX(Productos!A:D,MATCH('pag1'!A32,Productos!A:A,0),'pag1'!$M$2),"")</f>
        <v/>
      </c>
      <c r="E32" s="15" t="str">
        <f t="shared" si="0"/>
        <v/>
      </c>
      <c r="F32" s="41" t="str">
        <f t="shared" si="1"/>
        <v/>
      </c>
      <c r="G32" s="15" t="str">
        <f t="shared" si="2"/>
        <v/>
      </c>
    </row>
    <row r="33" spans="1:7" s="16" customFormat="1" ht="16.5" x14ac:dyDescent="0.3">
      <c r="A33" s="36"/>
      <c r="B33" s="37"/>
      <c r="C33" s="43"/>
      <c r="D33" s="14" t="str">
        <f>IFERROR(INDEX(Productos!A:D,MATCH('pag1'!A33,Productos!A:A,0),'pag1'!$M$2),"")</f>
        <v/>
      </c>
      <c r="E33" s="15" t="str">
        <f t="shared" si="0"/>
        <v/>
      </c>
      <c r="F33" s="41" t="str">
        <f t="shared" si="1"/>
        <v/>
      </c>
      <c r="G33" s="15" t="str">
        <f t="shared" si="2"/>
        <v/>
      </c>
    </row>
    <row r="34" spans="1:7" s="16" customFormat="1" ht="16.5" x14ac:dyDescent="0.3">
      <c r="A34" s="36"/>
      <c r="B34" s="37"/>
      <c r="C34" s="43"/>
      <c r="D34" s="14" t="str">
        <f>IFERROR(INDEX(Productos!A:D,MATCH('pag1'!A34,Productos!A:A,0),'pag1'!$M$2),"")</f>
        <v/>
      </c>
      <c r="E34" s="15" t="str">
        <f t="shared" si="0"/>
        <v/>
      </c>
      <c r="F34" s="41" t="str">
        <f t="shared" si="1"/>
        <v/>
      </c>
      <c r="G34" s="15" t="str">
        <f t="shared" si="2"/>
        <v/>
      </c>
    </row>
    <row r="35" spans="1:7" s="16" customFormat="1" ht="16.5" x14ac:dyDescent="0.3">
      <c r="A35" s="36"/>
      <c r="B35" s="37"/>
      <c r="C35" s="43"/>
      <c r="D35" s="14" t="str">
        <f>IFERROR(INDEX(Productos!A:D,MATCH('pag1'!A35,Productos!A:A,0),'pag1'!$M$2),"")</f>
        <v/>
      </c>
      <c r="E35" s="15" t="str">
        <f t="shared" si="0"/>
        <v/>
      </c>
      <c r="F35" s="41" t="str">
        <f t="shared" si="1"/>
        <v/>
      </c>
      <c r="G35" s="15" t="str">
        <f t="shared" si="2"/>
        <v/>
      </c>
    </row>
    <row r="36" spans="1:7" s="16" customFormat="1" ht="16.5" x14ac:dyDescent="0.3">
      <c r="A36" s="36"/>
      <c r="B36" s="37"/>
      <c r="C36" s="43"/>
      <c r="D36" s="14" t="str">
        <f>IFERROR(INDEX(Productos!A:D,MATCH('pag1'!A36,Productos!A:A,0),'pag1'!$M$2),"")</f>
        <v/>
      </c>
      <c r="E36" s="15" t="str">
        <f t="shared" si="0"/>
        <v/>
      </c>
      <c r="F36" s="41" t="str">
        <f t="shared" si="1"/>
        <v/>
      </c>
      <c r="G36" s="15" t="str">
        <f t="shared" si="2"/>
        <v/>
      </c>
    </row>
    <row r="37" spans="1:7" s="16" customFormat="1" ht="16.5" x14ac:dyDescent="0.3">
      <c r="A37" s="36"/>
      <c r="B37" s="37"/>
      <c r="C37" s="43"/>
      <c r="D37" s="14" t="str">
        <f>IFERROR(INDEX(Productos!A:D,MATCH('pag1'!A37,Productos!A:A,0),'pag1'!$M$2),"")</f>
        <v/>
      </c>
      <c r="E37" s="15" t="str">
        <f t="shared" si="0"/>
        <v/>
      </c>
      <c r="F37" s="41" t="str">
        <f t="shared" si="1"/>
        <v/>
      </c>
      <c r="G37" s="15" t="str">
        <f t="shared" si="2"/>
        <v/>
      </c>
    </row>
    <row r="38" spans="1:7" s="16" customFormat="1" ht="16.5" x14ac:dyDescent="0.3">
      <c r="A38" s="36"/>
      <c r="B38" s="37"/>
      <c r="C38" s="43"/>
      <c r="D38" s="14" t="str">
        <f>IFERROR(INDEX(Productos!A:D,MATCH('pag1'!A38,Productos!A:A,0),'pag1'!$M$2),"")</f>
        <v/>
      </c>
      <c r="E38" s="15" t="str">
        <f t="shared" si="0"/>
        <v/>
      </c>
      <c r="F38" s="41" t="str">
        <f t="shared" si="1"/>
        <v/>
      </c>
      <c r="G38" s="15" t="str">
        <f t="shared" si="2"/>
        <v/>
      </c>
    </row>
    <row r="39" spans="1:7" s="16" customFormat="1" ht="16.5" x14ac:dyDescent="0.3">
      <c r="A39" s="36"/>
      <c r="B39" s="37"/>
      <c r="C39" s="43"/>
      <c r="D39" s="14" t="str">
        <f>IFERROR(INDEX(Productos!A:D,MATCH('pag1'!A39,Productos!A:A,0),'pag1'!$M$2),"")</f>
        <v/>
      </c>
      <c r="E39" s="15" t="str">
        <f t="shared" si="0"/>
        <v/>
      </c>
      <c r="F39" s="41" t="str">
        <f t="shared" si="1"/>
        <v/>
      </c>
      <c r="G39" s="15" t="str">
        <f t="shared" si="2"/>
        <v/>
      </c>
    </row>
    <row r="40" spans="1:7" s="16" customFormat="1" ht="16.5" x14ac:dyDescent="0.3">
      <c r="A40" s="36"/>
      <c r="B40" s="37"/>
      <c r="C40" s="43"/>
      <c r="D40" s="14" t="str">
        <f>IFERROR(INDEX(Productos!A:D,MATCH('pag1'!A40,Productos!A:A,0),'pag1'!$M$2),"")</f>
        <v/>
      </c>
      <c r="E40" s="15" t="str">
        <f t="shared" si="0"/>
        <v/>
      </c>
      <c r="F40" s="41" t="str">
        <f t="shared" si="1"/>
        <v/>
      </c>
      <c r="G40" s="15" t="str">
        <f t="shared" si="2"/>
        <v/>
      </c>
    </row>
    <row r="41" spans="1:7" s="16" customFormat="1" ht="16.5" x14ac:dyDescent="0.3">
      <c r="A41" s="36"/>
      <c r="B41" s="37"/>
      <c r="C41" s="43"/>
      <c r="D41" s="14" t="str">
        <f>IFERROR(INDEX(Productos!A:D,MATCH('pag1'!A41,Productos!A:A,0),'pag1'!$M$2),"")</f>
        <v/>
      </c>
      <c r="E41" s="15" t="str">
        <f t="shared" si="0"/>
        <v/>
      </c>
      <c r="F41" s="41" t="str">
        <f t="shared" si="1"/>
        <v/>
      </c>
      <c r="G41" s="15" t="str">
        <f t="shared" si="2"/>
        <v/>
      </c>
    </row>
    <row r="42" spans="1:7" s="16" customFormat="1" ht="16.5" x14ac:dyDescent="0.3">
      <c r="A42" s="36"/>
      <c r="B42" s="37"/>
      <c r="C42" s="43"/>
      <c r="D42" s="14" t="str">
        <f>IFERROR(INDEX(Productos!A:D,MATCH('pag1'!A42,Productos!A:A,0),'pag1'!$M$2),"")</f>
        <v/>
      </c>
      <c r="E42" s="15" t="str">
        <f t="shared" si="0"/>
        <v/>
      </c>
      <c r="F42" s="41" t="str">
        <f t="shared" si="1"/>
        <v/>
      </c>
      <c r="G42" s="15" t="str">
        <f t="shared" si="2"/>
        <v/>
      </c>
    </row>
    <row r="43" spans="1:7" s="16" customFormat="1" ht="16.5" x14ac:dyDescent="0.3">
      <c r="A43" s="36"/>
      <c r="B43" s="37"/>
      <c r="C43" s="43"/>
      <c r="D43" s="14" t="str">
        <f>IFERROR(INDEX(Productos!A:D,MATCH('pag1'!A43,Productos!A:A,0),'pag1'!$M$2),"")</f>
        <v/>
      </c>
      <c r="E43" s="15" t="str">
        <f t="shared" si="0"/>
        <v/>
      </c>
      <c r="F43" s="41" t="str">
        <f t="shared" si="1"/>
        <v/>
      </c>
      <c r="G43" s="15" t="str">
        <f t="shared" si="2"/>
        <v/>
      </c>
    </row>
    <row r="44" spans="1:7" s="16" customFormat="1" ht="5.25" customHeight="1" x14ac:dyDescent="0.3">
      <c r="A44" s="36"/>
      <c r="B44" s="37"/>
      <c r="C44" s="25"/>
      <c r="D44" s="14"/>
      <c r="E44" s="15"/>
      <c r="F44" s="41"/>
      <c r="G44" s="13"/>
    </row>
    <row r="45" spans="1:7" s="16" customFormat="1" ht="2.25" customHeight="1" x14ac:dyDescent="0.3">
      <c r="A45" s="23"/>
      <c r="B45" s="24"/>
      <c r="C45" s="25"/>
      <c r="D45" s="18"/>
      <c r="E45" s="18"/>
      <c r="F45" s="18"/>
      <c r="G45" s="18"/>
    </row>
    <row r="46" spans="1:7" ht="16.5" x14ac:dyDescent="0.3">
      <c r="A46" s="32"/>
      <c r="B46" s="32"/>
      <c r="C46" s="32"/>
      <c r="D46" s="33" t="s">
        <v>17</v>
      </c>
      <c r="E46" s="33"/>
      <c r="F46" s="26" t="s">
        <v>18</v>
      </c>
      <c r="G46" s="27">
        <f>SUM(E17:E45)</f>
        <v>0</v>
      </c>
    </row>
    <row r="47" spans="1:7" ht="16.5" x14ac:dyDescent="0.3">
      <c r="A47" s="60" t="s">
        <v>19</v>
      </c>
      <c r="B47" s="61"/>
      <c r="C47" s="62"/>
      <c r="D47" s="34"/>
      <c r="E47" s="34"/>
      <c r="F47" s="28" t="s">
        <v>20</v>
      </c>
      <c r="G47" s="29">
        <f>G46*K5</f>
        <v>0</v>
      </c>
    </row>
    <row r="48" spans="1:7" ht="17.25" thickBot="1" x14ac:dyDescent="0.35">
      <c r="A48" s="63"/>
      <c r="B48" s="64"/>
      <c r="C48" s="65"/>
      <c r="D48" s="35"/>
      <c r="E48" s="35"/>
      <c r="F48" s="30" t="s">
        <v>16</v>
      </c>
      <c r="G48" s="31">
        <f>+G46+G47</f>
        <v>0</v>
      </c>
    </row>
    <row r="49" spans="1:7" ht="16.5" x14ac:dyDescent="0.3">
      <c r="A49" s="49" t="s">
        <v>1128</v>
      </c>
      <c r="B49" s="50"/>
      <c r="C49" s="51"/>
      <c r="D49" s="35"/>
      <c r="E49" s="35"/>
      <c r="F49" s="19"/>
      <c r="G49" s="19"/>
    </row>
    <row r="50" spans="1:7" ht="17.25" customHeight="1" x14ac:dyDescent="0.3">
      <c r="A50" s="49" t="s">
        <v>1129</v>
      </c>
      <c r="B50" s="50"/>
      <c r="C50" s="51"/>
      <c r="D50" s="35"/>
      <c r="E50" s="35"/>
      <c r="F50" s="19"/>
      <c r="G50" s="19"/>
    </row>
    <row r="51" spans="1:7" ht="16.5" x14ac:dyDescent="0.3">
      <c r="A51" s="66" t="s">
        <v>21</v>
      </c>
      <c r="B51" s="67"/>
      <c r="C51" s="68"/>
      <c r="D51" s="35"/>
      <c r="E51" s="35"/>
      <c r="F51" s="19"/>
      <c r="G51" s="19"/>
    </row>
    <row r="52" spans="1:7" x14ac:dyDescent="0.25">
      <c r="A52" s="49"/>
      <c r="B52" s="50"/>
      <c r="C52" s="51"/>
      <c r="D52" s="19"/>
      <c r="E52" s="19"/>
      <c r="F52" s="19"/>
      <c r="G52" s="19"/>
    </row>
    <row r="53" spans="1:7" x14ac:dyDescent="0.25">
      <c r="A53" s="52" t="s">
        <v>22</v>
      </c>
      <c r="B53" s="53"/>
      <c r="C53" s="54"/>
      <c r="D53" s="19"/>
      <c r="E53" s="19"/>
      <c r="F53" s="55"/>
      <c r="G53" s="55"/>
    </row>
    <row r="54" spans="1:7" x14ac:dyDescent="0.25">
      <c r="A54" s="49" t="s">
        <v>1126</v>
      </c>
      <c r="B54" s="50"/>
      <c r="C54" s="51"/>
      <c r="D54" s="19"/>
      <c r="E54" s="19"/>
      <c r="F54" s="56"/>
      <c r="G54" s="56"/>
    </row>
    <row r="55" spans="1:7" x14ac:dyDescent="0.25">
      <c r="A55" s="57"/>
      <c r="B55" s="58"/>
      <c r="C55" s="59"/>
      <c r="D55" s="19"/>
      <c r="E55" s="19"/>
      <c r="F55" s="19"/>
      <c r="G55" s="19"/>
    </row>
    <row r="56" spans="1:7" x14ac:dyDescent="0.25">
      <c r="A56" s="19"/>
      <c r="B56" s="19"/>
      <c r="C56" s="19"/>
      <c r="D56" s="19"/>
      <c r="E56" s="19"/>
      <c r="F56" s="19"/>
      <c r="G56" s="19"/>
    </row>
    <row r="57" spans="1:7" x14ac:dyDescent="0.25">
      <c r="A57" s="46" t="s">
        <v>23</v>
      </c>
      <c r="B57" s="46"/>
      <c r="C57" s="46"/>
      <c r="D57" s="46"/>
      <c r="E57" s="46"/>
      <c r="F57" s="46"/>
      <c r="G57" s="46"/>
    </row>
    <row r="58" spans="1:7" x14ac:dyDescent="0.25">
      <c r="A58" s="47" t="str">
        <f>CONCATENATE(A1," | ",A5," | ",A6)</f>
        <v>EMPRESA XYZ | Teléfono: 2535-2575 | E-mail: miempresa@gmail.com</v>
      </c>
      <c r="B58" s="47"/>
      <c r="C58" s="47"/>
      <c r="D58" s="47"/>
      <c r="E58" s="47"/>
      <c r="F58" s="47"/>
      <c r="G58" s="47"/>
    </row>
    <row r="59" spans="1:7" ht="17.25" x14ac:dyDescent="0.3">
      <c r="A59" s="48" t="s">
        <v>24</v>
      </c>
      <c r="B59" s="48"/>
      <c r="C59" s="48"/>
      <c r="D59" s="48"/>
      <c r="E59" s="48"/>
      <c r="F59" s="48"/>
      <c r="G59" s="48"/>
    </row>
  </sheetData>
  <sheetProtection algorithmName="SHA-512" hashValue="adhl5cfURsudH8qGvCJuJ0ECAFDMEU+kn12PWpoBaklSm6kaEogfznST5r1eGC6QYEHfwZER1iRw5IJ1nzW3LA==" saltValue="/h1UvYBQXdM1YfuZDaN3uA==" spinCount="100000" sheet="1" formatCells="0" formatColumns="0" formatRows="0"/>
  <mergeCells count="20">
    <mergeCell ref="K4:L4"/>
    <mergeCell ref="K5:L5"/>
    <mergeCell ref="A1:B1"/>
    <mergeCell ref="F1:G1"/>
    <mergeCell ref="K2:L2"/>
    <mergeCell ref="K1:L1"/>
    <mergeCell ref="A47:C47"/>
    <mergeCell ref="A48:C48"/>
    <mergeCell ref="A49:C49"/>
    <mergeCell ref="A50:C50"/>
    <mergeCell ref="A51:C51"/>
    <mergeCell ref="A57:G57"/>
    <mergeCell ref="A58:G58"/>
    <mergeCell ref="A59:G59"/>
    <mergeCell ref="A52:C52"/>
    <mergeCell ref="A53:C53"/>
    <mergeCell ref="F53:G53"/>
    <mergeCell ref="A54:C54"/>
    <mergeCell ref="F54:G54"/>
    <mergeCell ref="A55:C55"/>
  </mergeCells>
  <conditionalFormatting sqref="A17:G45">
    <cfRule type="expression" dxfId="0" priority="1">
      <formula>MOD(ROW(),2)=1</formula>
    </cfRule>
  </conditionalFormatting>
  <printOptions horizontalCentered="1"/>
  <pageMargins left="0.39370078740157483" right="0.39370078740157483" top="0.62992125984251968" bottom="0.51181102362204722" header="0.51181102362204722" footer="0.23622047244094491"/>
  <pageSetup scale="87" fitToHeight="0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467ABE-3957-4AAA-B6A9-14FC1EF7E443}">
          <x14:formula1>
            <xm:f>Productos!$C$1:$D$1</xm:f>
          </x14:formula1>
          <xm:sqref>K2:L2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79896-084C-48C5-80DC-4DC9151B1120}">
  <sheetPr codeName="Hoja4"/>
  <dimension ref="A3:L17"/>
  <sheetViews>
    <sheetView showGridLines="0" tabSelected="1" workbookViewId="0"/>
  </sheetViews>
  <sheetFormatPr baseColWidth="10" defaultRowHeight="16.5" x14ac:dyDescent="0.3"/>
  <sheetData>
    <row r="3" spans="1:12" ht="48" customHeight="1" x14ac:dyDescent="0.3">
      <c r="A3" s="75" t="s">
        <v>1130</v>
      </c>
      <c r="B3" s="75"/>
      <c r="C3" s="75"/>
      <c r="D3" s="75"/>
      <c r="E3" s="75"/>
      <c r="F3" s="75"/>
      <c r="G3" s="75"/>
      <c r="H3" s="75"/>
      <c r="I3" s="75"/>
      <c r="J3" s="39"/>
      <c r="K3" s="39"/>
      <c r="L3" s="39"/>
    </row>
    <row r="4" spans="1:12" ht="16.5" customHeight="1" x14ac:dyDescent="0.3">
      <c r="G4" s="39"/>
      <c r="H4" s="39"/>
      <c r="I4" s="39"/>
      <c r="J4" s="39"/>
      <c r="K4" s="39"/>
      <c r="L4" s="39"/>
    </row>
    <row r="5" spans="1:12" ht="16.5" customHeight="1" x14ac:dyDescent="0.3">
      <c r="G5" s="39"/>
      <c r="H5" s="39"/>
      <c r="I5" s="39"/>
      <c r="J5" s="39"/>
      <c r="K5" s="39"/>
      <c r="L5" s="39"/>
    </row>
    <row r="6" spans="1:12" ht="16.5" customHeight="1" x14ac:dyDescent="0.3">
      <c r="G6" s="39"/>
      <c r="H6" s="39"/>
      <c r="I6" s="39"/>
      <c r="J6" s="39"/>
      <c r="K6" s="39"/>
      <c r="L6" s="39"/>
    </row>
    <row r="7" spans="1:12" ht="16.5" customHeight="1" x14ac:dyDescent="0.3">
      <c r="G7" s="39"/>
      <c r="H7" s="39"/>
      <c r="I7" s="39"/>
      <c r="J7" s="39"/>
      <c r="K7" s="39"/>
      <c r="L7" s="39"/>
    </row>
    <row r="8" spans="1:12" ht="16.5" customHeight="1" x14ac:dyDescent="0.3">
      <c r="G8" s="39"/>
      <c r="H8" s="39"/>
      <c r="I8" s="39"/>
      <c r="J8" s="39"/>
      <c r="K8" s="39"/>
      <c r="L8" s="39"/>
    </row>
    <row r="9" spans="1:12" ht="16.5" customHeight="1" x14ac:dyDescent="0.3">
      <c r="G9" s="39"/>
      <c r="H9" s="39"/>
      <c r="I9" s="39"/>
      <c r="J9" s="39"/>
      <c r="K9" s="39"/>
      <c r="L9" s="39"/>
    </row>
    <row r="10" spans="1:12" ht="16.5" customHeight="1" x14ac:dyDescent="0.3">
      <c r="G10" s="39"/>
      <c r="H10" s="39"/>
      <c r="I10" s="39"/>
      <c r="J10" s="39"/>
      <c r="K10" s="39"/>
      <c r="L10" s="39"/>
    </row>
    <row r="11" spans="1:12" ht="16.5" customHeight="1" x14ac:dyDescent="0.3">
      <c r="G11" s="39"/>
      <c r="H11" s="39"/>
      <c r="I11" s="39"/>
      <c r="J11" s="39"/>
      <c r="K11" s="39"/>
      <c r="L11" s="39"/>
    </row>
    <row r="12" spans="1:12" ht="16.5" customHeight="1" x14ac:dyDescent="0.3">
      <c r="G12" s="39"/>
      <c r="H12" s="39"/>
      <c r="I12" s="39"/>
      <c r="J12" s="39"/>
      <c r="K12" s="39"/>
      <c r="L12" s="39"/>
    </row>
    <row r="13" spans="1:12" ht="16.5" customHeight="1" x14ac:dyDescent="0.3">
      <c r="G13" s="39"/>
      <c r="H13" s="39"/>
      <c r="I13" s="39"/>
      <c r="J13" s="39"/>
      <c r="K13" s="39"/>
      <c r="L13" s="39"/>
    </row>
    <row r="14" spans="1:12" ht="16.5" customHeight="1" x14ac:dyDescent="0.3">
      <c r="G14" s="39"/>
      <c r="H14" s="39"/>
      <c r="I14" s="39"/>
      <c r="J14" s="39"/>
      <c r="K14" s="39"/>
      <c r="L14" s="39"/>
    </row>
    <row r="15" spans="1:12" ht="16.5" customHeight="1" x14ac:dyDescent="0.3">
      <c r="G15" s="39"/>
      <c r="H15" s="39"/>
      <c r="I15" s="39"/>
      <c r="J15" s="39"/>
      <c r="K15" s="39"/>
      <c r="L15" s="39"/>
    </row>
    <row r="16" spans="1:12" ht="16.5" customHeight="1" x14ac:dyDescent="0.3">
      <c r="G16" s="39"/>
      <c r="H16" s="39"/>
      <c r="I16" s="39"/>
      <c r="J16" s="39"/>
      <c r="K16" s="39"/>
      <c r="L16" s="39"/>
    </row>
    <row r="17" spans="7:12" ht="16.5" customHeight="1" x14ac:dyDescent="0.3">
      <c r="G17" s="39"/>
      <c r="H17" s="39"/>
      <c r="I17" s="39"/>
      <c r="J17" s="39"/>
      <c r="K17" s="39"/>
      <c r="L17" s="39"/>
    </row>
  </sheetData>
  <mergeCells count="1">
    <mergeCell ref="A3:I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Productos</vt:lpstr>
      <vt:lpstr>Clientes</vt:lpstr>
      <vt:lpstr>pag1</vt:lpstr>
      <vt:lpstr>Menu</vt:lpstr>
      <vt:lpstr>'pag1'!Área_de_impresión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Torres</dc:creator>
  <cp:lastModifiedBy>Luis Torres</cp:lastModifiedBy>
  <cp:lastPrinted>2020-07-12T22:39:51Z</cp:lastPrinted>
  <dcterms:created xsi:type="dcterms:W3CDTF">2020-02-29T04:28:56Z</dcterms:created>
  <dcterms:modified xsi:type="dcterms:W3CDTF">2020-07-12T23:30:09Z</dcterms:modified>
</cp:coreProperties>
</file>