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R:\L10N\MS\#DRIVES\o\#TEMPLATES\O15_CP\WORKING\20130429_FY13HOApr4\06_ToDTP\Batch_03\3082\"/>
    </mc:Choice>
  </mc:AlternateContent>
  <bookViews>
    <workbookView xWindow="0" yWindow="0" windowWidth="24000" windowHeight="14235"/>
  </bookViews>
  <sheets>
    <sheet name="BALANCE GENERAL" sheetId="1" r:id="rId1"/>
  </sheets>
  <definedNames>
    <definedName name="_xlnm.Print_Titles" localSheetId="0">'BALANCE GENERAL'!$13:$13</definedName>
  </definedNames>
  <calcPr calcId="152511"/>
</workbook>
</file>

<file path=xl/calcChain.xml><?xml version="1.0" encoding="utf-8"?>
<calcChain xmlns="http://schemas.openxmlformats.org/spreadsheetml/2006/main">
  <c r="F6" i="1" l="1"/>
  <c r="C6" i="1"/>
  <c r="C5" i="1"/>
  <c r="F5" i="1"/>
  <c r="F20" i="1"/>
  <c r="F27" i="1"/>
  <c r="C32" i="1"/>
  <c r="C22" i="1"/>
  <c r="C34" i="1" l="1"/>
  <c r="F29" i="1"/>
</calcChain>
</file>

<file path=xl/sharedStrings.xml><?xml version="1.0" encoding="utf-8"?>
<sst xmlns="http://schemas.openxmlformats.org/spreadsheetml/2006/main" count="44" uniqueCount="40">
  <si>
    <t>  </t>
  </si>
  <si>
    <t>Efectivo y equivalente de efectivo</t>
  </si>
  <si>
    <t>Inversiones a corto plazo</t>
  </si>
  <si>
    <t>Inventarios</t>
  </si>
  <si>
    <t>Impuestos sobre la renta diferidos</t>
  </si>
  <si>
    <t>Gastos prepagos y otros activos corrientes</t>
  </si>
  <si>
    <t>Total activos corrientes</t>
  </si>
  <si>
    <t>Menos amortización acumulada</t>
  </si>
  <si>
    <t>Inversiones efectivo a largo plazo</t>
  </si>
  <si>
    <t>Inversiones en capital</t>
  </si>
  <si>
    <t>Otros activos</t>
  </si>
  <si>
    <t>Créditos pendientes y deudas de parte actual a largo plazo</t>
  </si>
  <si>
    <t>Cuentas por pagar y gastos acumulados</t>
  </si>
  <si>
    <t>Impuestos sobre la renta pendientes</t>
  </si>
  <si>
    <t>Deudas a largo plazo</t>
  </si>
  <si>
    <t>Costos de jubilación acumulados</t>
  </si>
  <si>
    <t>Créditos diferidos y otros pasivos</t>
  </si>
  <si>
    <t>Cuentas por cobrar</t>
  </si>
  <si>
    <t>Total otros activos</t>
  </si>
  <si>
    <t>Contribuciones a planes de pensión y participación en los beneficios acumulados</t>
  </si>
  <si>
    <t>Propiedad, planta y equipamiento al precio de costo</t>
  </si>
  <si>
    <t>Propiedad, planta y equipamiento al precio de costo (neto)</t>
  </si>
  <si>
    <t xml:space="preserve"> </t>
  </si>
  <si>
    <t>BALANCE GENERAL</t>
  </si>
  <si>
    <t>FECHA</t>
  </si>
  <si>
    <t>A. DATUM CORPORATION</t>
  </si>
  <si>
    <t>RELACIÓN ACTUAL</t>
  </si>
  <si>
    <t>RELACIÓN RÁPIDA</t>
  </si>
  <si>
    <t>RELACIÓN DE EFECTIVO</t>
  </si>
  <si>
    <t>FONDO DE OPERACIONES</t>
  </si>
  <si>
    <t>ACTIVOS</t>
  </si>
  <si>
    <t>PASIVOS</t>
  </si>
  <si>
    <t>TOTAL PASIVOS</t>
  </si>
  <si>
    <t>TOTAL ACTIVOS</t>
  </si>
  <si>
    <t>ACTIVOS CORRIENTES</t>
  </si>
  <si>
    <t>OTROS ACTIVOS</t>
  </si>
  <si>
    <t>PASIVOS CORRIENTES</t>
  </si>
  <si>
    <t>OTROS PASIVOS</t>
  </si>
  <si>
    <t>TOTAL PASIVOS CORRIENTE</t>
  </si>
  <si>
    <t>TOTAL OTROS PASIVOS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</si>
</sst>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#,##0.00\ &quot;€&quot;;[Red]\-#,##0.00\ &quot;€&quot;"/>
    <numFmt numFmtId="164" formatCode="_(* #,##0.00_);_(* \(#,##0.00\);_(* &quot;-&quot;??_);_(@_)"/>
    <numFmt numFmtId="165" formatCode="#,##0.00\ &quot;€&quot;"/>
  </numFmts>
  <fonts count="16" x14ac:knownFonts="1">
    <font>
      <sz val="10"/>
      <name val="Franklin Gothic Medium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8"/>
      <name val="Franklin Gothic Medium"/>
      <family val="2"/>
      <scheme val="minor"/>
    </font>
    <font>
      <sz val="10"/>
      <name val="Franklin Gothic Medium"/>
      <family val="2"/>
      <scheme val="minor"/>
    </font>
    <font>
      <b/>
      <sz val="12"/>
      <name val="Franklin Gothic Medium"/>
      <family val="2"/>
      <scheme val="minor"/>
    </font>
    <font>
      <sz val="12"/>
      <name val="Franklin Gothic Medium"/>
      <family val="2"/>
      <scheme val="minor"/>
    </font>
    <font>
      <b/>
      <sz val="8"/>
      <name val="Franklin Gothic Medium"/>
      <family val="2"/>
      <scheme val="minor"/>
    </font>
    <font>
      <sz val="9"/>
      <name val="Franklin Gothic Medium"/>
      <family val="2"/>
      <scheme val="minor"/>
    </font>
    <font>
      <sz val="48"/>
      <color theme="3"/>
      <name val="Franklin Gothic Medium"/>
      <family val="2"/>
      <scheme val="major"/>
    </font>
    <font>
      <sz val="24"/>
      <name val="Franklin Gothic Medium"/>
      <family val="2"/>
      <scheme val="minor"/>
    </font>
    <font>
      <sz val="11"/>
      <color theme="3"/>
      <name val="Franklin Gothic Medium"/>
      <family val="2"/>
      <scheme val="minor"/>
    </font>
    <font>
      <sz val="20"/>
      <color theme="3"/>
      <name val="Franklin Gothic Medium"/>
      <family val="2"/>
      <scheme val="minor"/>
    </font>
    <font>
      <sz val="14"/>
      <color theme="3"/>
      <name val="Franklin Gothic Medium"/>
      <family val="2"/>
      <scheme val="minor"/>
    </font>
    <font>
      <outline/>
      <shadow/>
      <sz val="10"/>
      <name val="Franklin Gothic Medium"/>
      <family val="2"/>
      <scheme val="minor"/>
    </font>
    <font>
      <condense/>
      <extend/>
      <outline/>
      <shadow/>
      <sz val="10"/>
      <name val="Franklin Gothic Medium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ck">
        <color theme="1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5"/>
      </bottom>
      <diagonal/>
    </border>
  </borders>
  <cellStyleXfs count="6">
    <xf numFmtId="0" fontId="0" fillId="0" borderId="0">
      <alignment vertical="center"/>
    </xf>
    <xf numFmtId="164" fontId="2" fillId="0" borderId="0" applyFont="0" applyFill="0" applyBorder="0" applyAlignment="0" applyProtection="0"/>
    <xf numFmtId="0" fontId="9" fillId="0" borderId="1" applyNumberFormat="0" applyFill="0" applyProtection="0"/>
    <xf numFmtId="0" fontId="11" fillId="0" borderId="0" applyNumberFormat="0" applyFill="0" applyProtection="0">
      <alignment vertical="center"/>
    </xf>
    <xf numFmtId="0" fontId="12" fillId="0" borderId="0" applyNumberFormat="0" applyFill="0" applyBorder="0" applyProtection="0">
      <alignment vertical="center"/>
    </xf>
    <xf numFmtId="0" fontId="13" fillId="0" borderId="0" applyNumberFormat="0" applyFill="0" applyBorder="0" applyProtection="0">
      <alignment vertical="center"/>
    </xf>
  </cellStyleXfs>
  <cellXfs count="49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4" fillId="0" borderId="0" xfId="0" applyFont="1" applyBorder="1">
      <alignment vertical="center"/>
    </xf>
    <xf numFmtId="0" fontId="6" fillId="0" borderId="0" xfId="0" applyFont="1" applyBorder="1" applyAlignment="1"/>
    <xf numFmtId="0" fontId="7" fillId="0" borderId="0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7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Border="1">
      <alignment vertical="center"/>
    </xf>
    <xf numFmtId="0" fontId="8" fillId="0" borderId="0" xfId="0" applyFont="1" applyBorder="1" applyAlignment="1"/>
    <xf numFmtId="0" fontId="4" fillId="0" borderId="0" xfId="0" applyFont="1" applyAlignment="1"/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11" fillId="0" borderId="0" xfId="3" applyAlignment="1">
      <alignment horizontal="right" vertical="center"/>
    </xf>
    <xf numFmtId="0" fontId="11" fillId="0" borderId="0" xfId="3" applyAlignment="1">
      <alignment wrapText="1"/>
    </xf>
    <xf numFmtId="0" fontId="11" fillId="0" borderId="0" xfId="3" applyAlignment="1"/>
    <xf numFmtId="0" fontId="11" fillId="0" borderId="0" xfId="3">
      <alignment vertical="center"/>
    </xf>
    <xf numFmtId="0" fontId="11" fillId="0" borderId="0" xfId="3" applyAlignment="1">
      <alignment horizontal="left" vertical="center" indent="1"/>
    </xf>
    <xf numFmtId="0" fontId="10" fillId="0" borderId="2" xfId="0" applyFont="1" applyBorder="1" applyAlignment="1">
      <alignment horizontal="left" vertical="center"/>
    </xf>
    <xf numFmtId="39" fontId="10" fillId="0" borderId="2" xfId="1" applyNumberFormat="1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39" fontId="10" fillId="0" borderId="3" xfId="1" applyNumberFormat="1" applyFont="1" applyBorder="1" applyAlignment="1">
      <alignment horizontal="left" vertical="center"/>
    </xf>
    <xf numFmtId="0" fontId="9" fillId="0" borderId="1" xfId="2"/>
    <xf numFmtId="0" fontId="12" fillId="0" borderId="4" xfId="4" applyBorder="1" applyAlignment="1">
      <alignment wrapText="1"/>
    </xf>
    <xf numFmtId="0" fontId="12" fillId="0" borderId="5" xfId="4" applyBorder="1" applyAlignment="1"/>
    <xf numFmtId="0" fontId="13" fillId="0" borderId="5" xfId="5" applyBorder="1">
      <alignment vertical="center"/>
    </xf>
    <xf numFmtId="0" fontId="0" fillId="0" borderId="0" xfId="0" applyFont="1" applyFill="1" applyBorder="1" applyAlignment="1">
      <alignment horizontal="left" vertical="center" wrapText="1" indent="2"/>
    </xf>
    <xf numFmtId="0" fontId="13" fillId="0" borderId="4" xfId="5" applyBorder="1" applyAlignment="1">
      <alignment vertical="center"/>
    </xf>
    <xf numFmtId="0" fontId="6" fillId="0" borderId="0" xfId="0" applyFont="1" applyFill="1" applyBorder="1" applyAlignment="1">
      <alignment horizontal="left" vertical="center" wrapText="1" indent="2"/>
    </xf>
    <xf numFmtId="0" fontId="6" fillId="0" borderId="0" xfId="0" applyFont="1" applyFill="1" applyBorder="1" applyAlignment="1">
      <alignment horizontal="left" vertical="center" indent="2"/>
    </xf>
    <xf numFmtId="0" fontId="0" fillId="0" borderId="0" xfId="0" applyFont="1">
      <alignment vertical="center"/>
    </xf>
    <xf numFmtId="8" fontId="6" fillId="0" borderId="0" xfId="0" applyNumberFormat="1" applyFont="1" applyFill="1" applyBorder="1" applyAlignment="1">
      <alignment horizontal="left" vertical="center" wrapText="1"/>
    </xf>
    <xf numFmtId="8" fontId="0" fillId="0" borderId="0" xfId="0" applyNumberFormat="1" applyFont="1" applyFill="1" applyBorder="1" applyAlignment="1">
      <alignment horizontal="left" vertical="center" wrapText="1"/>
    </xf>
    <xf numFmtId="8" fontId="13" fillId="0" borderId="5" xfId="5" applyNumberFormat="1" applyBorder="1">
      <alignment vertical="center"/>
    </xf>
    <xf numFmtId="8" fontId="13" fillId="0" borderId="4" xfId="5" applyNumberFormat="1" applyBorder="1" applyAlignment="1">
      <alignment vertical="center"/>
    </xf>
    <xf numFmtId="165" fontId="10" fillId="0" borderId="3" xfId="1" applyNumberFormat="1" applyFont="1" applyBorder="1" applyAlignment="1">
      <alignment horizontal="left" vertical="center"/>
    </xf>
    <xf numFmtId="165" fontId="6" fillId="0" borderId="0" xfId="0" applyNumberFormat="1" applyFont="1" applyFill="1" applyBorder="1" applyAlignment="1">
      <alignment horizontal="left" vertical="center" wrapText="1"/>
    </xf>
    <xf numFmtId="165" fontId="0" fillId="0" borderId="0" xfId="0" applyNumberFormat="1" applyFont="1" applyFill="1" applyBorder="1" applyAlignment="1">
      <alignment horizontal="left" vertical="center" wrapText="1"/>
    </xf>
    <xf numFmtId="165" fontId="6" fillId="0" borderId="0" xfId="0" applyNumberFormat="1" applyFont="1" applyFill="1" applyBorder="1" applyAlignment="1">
      <alignment horizontal="left" vertical="center"/>
    </xf>
    <xf numFmtId="165" fontId="0" fillId="0" borderId="0" xfId="0" applyNumberFormat="1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 wrapText="1" indent="2"/>
    </xf>
    <xf numFmtId="8" fontId="14" fillId="0" borderId="0" xfId="0" applyNumberFormat="1" applyFont="1" applyFill="1" applyBorder="1" applyAlignment="1">
      <alignment horizontal="left" vertical="center" wrapText="1"/>
    </xf>
    <xf numFmtId="165" fontId="14" fillId="0" borderId="0" xfId="0" applyNumberFormat="1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 wrapText="1" indent="2"/>
    </xf>
    <xf numFmtId="165" fontId="15" fillId="0" borderId="0" xfId="0" applyNumberFormat="1" applyFont="1" applyFill="1" applyBorder="1" applyAlignment="1">
      <alignment horizontal="left" vertical="center" wrapText="1"/>
    </xf>
    <xf numFmtId="0" fontId="3" fillId="0" borderId="0" xfId="0" applyFont="1" applyBorder="1" applyAlignment="1">
      <alignment horizontal="center" wrapText="1"/>
    </xf>
    <xf numFmtId="0" fontId="3" fillId="0" borderId="0" xfId="0" applyFont="1" applyBorder="1" applyAlignment="1">
      <alignment horizontal="center"/>
    </xf>
  </cellXfs>
  <cellStyles count="6">
    <cellStyle name="Encabezado 1" xfId="2" builtinId="16" customBuiltin="1"/>
    <cellStyle name="Encabezado 4" xfId="5" builtinId="19" customBuiltin="1"/>
    <cellStyle name="Millares" xfId="1" builtinId="3"/>
    <cellStyle name="Normal" xfId="0" builtinId="0" customBuiltin="1"/>
    <cellStyle name="Título 2" xfId="3" builtinId="17" customBuiltin="1"/>
    <cellStyle name="Título 3" xfId="4" builtinId="18" customBuiltin="1"/>
  </cellStyles>
  <dxfs count="30">
    <dxf>
      <font>
        <b val="0"/>
        <i val="0"/>
        <strike val="0"/>
        <condense/>
        <extend/>
        <outline/>
        <shadow/>
        <u val="none"/>
        <vertAlign val="baseline"/>
        <sz val="10"/>
        <color auto="1"/>
        <name val="Franklin Gothic Medium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numFmt numFmtId="166" formatCode="&quot;$&quot;#,##0.00"/>
      <alignment horizontal="left" vertical="center" textRotation="0" justifyLastLine="0" shrinkToFit="0" readingOrder="0"/>
    </dxf>
    <dxf>
      <font>
        <b val="0"/>
        <i val="0"/>
        <strike val="0"/>
        <condense/>
        <extend/>
        <outline/>
        <shadow/>
        <u val="none"/>
        <vertAlign val="baseline"/>
        <sz val="10"/>
        <color auto="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2" justifyLastLine="0" shrinkToFit="0" readingOrder="0"/>
    </dxf>
    <dxf>
      <alignment horizontal="left" vertical="center" textRotation="0" indent="2" justifyLastLine="0" shrinkToFit="0" readingOrder="0"/>
    </dxf>
    <dxf>
      <font>
        <b val="0"/>
        <i val="0"/>
        <strike val="0"/>
        <outline/>
        <shadow/>
        <u val="none"/>
        <vertAlign val="baseline"/>
        <sz val="10"/>
        <color auto="1"/>
        <name val="Franklin Gothic Medium"/>
        <scheme val="minor"/>
      </font>
      <alignment horizontal="left" vertical="center" textRotation="0" justifyLastLine="0" shrinkToFit="0" readingOrder="0"/>
    </dxf>
    <dxf>
      <alignment horizontal="left" vertical="center" textRotation="0" justifyLastLine="0" shrinkToFit="0" readingOrder="0"/>
    </dxf>
    <dxf>
      <font>
        <b/>
        <i/>
        <strike/>
        <outline/>
        <shadow/>
        <u val="none"/>
        <vertAlign val="baseline"/>
        <sz val="12"/>
        <color auto="1"/>
        <name val="Franklin Gothic Medium"/>
        <scheme val="minor"/>
      </font>
      <alignment horizontal="left" vertical="center" textRotation="0" justifyLastLine="0" shrinkToFit="0" readingOrder="0"/>
    </dxf>
    <dxf>
      <font>
        <b val="0"/>
        <i val="0"/>
        <strike val="0"/>
        <condense/>
        <extend/>
        <outline/>
        <shadow/>
        <u val="none"/>
        <vertAlign val="baseline"/>
        <sz val="10"/>
        <color auto="1"/>
        <name val="Franklin Gothic Medium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numFmt numFmtId="166" formatCode="&quot;$&quot;#,##0.00"/>
      <alignment horizontal="left" vertical="center" textRotation="0" wrapText="1" justifyLastLine="0" shrinkToFit="0" readingOrder="0"/>
    </dxf>
    <dxf>
      <font>
        <b val="0"/>
        <i val="0"/>
        <strike val="0"/>
        <condense/>
        <extend/>
        <outline/>
        <shadow/>
        <u val="none"/>
        <vertAlign val="baseline"/>
        <sz val="10"/>
        <color auto="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2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outline/>
        <shadow/>
        <u val="none"/>
        <vertAlign val="baseline"/>
        <sz val="10"/>
        <color auto="1"/>
        <name val="Franklin Gothic Medium"/>
        <scheme val="minor"/>
      </font>
      <alignment horizontal="left" vertical="center" textRotation="0" wrapText="1" justifyLastLine="0" shrinkToFit="0" readingOrder="0"/>
    </dxf>
    <dxf>
      <alignment horizontal="left" vertical="center" textRotation="0" wrapText="1" justifyLastLine="0" shrinkToFit="0" readingOrder="0"/>
    </dxf>
    <dxf>
      <font>
        <b/>
        <i/>
        <strike/>
        <outline/>
        <shadow/>
        <u val="none"/>
        <vertAlign val="baseline"/>
        <sz val="12"/>
        <color auto="1"/>
        <name val="Franklin Gothic Medium"/>
        <scheme val="minor"/>
      </font>
      <alignment horizontal="left" vertical="center" textRotation="0" wrapText="1" justifyLastLine="0" shrinkToFit="0" readingOrder="0"/>
    </dxf>
    <dxf>
      <font>
        <b val="0"/>
        <i val="0"/>
        <strike val="0"/>
        <condense/>
        <extend/>
        <outline/>
        <shadow/>
        <u val="none"/>
        <vertAlign val="baseline"/>
        <sz val="10"/>
        <color auto="1"/>
        <name val="Franklin Gothic Medium"/>
        <scheme val="minor"/>
      </font>
      <numFmt numFmtId="165" formatCode="#,##0.00\ &quot;€&quot;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numFmt numFmtId="166" formatCode="&quot;$&quot;#,##0.00"/>
      <alignment horizontal="left" vertical="center" textRotation="0" indent="0" justifyLastLine="0" shrinkToFit="0" readingOrder="0"/>
    </dxf>
    <dxf>
      <font>
        <b val="0"/>
        <i val="0"/>
        <strike val="0"/>
        <condense/>
        <extend/>
        <outline/>
        <shadow/>
        <u val="none"/>
        <vertAlign val="baseline"/>
        <sz val="10"/>
        <color auto="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2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outline/>
        <shadow/>
        <u val="none"/>
        <vertAlign val="baseline"/>
        <sz val="10"/>
        <color auto="1"/>
        <name val="Franklin Gothic Medium"/>
        <scheme val="minor"/>
      </font>
      <alignment horizontal="left" vertical="center" textRotation="0" justifyLastLine="0" shrinkToFit="0" readingOrder="0"/>
    </dxf>
    <dxf>
      <alignment horizontal="left" vertical="center" textRotation="0" justifyLastLine="0" shrinkToFit="0" readingOrder="0"/>
    </dxf>
    <dxf>
      <font>
        <b/>
        <i/>
        <strike/>
        <outline/>
        <shadow/>
        <u val="none"/>
        <vertAlign val="baseline"/>
        <sz val="12"/>
        <color auto="1"/>
        <name val="Franklin Gothic Medium"/>
        <scheme val="minor"/>
      </font>
      <alignment horizontal="left" vertical="center" textRotation="0" justifyLastLine="0" shrinkToFit="0" readingOrder="0"/>
    </dxf>
    <dxf>
      <font>
        <b val="0"/>
        <i val="0"/>
        <strike val="0"/>
        <condense/>
        <extend/>
        <outline/>
        <shadow/>
        <u val="none"/>
        <vertAlign val="baseline"/>
        <sz val="10"/>
        <color auto="1"/>
        <name val="Franklin Gothic Medium"/>
        <scheme val="minor"/>
      </font>
      <numFmt numFmtId="12" formatCode="#,##0.00\ &quot;€&quot;;[Red]\-#,##0.00\ &quot;€&quot;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alignment horizontal="left" vertical="center" textRotation="0" wrapText="1" justifyLastLine="0" shrinkToFit="0" readingOrder="0"/>
    </dxf>
    <dxf>
      <font>
        <b val="0"/>
        <i val="0"/>
        <strike val="0"/>
        <condense/>
        <extend/>
        <outline/>
        <shadow/>
        <u val="none"/>
        <vertAlign val="baseline"/>
        <sz val="10"/>
        <color auto="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2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outline/>
        <shadow/>
        <u val="none"/>
        <vertAlign val="baseline"/>
        <sz val="10"/>
        <color auto="1"/>
        <name val="Franklin Gothic Medium"/>
        <scheme val="minor"/>
      </font>
      <alignment horizontal="left" vertical="center" textRotation="0" wrapText="1" justifyLastLine="0" shrinkToFit="0" readingOrder="0"/>
    </dxf>
    <dxf>
      <alignment horizontal="left" vertical="center" textRotation="0" wrapText="1" justifyLastLine="0" shrinkToFit="0" readingOrder="0"/>
    </dxf>
    <dxf>
      <font>
        <b/>
        <i/>
        <strike/>
        <outline/>
        <shadow/>
        <u val="none"/>
        <vertAlign val="baseline"/>
        <sz val="12"/>
        <color auto="1"/>
        <name val="Franklin Gothic Medium"/>
        <scheme val="minor"/>
      </font>
      <alignment horizontal="left" vertical="center" textRotation="0" wrapText="1" justifyLastLine="0" shrinkToFit="0" readingOrder="0"/>
    </dxf>
    <dxf>
      <font>
        <b val="0"/>
        <i val="0"/>
        <color theme="1"/>
      </font>
      <border diagonalUp="0" diagonalDown="0">
        <left/>
        <right/>
        <top style="dotted">
          <color theme="1"/>
        </top>
        <bottom/>
        <vertical/>
        <horizontal/>
      </border>
    </dxf>
    <dxf>
      <font>
        <b val="0"/>
        <i val="0"/>
        <color theme="1"/>
      </font>
      <border diagonalUp="0" diagonalDown="0">
        <left/>
        <right/>
        <top/>
        <bottom/>
        <vertical/>
        <horizontal/>
      </border>
    </dxf>
  </dxfs>
  <tableStyles count="1" defaultTableStyle="Balance sheet table" defaultPivotStyle="PivotStyleLight1">
    <tableStyle name="Balance sheet table" pivot="0" count="2">
      <tableStyleElement type="wholeTable" dxfId="29"/>
      <tableStyleElement type="totalRow" dxfId="2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D3DAE5"/>
      <rgbColor rgb="00FFFF00"/>
      <rgbColor rgb="00EAEAEA"/>
      <rgbColor rgb="0000FFFF"/>
      <rgbColor rgb="00800000"/>
      <rgbColor rgb="00ECEFF4"/>
      <rgbColor rgb="00000080"/>
      <rgbColor rgb="00808000"/>
      <rgbColor rgb="00800080"/>
      <rgbColor rgb="00BBC6D7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'BALANCE GENERAL'!$B$34</c:f>
              <c:strCache>
                <c:ptCount val="1"/>
                <c:pt idx="0">
                  <c:v>TOTAL ACTIVOS</c:v>
                </c:pt>
              </c:strCache>
            </c:strRef>
          </c:tx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  <a:ln w="25400" cap="flat" cmpd="sng" algn="ctr">
              <a:noFill/>
              <a:miter lim="800000"/>
            </a:ln>
            <a:effectLst/>
          </c:spPr>
          <c:invertIfNegative val="0"/>
          <c:val>
            <c:numRef>
              <c:f>'BALANCE GENERAL'!$C$34</c:f>
              <c:numCache>
                <c:formatCode>"€"#,##0.00_);[Red]\("€"#,##0.00\)</c:formatCode>
                <c:ptCount val="1"/>
                <c:pt idx="0">
                  <c:v>23216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48"/>
        <c:axId val="245454224"/>
        <c:axId val="245454616"/>
      </c:barChart>
      <c:catAx>
        <c:axId val="245454224"/>
        <c:scaling>
          <c:orientation val="minMax"/>
        </c:scaling>
        <c:delete val="0"/>
        <c:axPos val="l"/>
        <c:numFmt formatCode=";;;" sourceLinked="0"/>
        <c:majorTickMark val="none"/>
        <c:minorTickMark val="none"/>
        <c:tickLblPos val="nextTo"/>
        <c:spPr>
          <a:noFill/>
          <a:ln w="254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5454616"/>
        <c:crosses val="autoZero"/>
        <c:auto val="1"/>
        <c:lblAlgn val="ctr"/>
        <c:lblOffset val="100"/>
        <c:noMultiLvlLbl val="0"/>
      </c:catAx>
      <c:valAx>
        <c:axId val="245454616"/>
        <c:scaling>
          <c:orientation val="minMax"/>
        </c:scaling>
        <c:delete val="0"/>
        <c:axPos val="b"/>
        <c:numFmt formatCode="#,&quot; 000&quot;;#,&quot; 000&quot;;;" sourceLinked="0"/>
        <c:majorTickMark val="out"/>
        <c:minorTickMark val="none"/>
        <c:tickLblPos val="nextTo"/>
        <c:spPr>
          <a:noFill/>
          <a:ln w="254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545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'BALANCE GENERAL'!$E$29</c:f>
              <c:strCache>
                <c:ptCount val="1"/>
                <c:pt idx="0">
                  <c:v>TOTAL PASIVOS</c:v>
                </c:pt>
              </c:strCache>
            </c:strRef>
          </c:tx>
          <c:spPr>
            <a:pattFill prst="dkVert">
              <a:fgClr>
                <a:schemeClr val="accent2"/>
              </a:fgClr>
              <a:bgClr>
                <a:schemeClr val="bg1"/>
              </a:bgClr>
            </a:pattFill>
            <a:ln w="25400" cap="flat" cmpd="sng" algn="ctr">
              <a:noFill/>
              <a:miter lim="800000"/>
            </a:ln>
            <a:effectLst/>
          </c:spPr>
          <c:invertIfNegative val="0"/>
          <c:val>
            <c:numRef>
              <c:f>'BALANCE GENERAL'!$F$29</c:f>
              <c:numCache>
                <c:formatCode>"€"#,##0.00_);[Red]\("€"#,##0.00\)</c:formatCode>
                <c:ptCount val="1"/>
                <c:pt idx="0">
                  <c:v>5952</c:v>
                </c:pt>
              </c:numCache>
            </c:numRef>
          </c:val>
        </c:ser>
        <c:ser>
          <c:idx val="1"/>
          <c:order val="1"/>
          <c:tx>
            <c:strRef>
              <c:f>'BALANCE GENERAL'!$B$34</c:f>
              <c:strCache>
                <c:ptCount val="1"/>
                <c:pt idx="0">
                  <c:v>TOTAL ACTIVOS</c:v>
                </c:pt>
              </c:strCache>
            </c:strRef>
          </c:tx>
          <c:spPr>
            <a:noFill/>
            <a:ln w="25400" cap="flat" cmpd="sng" algn="ctr">
              <a:noFill/>
              <a:miter lim="800000"/>
            </a:ln>
            <a:effectLst/>
          </c:spPr>
          <c:invertIfNegative val="0"/>
          <c:val>
            <c:numRef>
              <c:f>'BALANCE GENERAL'!$C$34</c:f>
              <c:numCache>
                <c:formatCode>"€"#,##0.00_);[Red]\("€"#,##0.00\)</c:formatCode>
                <c:ptCount val="1"/>
                <c:pt idx="0">
                  <c:v>23216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45455400"/>
        <c:axId val="245455792"/>
      </c:barChart>
      <c:catAx>
        <c:axId val="245455400"/>
        <c:scaling>
          <c:orientation val="minMax"/>
        </c:scaling>
        <c:delete val="0"/>
        <c:axPos val="l"/>
        <c:numFmt formatCode=";;;" sourceLinked="0"/>
        <c:majorTickMark val="none"/>
        <c:minorTickMark val="none"/>
        <c:tickLblPos val="nextTo"/>
        <c:spPr>
          <a:noFill/>
          <a:ln w="254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5455792"/>
        <c:crosses val="autoZero"/>
        <c:auto val="1"/>
        <c:lblAlgn val="ctr"/>
        <c:lblOffset val="100"/>
        <c:noMultiLvlLbl val="0"/>
      </c:catAx>
      <c:valAx>
        <c:axId val="245455792"/>
        <c:scaling>
          <c:orientation val="minMax"/>
        </c:scaling>
        <c:delete val="0"/>
        <c:axPos val="b"/>
        <c:numFmt formatCode="#,&quot; 000&quot;;#,&quot; 000&quot;;;" sourceLinked="0"/>
        <c:majorTickMark val="out"/>
        <c:minorTickMark val="none"/>
        <c:tickLblPos val="nextTo"/>
        <c:spPr>
          <a:noFill/>
          <a:ln w="254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545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7</xdr:row>
      <xdr:rowOff>0</xdr:rowOff>
    </xdr:from>
    <xdr:to>
      <xdr:col>3</xdr:col>
      <xdr:colOff>0</xdr:colOff>
      <xdr:row>11</xdr:row>
      <xdr:rowOff>0</xdr:rowOff>
    </xdr:to>
    <xdr:graphicFrame macro="">
      <xdr:nvGraphicFramePr>
        <xdr:cNvPr id="3" name="Activos totales" descr="Gráfico de barras que muestra el pasivo actual." title="Gráfico de activos totale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7</xdr:row>
      <xdr:rowOff>0</xdr:rowOff>
    </xdr:from>
    <xdr:to>
      <xdr:col>5</xdr:col>
      <xdr:colOff>1895475</xdr:colOff>
      <xdr:row>11</xdr:row>
      <xdr:rowOff>0</xdr:rowOff>
    </xdr:to>
    <xdr:graphicFrame macro="">
      <xdr:nvGraphicFramePr>
        <xdr:cNvPr id="4" name="Pasivos totales" descr="Gráfico de barras que muestra el valor del pasivo actual." title="Gráfico de pasivos totale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blActivosActuales" displayName="tblActivosActuales" ref="B15:C22" totalsRowCount="1" headerRowDxfId="27" dataDxfId="26" totalsRowDxfId="25">
  <autoFilter ref="B15:C21">
    <filterColumn colId="0" hiddenButton="1"/>
    <filterColumn colId="1" hiddenButton="1"/>
  </autoFilter>
  <tableColumns count="2">
    <tableColumn id="1" name="ACTIVOS CORRIENTES" totalsRowLabel="Total activos corrientes" dataDxfId="24" totalsRowDxfId="23"/>
    <tableColumn id="2" name="  " totalsRowFunction="sum" dataDxfId="22" totalsRowDxfId="21"/>
  </tableColumns>
  <tableStyleInfo name="Balance sheet table" showFirstColumn="0" showLastColumn="0" showRowStripes="1" showColumnStripes="0"/>
  <extLst>
    <ext xmlns:x14="http://schemas.microsoft.com/office/spreadsheetml/2009/9/main" uri="{504A1905-F514-4f6f-8877-14C23A59335A}">
      <x14:table altText="Activos actuales" altTextSummary="Valores de las inversiones y activos actuales."/>
    </ext>
  </extLst>
</table>
</file>

<file path=xl/tables/table2.xml><?xml version="1.0" encoding="utf-8"?>
<table xmlns="http://schemas.openxmlformats.org/spreadsheetml/2006/main" id="2" name="tblOtrosActivos" displayName="tblOtrosActivos" ref="B24:C32" totalsRowCount="1" headerRowDxfId="20" dataDxfId="19" totalsRowDxfId="18">
  <autoFilter ref="B24:C31">
    <filterColumn colId="0" hiddenButton="1"/>
    <filterColumn colId="1" hiddenButton="1"/>
  </autoFilter>
  <tableColumns count="2">
    <tableColumn id="1" name="OTROS ACTIVOS" totalsRowLabel="Total otros activos" dataDxfId="17" totalsRowDxfId="16"/>
    <tableColumn id="2" name=" " totalsRowFunction="sum" dataDxfId="15" totalsRowDxfId="14"/>
  </tableColumns>
  <tableStyleInfo name="Balance sheet table" showFirstColumn="0" showLastColumn="0" showRowStripes="1" showColumnStripes="0"/>
  <extLst>
    <ext xmlns:x14="http://schemas.microsoft.com/office/spreadsheetml/2009/9/main" uri="{504A1905-F514-4f6f-8877-14C23A59335A}">
      <x14:table altText="Otros activos" altTextSummary="Valores de otras inversiones y activos."/>
    </ext>
  </extLst>
</table>
</file>

<file path=xl/tables/table3.xml><?xml version="1.0" encoding="utf-8"?>
<table xmlns="http://schemas.openxmlformats.org/spreadsheetml/2006/main" id="3" name="tblPasivoactual" displayName="tblPasivoactual" ref="E15:F20" totalsRowCount="1" headerRowDxfId="13" dataDxfId="12" totalsRowDxfId="11">
  <autoFilter ref="E15:F19">
    <filterColumn colId="0" hiddenButton="1"/>
    <filterColumn colId="1" hiddenButton="1"/>
  </autoFilter>
  <tableColumns count="2">
    <tableColumn id="1" name="PASIVOS CORRIENTES" totalsRowLabel="TOTAL PASIVOS CORRIENTE" dataDxfId="10" totalsRowDxfId="9"/>
    <tableColumn id="2" name="  " totalsRowFunction="sum" dataDxfId="8" totalsRowDxfId="7"/>
  </tableColumns>
  <tableStyleInfo name="Balance sheet table" showFirstColumn="0" showLastColumn="0" showRowStripes="1" showColumnStripes="0"/>
  <extLst>
    <ext xmlns:x14="http://schemas.microsoft.com/office/spreadsheetml/2009/9/main" uri="{504A1905-F514-4f6f-8877-14C23A59335A}">
      <x14:table altText="Pasivo actual" altTextSummary="Valores de las deudas y del pasivo actuales."/>
    </ext>
  </extLst>
</table>
</file>

<file path=xl/tables/table4.xml><?xml version="1.0" encoding="utf-8"?>
<table xmlns="http://schemas.openxmlformats.org/spreadsheetml/2006/main" id="4" name="tblOtrosPasivo" displayName="tblOtrosPasivo" ref="E22:F27" totalsRowCount="1" headerRowDxfId="6" dataDxfId="5" totalsRowDxfId="4">
  <autoFilter ref="E22:F26">
    <filterColumn colId="0" hiddenButton="1"/>
    <filterColumn colId="1" hiddenButton="1"/>
  </autoFilter>
  <tableColumns count="2">
    <tableColumn id="1" name="OTROS PASIVOS" totalsRowLabel="TOTAL OTROS PASIVOS" dataDxfId="3" totalsRowDxfId="2"/>
    <tableColumn id="2" name=" " totalsRowFunction="sum" dataDxfId="1" totalsRowDxfId="0"/>
  </tableColumns>
  <tableStyleInfo name="Balance sheet table" showFirstColumn="0" showLastColumn="0" showRowStripes="1" showColumnStripes="0"/>
  <extLst>
    <ext xmlns:x14="http://schemas.microsoft.com/office/spreadsheetml/2009/9/main" uri="{504A1905-F514-4f6f-8877-14C23A59335A}">
      <x14:table altText="Otro pasivo" altTextSummary="Valores de las otras deudas y del pasivo."/>
    </ext>
  </extLst>
</table>
</file>

<file path=xl/theme/theme1.xml><?xml version="1.0" encoding="utf-8"?>
<a:theme xmlns:a="http://schemas.openxmlformats.org/drawingml/2006/main" name="Office Theme">
  <a:themeElements>
    <a:clrScheme name="Balance sheet">
      <a:dk1>
        <a:srgbClr val="000000"/>
      </a:dk1>
      <a:lt1>
        <a:srgbClr val="FFFFFF"/>
      </a:lt1>
      <a:dk2>
        <a:srgbClr val="01242F"/>
      </a:dk2>
      <a:lt2>
        <a:srgbClr val="EFEFEF"/>
      </a:lt2>
      <a:accent1>
        <a:srgbClr val="D95226"/>
      </a:accent1>
      <a:accent2>
        <a:srgbClr val="DDB300"/>
      </a:accent2>
      <a:accent3>
        <a:srgbClr val="009B7A"/>
      </a:accent3>
      <a:accent4>
        <a:srgbClr val="80AF17"/>
      </a:accent4>
      <a:accent5>
        <a:srgbClr val="068FBD"/>
      </a:accent5>
      <a:accent6>
        <a:srgbClr val="9F218B"/>
      </a:accent6>
      <a:hlink>
        <a:srgbClr val="068FBD"/>
      </a:hlink>
      <a:folHlink>
        <a:srgbClr val="9F218B"/>
      </a:folHlink>
    </a:clrScheme>
    <a:fontScheme name="Balance sheet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A1:F35"/>
  <sheetViews>
    <sheetView showGridLines="0" tabSelected="1" zoomScale="90" zoomScaleNormal="90" workbookViewId="0"/>
  </sheetViews>
  <sheetFormatPr baseColWidth="10" defaultColWidth="9" defaultRowHeight="21" customHeight="1" x14ac:dyDescent="0.25"/>
  <cols>
    <col min="1" max="1" width="1.5" style="1" customWidth="1"/>
    <col min="2" max="2" width="47.625" style="1" customWidth="1"/>
    <col min="3" max="3" width="25" style="1" customWidth="1"/>
    <col min="4" max="4" width="3.25" style="4" customWidth="1"/>
    <col min="5" max="5" width="60.375" style="1" bestFit="1" customWidth="1"/>
    <col min="6" max="6" width="25" style="1" customWidth="1"/>
    <col min="7" max="16384" width="9" style="1"/>
  </cols>
  <sheetData>
    <row r="1" spans="1:6" ht="12.75" customHeight="1" x14ac:dyDescent="0.25">
      <c r="A1" s="32"/>
      <c r="D1" s="1"/>
    </row>
    <row r="2" spans="1:6" ht="64.5" thickBot="1" x14ac:dyDescent="1.1000000000000001">
      <c r="A2"/>
      <c r="B2" s="24" t="s">
        <v>23</v>
      </c>
      <c r="C2" s="24"/>
      <c r="D2" s="24"/>
      <c r="E2" s="24"/>
      <c r="F2" s="24"/>
    </row>
    <row r="3" spans="1:6" ht="21" customHeight="1" thickTop="1" x14ac:dyDescent="0.25">
      <c r="A3"/>
      <c r="B3" s="19" t="s">
        <v>25</v>
      </c>
      <c r="C3" s="18"/>
      <c r="D3" s="18"/>
      <c r="E3" s="18"/>
      <c r="F3" s="15" t="s">
        <v>24</v>
      </c>
    </row>
    <row r="4" spans="1:6" ht="21" customHeight="1" thickBot="1" x14ac:dyDescent="0.35">
      <c r="B4" s="2"/>
      <c r="C4" s="3"/>
      <c r="E4" s="2"/>
      <c r="F4" s="5"/>
    </row>
    <row r="5" spans="1:6" s="7" customFormat="1" ht="30" x14ac:dyDescent="0.25">
      <c r="B5" s="20" t="s">
        <v>26</v>
      </c>
      <c r="C5" s="21">
        <f>C22/F20</f>
        <v>3.3803797468354428</v>
      </c>
      <c r="D5" s="6"/>
      <c r="E5" s="20" t="s">
        <v>28</v>
      </c>
      <c r="F5" s="21">
        <f>C16/F20</f>
        <v>0.23607594936708862</v>
      </c>
    </row>
    <row r="6" spans="1:6" s="7" customFormat="1" ht="30.75" thickBot="1" x14ac:dyDescent="0.3">
      <c r="B6" s="22" t="s">
        <v>27</v>
      </c>
      <c r="C6" s="23">
        <f>(C22-C19)/F20</f>
        <v>2.910126582278481</v>
      </c>
      <c r="D6" s="6"/>
      <c r="E6" s="22" t="s">
        <v>29</v>
      </c>
      <c r="F6" s="37">
        <f>C22-F20</f>
        <v>3761</v>
      </c>
    </row>
    <row r="7" spans="1:6" ht="21" customHeight="1" x14ac:dyDescent="0.25">
      <c r="B7" s="8"/>
      <c r="C7" s="9"/>
      <c r="D7" s="10"/>
      <c r="E7" s="8"/>
      <c r="F7" s="10"/>
    </row>
    <row r="8" spans="1:6" ht="21" customHeight="1" x14ac:dyDescent="0.25">
      <c r="B8" s="8"/>
      <c r="C8" s="9"/>
      <c r="D8" s="10"/>
      <c r="E8" s="8"/>
      <c r="F8" s="10"/>
    </row>
    <row r="9" spans="1:6" ht="21" customHeight="1" x14ac:dyDescent="0.25">
      <c r="B9" s="8"/>
      <c r="C9" s="9"/>
      <c r="D9" s="10"/>
      <c r="E9" s="8"/>
      <c r="F9" s="10"/>
    </row>
    <row r="10" spans="1:6" ht="21" customHeight="1" x14ac:dyDescent="0.25">
      <c r="B10" s="8"/>
      <c r="C10" s="9"/>
      <c r="D10" s="10"/>
      <c r="E10" s="8"/>
      <c r="F10" s="10"/>
    </row>
    <row r="11" spans="1:6" ht="21" customHeight="1" x14ac:dyDescent="0.25">
      <c r="B11" s="8"/>
      <c r="C11" s="9"/>
      <c r="D11" s="10"/>
      <c r="E11" s="8"/>
      <c r="F11" s="10"/>
    </row>
    <row r="12" spans="1:6" ht="21" customHeight="1" x14ac:dyDescent="0.25">
      <c r="B12" s="8"/>
      <c r="C12" s="9"/>
      <c r="D12" s="10"/>
      <c r="E12" s="8"/>
      <c r="F12" s="10"/>
    </row>
    <row r="13" spans="1:6" s="12" customFormat="1" ht="27.75" thickBot="1" x14ac:dyDescent="0.5">
      <c r="B13" s="25" t="s">
        <v>30</v>
      </c>
      <c r="C13" s="25"/>
      <c r="D13" s="11"/>
      <c r="E13" s="26" t="s">
        <v>31</v>
      </c>
      <c r="F13" s="26"/>
    </row>
    <row r="14" spans="1:6" s="12" customFormat="1" ht="21" customHeight="1" thickTop="1" x14ac:dyDescent="0.3">
      <c r="B14" s="16"/>
      <c r="C14" s="16"/>
      <c r="D14" s="11"/>
      <c r="E14" s="17"/>
      <c r="F14" s="17"/>
    </row>
    <row r="15" spans="1:6" ht="21" customHeight="1" x14ac:dyDescent="0.25">
      <c r="B15" s="30" t="s">
        <v>34</v>
      </c>
      <c r="C15" s="33" t="s">
        <v>0</v>
      </c>
      <c r="D15" s="13"/>
      <c r="E15" s="30" t="s">
        <v>36</v>
      </c>
      <c r="F15" s="38" t="s">
        <v>0</v>
      </c>
    </row>
    <row r="16" spans="1:6" ht="21" customHeight="1" x14ac:dyDescent="0.25">
      <c r="B16" s="28" t="s">
        <v>1</v>
      </c>
      <c r="C16" s="34">
        <v>373</v>
      </c>
      <c r="D16" s="10"/>
      <c r="E16" s="28" t="s">
        <v>11</v>
      </c>
      <c r="F16" s="39">
        <v>38</v>
      </c>
    </row>
    <row r="17" spans="2:6" ht="21" customHeight="1" x14ac:dyDescent="0.25">
      <c r="B17" s="28" t="s">
        <v>2</v>
      </c>
      <c r="C17" s="34">
        <v>1517</v>
      </c>
      <c r="D17" s="10"/>
      <c r="E17" s="28" t="s">
        <v>12</v>
      </c>
      <c r="F17" s="39">
        <v>1205</v>
      </c>
    </row>
    <row r="18" spans="2:6" ht="21" customHeight="1" x14ac:dyDescent="0.25">
      <c r="B18" s="28" t="s">
        <v>17</v>
      </c>
      <c r="C18" s="34">
        <v>1918</v>
      </c>
      <c r="D18" s="10"/>
      <c r="E18" s="28" t="s">
        <v>13</v>
      </c>
      <c r="F18" s="39">
        <v>327</v>
      </c>
    </row>
    <row r="19" spans="2:6" ht="21" customHeight="1" x14ac:dyDescent="0.25">
      <c r="B19" s="28" t="s">
        <v>3</v>
      </c>
      <c r="C19" s="34">
        <v>743</v>
      </c>
      <c r="D19" s="10"/>
      <c r="E19" s="28" t="s">
        <v>19</v>
      </c>
      <c r="F19" s="39">
        <v>10</v>
      </c>
    </row>
    <row r="20" spans="2:6" ht="21" customHeight="1" x14ac:dyDescent="0.25">
      <c r="B20" s="28" t="s">
        <v>4</v>
      </c>
      <c r="C20" s="34">
        <v>445</v>
      </c>
      <c r="D20" s="10"/>
      <c r="E20" s="42" t="s">
        <v>38</v>
      </c>
      <c r="F20" s="44">
        <f>SUBTOTAL(109,tblPasivoactual[  ])</f>
        <v>1580</v>
      </c>
    </row>
    <row r="21" spans="2:6" s="7" customFormat="1" ht="21" customHeight="1" x14ac:dyDescent="0.25">
      <c r="B21" s="28" t="s">
        <v>5</v>
      </c>
      <c r="C21" s="34">
        <v>345</v>
      </c>
      <c r="D21" s="13"/>
      <c r="E21" s="48"/>
      <c r="F21" s="48"/>
    </row>
    <row r="22" spans="2:6" s="7" customFormat="1" ht="21" customHeight="1" x14ac:dyDescent="0.25">
      <c r="B22" s="42" t="s">
        <v>6</v>
      </c>
      <c r="C22" s="43">
        <f>SUBTOTAL(109,tblActivosActuales[  ])</f>
        <v>5341</v>
      </c>
      <c r="D22" s="13"/>
      <c r="E22" s="31" t="s">
        <v>37</v>
      </c>
      <c r="F22" s="40" t="s">
        <v>22</v>
      </c>
    </row>
    <row r="23" spans="2:6" ht="21" customHeight="1" x14ac:dyDescent="0.25">
      <c r="B23" s="47"/>
      <c r="C23" s="47"/>
      <c r="D23" s="10"/>
      <c r="E23" s="28" t="s">
        <v>14</v>
      </c>
      <c r="F23" s="39">
        <v>2345</v>
      </c>
    </row>
    <row r="24" spans="2:6" ht="21" customHeight="1" x14ac:dyDescent="0.25">
      <c r="B24" s="30" t="s">
        <v>35</v>
      </c>
      <c r="C24" s="38" t="s">
        <v>22</v>
      </c>
      <c r="D24" s="13"/>
      <c r="E24" s="28" t="s">
        <v>15</v>
      </c>
      <c r="F24" s="39">
        <v>1211</v>
      </c>
    </row>
    <row r="25" spans="2:6" ht="21" customHeight="1" x14ac:dyDescent="0.25">
      <c r="B25" s="28" t="s">
        <v>20</v>
      </c>
      <c r="C25" s="39">
        <v>10963</v>
      </c>
      <c r="D25" s="10"/>
      <c r="E25" s="28" t="s">
        <v>4</v>
      </c>
      <c r="F25" s="39">
        <v>485</v>
      </c>
    </row>
    <row r="26" spans="2:6" ht="21" customHeight="1" x14ac:dyDescent="0.25">
      <c r="B26" s="28" t="s">
        <v>7</v>
      </c>
      <c r="C26" s="41">
        <v>-3098</v>
      </c>
      <c r="D26" s="10"/>
      <c r="E26" s="28" t="s">
        <v>16</v>
      </c>
      <c r="F26" s="39">
        <v>331</v>
      </c>
    </row>
    <row r="27" spans="2:6" ht="21" customHeight="1" x14ac:dyDescent="0.25">
      <c r="B27" s="28" t="s">
        <v>21</v>
      </c>
      <c r="C27" s="39">
        <v>6495</v>
      </c>
      <c r="D27" s="10"/>
      <c r="E27" s="45" t="s">
        <v>39</v>
      </c>
      <c r="F27" s="46">
        <f>SUBTOTAL(109,tblOtrosPasivo[[ ]])</f>
        <v>4372</v>
      </c>
    </row>
    <row r="28" spans="2:6" ht="21" customHeight="1" x14ac:dyDescent="0.25">
      <c r="B28" s="28" t="s">
        <v>8</v>
      </c>
      <c r="C28" s="39">
        <v>472</v>
      </c>
      <c r="D28" s="10"/>
      <c r="E28" s="47"/>
      <c r="F28" s="47"/>
    </row>
    <row r="29" spans="2:6" ht="21" customHeight="1" thickBot="1" x14ac:dyDescent="0.3">
      <c r="B29" s="28" t="s">
        <v>9</v>
      </c>
      <c r="C29" s="39">
        <v>1972</v>
      </c>
      <c r="D29" s="10"/>
      <c r="E29" s="27" t="s">
        <v>32</v>
      </c>
      <c r="F29" s="35">
        <f>tblPasivoactual[#Totals]+tblOtrosPasivo[#Totals]</f>
        <v>5952</v>
      </c>
    </row>
    <row r="30" spans="2:6" ht="21" customHeight="1" thickTop="1" x14ac:dyDescent="0.25">
      <c r="B30" s="28" t="s">
        <v>4</v>
      </c>
      <c r="C30" s="39">
        <v>437</v>
      </c>
      <c r="D30" s="1"/>
    </row>
    <row r="31" spans="2:6" s="7" customFormat="1" ht="21" customHeight="1" x14ac:dyDescent="0.25">
      <c r="B31" s="28" t="s">
        <v>10</v>
      </c>
      <c r="C31" s="39">
        <v>634</v>
      </c>
    </row>
    <row r="32" spans="2:6" s="7" customFormat="1" ht="21" customHeight="1" x14ac:dyDescent="0.25">
      <c r="B32" s="45" t="s">
        <v>18</v>
      </c>
      <c r="C32" s="46">
        <f>SUBTOTAL(109,tblOtrosActivos[[ ]])</f>
        <v>17875</v>
      </c>
    </row>
    <row r="33" spans="2:4" s="14" customFormat="1" ht="21" customHeight="1" x14ac:dyDescent="0.25">
      <c r="B33" s="47"/>
      <c r="C33" s="47"/>
    </row>
    <row r="34" spans="2:4" ht="21" customHeight="1" thickBot="1" x14ac:dyDescent="0.3">
      <c r="B34" s="29" t="s">
        <v>33</v>
      </c>
      <c r="C34" s="36">
        <f>tblActivosActuales[#Totals]+tblOtrosActivos[#Totals]</f>
        <v>23216</v>
      </c>
      <c r="D34" s="1"/>
    </row>
    <row r="35" spans="2:4" ht="21" customHeight="1" thickTop="1" x14ac:dyDescent="0.25"/>
  </sheetData>
  <mergeCells count="4">
    <mergeCell ref="B33:C33"/>
    <mergeCell ref="B23:C23"/>
    <mergeCell ref="E21:F21"/>
    <mergeCell ref="E28:F28"/>
  </mergeCells>
  <phoneticPr fontId="1" type="noConversion"/>
  <printOptions horizontalCentered="1"/>
  <pageMargins left="0.4" right="0.4" top="0.4" bottom="0.4" header="0.3" footer="0.3"/>
  <pageSetup scale="90" fitToHeight="0" orientation="landscape" r:id="rId1"/>
  <headerFooter differentFirst="1" alignWithMargins="0">
    <oddFooter>Page &amp;P of &amp;N</oddFooter>
  </headerFooter>
  <drawing r:id="rId2"/>
  <picture r:id="rId3"/>
  <tableParts count="4"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DE95A0C693CEB341887D38A4A2B58B45040072C752107C5A7B47AA91A1EE638E6F1F" ma:contentTypeVersion="55" ma:contentTypeDescription="Create a new document." ma:contentTypeScope="" ma:versionID="3c98c83416931a21d43ed007fda5e4dd">
  <xsd:schema xmlns:xsd="http://www.w3.org/2001/XMLSchema" xmlns:xs="http://www.w3.org/2001/XMLSchema" xmlns:p="http://schemas.microsoft.com/office/2006/metadata/properties" xmlns:ns2="2958f784-0ef9-4616-b22d-512a8cad1f0d" xmlns:ns3="fb5acd76-e9f3-4601-9d69-91f53ab96ae6" targetNamespace="http://schemas.microsoft.com/office/2006/metadata/properties" ma:root="true" ma:fieldsID="938018c4f46d99993d20879d4e9ddff8" ns2:_="" ns3:_="">
    <xsd:import namespace="2958f784-0ef9-4616-b22d-512a8cad1f0d"/>
    <xsd:import namespace="fb5acd76-e9f3-4601-9d69-91f53ab96ae6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58f784-0ef9-4616-b22d-512a8cad1f0d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ca69c71e-a029-4733-aca1-cabc27411b08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D80075B-F8CE-48D6-9BD2-D195F7E115A9}" ma:internalName="CSXSubmissionMarket" ma:readOnly="false" ma:showField="MarketName" ma:web="2958f784-0ef9-4616-b22d-512a8cad1f0d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9327d1a0-1a14-4b12-a74c-0f320f972977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1F044C38-11A0-4051-9DF8-A3AFA85E16DC}" ma:internalName="InProjectListLookup" ma:readOnly="true" ma:showField="InProjectLis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3b364bcb-a06e-4da1-8475-f5243c3236b2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1F044C38-11A0-4051-9DF8-A3AFA85E16DC}" ma:internalName="LastCompleteVersionLookup" ma:readOnly="true" ma:showField="LastComplete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1F044C38-11A0-4051-9DF8-A3AFA85E16DC}" ma:internalName="LastPreviewErrorLookup" ma:readOnly="true" ma:showField="LastPreview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1F044C38-11A0-4051-9DF8-A3AFA85E16DC}" ma:internalName="LastPreviewResultLookup" ma:readOnly="true" ma:showField="LastPreview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1F044C38-11A0-4051-9DF8-A3AFA85E16DC}" ma:internalName="LastPreviewAttemptDateLookup" ma:readOnly="true" ma:showField="LastPreview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1F044C38-11A0-4051-9DF8-A3AFA85E16DC}" ma:internalName="LastPreviewedByLookup" ma:readOnly="true" ma:showField="LastPreview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1F044C38-11A0-4051-9DF8-A3AFA85E16DC}" ma:internalName="LastPreviewTimeLookup" ma:readOnly="true" ma:showField="LastPreview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1F044C38-11A0-4051-9DF8-A3AFA85E16DC}" ma:internalName="LastPreviewVersionLookup" ma:readOnly="true" ma:showField="LastPreview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1F044C38-11A0-4051-9DF8-A3AFA85E16DC}" ma:internalName="LastPublishErrorLookup" ma:readOnly="true" ma:showField="LastPublish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1F044C38-11A0-4051-9DF8-A3AFA85E16DC}" ma:internalName="LastPublishResultLookup" ma:readOnly="true" ma:showField="LastPublish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1F044C38-11A0-4051-9DF8-A3AFA85E16DC}" ma:internalName="LastPublishAttemptDateLookup" ma:readOnly="true" ma:showField="LastPublish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1F044C38-11A0-4051-9DF8-A3AFA85E16DC}" ma:internalName="LastPublishedByLookup" ma:readOnly="true" ma:showField="LastPublish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1F044C38-11A0-4051-9DF8-A3AFA85E16DC}" ma:internalName="LastPublishTimeLookup" ma:readOnly="true" ma:showField="LastPublish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1F044C38-11A0-4051-9DF8-A3AFA85E16DC}" ma:internalName="LastPublishVersionLookup" ma:readOnly="true" ma:showField="LastPublish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AC64899A-88C0-4725-BCFC-902FA402DE74}" ma:internalName="LocLastLocAttemptVersionLookup" ma:readOnly="false" ma:showField="LastLocAttemptVersion" ma:web="2958f784-0ef9-4616-b22d-512a8cad1f0d">
      <xsd:simpleType>
        <xsd:restriction base="dms:Lookup"/>
      </xsd:simpleType>
    </xsd:element>
    <xsd:element name="LocLastLocAttemptVersionTypeLookup" ma:index="72" nillable="true" ma:displayName="Loc Last Loc Attempt Version Type" ma:default="" ma:list="{AC64899A-88C0-4725-BCFC-902FA402DE74}" ma:internalName="LocLastLocAttemptVersionTypeLookup" ma:readOnly="true" ma:showField="LastLocAttemptVersionType" ma:web="2958f784-0ef9-4616-b22d-512a8cad1f0d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AC64899A-88C0-4725-BCFC-902FA402DE74}" ma:internalName="LocNewPublishedVersionLookup" ma:readOnly="true" ma:showField="NewPublishedVersion" ma:web="2958f784-0ef9-4616-b22d-512a8cad1f0d">
      <xsd:simpleType>
        <xsd:restriction base="dms:Lookup"/>
      </xsd:simpleType>
    </xsd:element>
    <xsd:element name="LocOverallHandbackStatusLookup" ma:index="76" nillable="true" ma:displayName="Loc Overall Handback Status" ma:default="" ma:list="{AC64899A-88C0-4725-BCFC-902FA402DE74}" ma:internalName="LocOverallHandbackStatusLookup" ma:readOnly="true" ma:showField="OverallHandbackStatus" ma:web="2958f784-0ef9-4616-b22d-512a8cad1f0d">
      <xsd:simpleType>
        <xsd:restriction base="dms:Lookup"/>
      </xsd:simpleType>
    </xsd:element>
    <xsd:element name="LocOverallLocStatusLookup" ma:index="77" nillable="true" ma:displayName="Loc Overall Localize Status" ma:default="" ma:list="{AC64899A-88C0-4725-BCFC-902FA402DE74}" ma:internalName="LocOverallLocStatusLookup" ma:readOnly="true" ma:showField="OverallLocStatus" ma:web="2958f784-0ef9-4616-b22d-512a8cad1f0d">
      <xsd:simpleType>
        <xsd:restriction base="dms:Lookup"/>
      </xsd:simpleType>
    </xsd:element>
    <xsd:element name="LocOverallPreviewStatusLookup" ma:index="78" nillable="true" ma:displayName="Loc Overall Preview Status" ma:default="" ma:list="{AC64899A-88C0-4725-BCFC-902FA402DE74}" ma:internalName="LocOverallPreviewStatusLookup" ma:readOnly="true" ma:showField="OverallPreviewStatus" ma:web="2958f784-0ef9-4616-b22d-512a8cad1f0d">
      <xsd:simpleType>
        <xsd:restriction base="dms:Lookup"/>
      </xsd:simpleType>
    </xsd:element>
    <xsd:element name="LocOverallPublishStatusLookup" ma:index="79" nillable="true" ma:displayName="Loc Overall Publish Status" ma:default="" ma:list="{AC64899A-88C0-4725-BCFC-902FA402DE74}" ma:internalName="LocOverallPublishStatusLookup" ma:readOnly="true" ma:showField="OverallPublishStatus" ma:web="2958f784-0ef9-4616-b22d-512a8cad1f0d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AC64899A-88C0-4725-BCFC-902FA402DE74}" ma:internalName="LocProcessedForHandoffsLookup" ma:readOnly="true" ma:showField="ProcessedForHandoffs" ma:web="2958f784-0ef9-4616-b22d-512a8cad1f0d">
      <xsd:simpleType>
        <xsd:restriction base="dms:Lookup"/>
      </xsd:simpleType>
    </xsd:element>
    <xsd:element name="LocProcessedForMarketsLookup" ma:index="82" nillable="true" ma:displayName="Loc Processed For Markets" ma:default="" ma:list="{AC64899A-88C0-4725-BCFC-902FA402DE74}" ma:internalName="LocProcessedForMarketsLookup" ma:readOnly="true" ma:showField="ProcessedForMarkets" ma:web="2958f784-0ef9-4616-b22d-512a8cad1f0d">
      <xsd:simpleType>
        <xsd:restriction base="dms:Lookup"/>
      </xsd:simpleType>
    </xsd:element>
    <xsd:element name="LocPublishedDependentAssetsLookup" ma:index="83" nillable="true" ma:displayName="Loc Published Dependent Assets" ma:default="" ma:list="{AC64899A-88C0-4725-BCFC-902FA402DE74}" ma:internalName="LocPublishedDependentAssetsLookup" ma:readOnly="true" ma:showField="PublishedDependentAssets" ma:web="2958f784-0ef9-4616-b22d-512a8cad1f0d">
      <xsd:simpleType>
        <xsd:restriction base="dms:Lookup"/>
      </xsd:simpleType>
    </xsd:element>
    <xsd:element name="LocPublishedLinkedAssetsLookup" ma:index="84" nillable="true" ma:displayName="Loc Published Linked Assets" ma:default="" ma:list="{AC64899A-88C0-4725-BCFC-902FA402DE74}" ma:internalName="LocPublishedLinkedAssetsLookup" ma:readOnly="true" ma:showField="PublishedLinkedAssets" ma:web="2958f784-0ef9-4616-b22d-512a8cad1f0d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251ee2d3-c117-4524-b3f1-1010c3cab2a3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D80075B-F8CE-48D6-9BD2-D195F7E115A9}" ma:internalName="Markets" ma:readOnly="false" ma:showField="MarketNa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1F044C38-11A0-4051-9DF8-A3AFA85E16DC}" ma:internalName="NumOfRatingsLookup" ma:readOnly="true" ma:showField="NumOfRating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1F044C38-11A0-4051-9DF8-A3AFA85E16DC}" ma:internalName="PublishStatusLookup" ma:readOnly="false" ma:showField="PublishStatu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654e2ea7-8c43-4b3c-9db4-bd71f7cfe4f4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33f01220-6030-4880-975f-b9ea0de09f53}" ma:internalName="TaxCatchAll" ma:showField="CatchAllData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33f01220-6030-4880-975f-b9ea0de09f53}" ma:internalName="TaxCatchAllLabel" ma:readOnly="true" ma:showField="CatchAllDataLabel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acd76-e9f3-4601-9d69-91f53ab96ae6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" ma:index="135" nillable="true" ma:displayName="Component" ma:internalName="Compon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2958f784-0ef9-4616-b22d-512a8cad1f0d" xsi:nil="true"/>
    <AssetExpire xmlns="2958f784-0ef9-4616-b22d-512a8cad1f0d">2029-01-01T08:00:00+00:00</AssetExpire>
    <CampaignTagsTaxHTField0 xmlns="2958f784-0ef9-4616-b22d-512a8cad1f0d">
      <Terms xmlns="http://schemas.microsoft.com/office/infopath/2007/PartnerControls"/>
    </CampaignTagsTaxHTField0>
    <IntlLangReviewDate xmlns="2958f784-0ef9-4616-b22d-512a8cad1f0d" xsi:nil="true"/>
    <TPFriendlyName xmlns="2958f784-0ef9-4616-b22d-512a8cad1f0d" xsi:nil="true"/>
    <IntlLangReview xmlns="2958f784-0ef9-4616-b22d-512a8cad1f0d">false</IntlLangReview>
    <LocLastLocAttemptVersionLookup xmlns="2958f784-0ef9-4616-b22d-512a8cad1f0d">343414</LocLastLocAttemptVersionLookup>
    <PolicheckWords xmlns="2958f784-0ef9-4616-b22d-512a8cad1f0d" xsi:nil="true"/>
    <SubmitterId xmlns="2958f784-0ef9-4616-b22d-512a8cad1f0d" xsi:nil="true"/>
    <AcquiredFrom xmlns="2958f784-0ef9-4616-b22d-512a8cad1f0d">Internal MS</AcquiredFrom>
    <EditorialStatus xmlns="2958f784-0ef9-4616-b22d-512a8cad1f0d">Complete</EditorialStatus>
    <Markets xmlns="2958f784-0ef9-4616-b22d-512a8cad1f0d"/>
    <OriginAsset xmlns="2958f784-0ef9-4616-b22d-512a8cad1f0d" xsi:nil="true"/>
    <AssetStart xmlns="2958f784-0ef9-4616-b22d-512a8cad1f0d">2012-11-14T07:59:00+00:00</AssetStart>
    <FriendlyTitle xmlns="2958f784-0ef9-4616-b22d-512a8cad1f0d" xsi:nil="true"/>
    <MarketSpecific xmlns="2958f784-0ef9-4616-b22d-512a8cad1f0d">false</MarketSpecific>
    <TPNamespace xmlns="2958f784-0ef9-4616-b22d-512a8cad1f0d" xsi:nil="true"/>
    <PublishStatusLookup xmlns="2958f784-0ef9-4616-b22d-512a8cad1f0d">
      <Value>715402</Value>
    </PublishStatusLookup>
    <APAuthor xmlns="2958f784-0ef9-4616-b22d-512a8cad1f0d">
      <UserInfo>
        <DisplayName>System Account</DisplayName>
        <AccountId>1073741823</AccountId>
        <AccountType/>
      </UserInfo>
    </APAuthor>
    <TPCommandLine xmlns="2958f784-0ef9-4616-b22d-512a8cad1f0d" xsi:nil="true"/>
    <IntlLangReviewer xmlns="2958f784-0ef9-4616-b22d-512a8cad1f0d" xsi:nil="true"/>
    <OpenTemplate xmlns="2958f784-0ef9-4616-b22d-512a8cad1f0d">true</OpenTemplate>
    <CSXSubmissionDate xmlns="2958f784-0ef9-4616-b22d-512a8cad1f0d" xsi:nil="true"/>
    <TaxCatchAll xmlns="2958f784-0ef9-4616-b22d-512a8cad1f0d"/>
    <Manager xmlns="2958f784-0ef9-4616-b22d-512a8cad1f0d" xsi:nil="true"/>
    <NumericId xmlns="2958f784-0ef9-4616-b22d-512a8cad1f0d" xsi:nil="true"/>
    <ParentAssetId xmlns="2958f784-0ef9-4616-b22d-512a8cad1f0d" xsi:nil="true"/>
    <OriginalSourceMarket xmlns="2958f784-0ef9-4616-b22d-512a8cad1f0d">english</OriginalSourceMarket>
    <ApprovalStatus xmlns="2958f784-0ef9-4616-b22d-512a8cad1f0d">InProgress</ApprovalStatus>
    <TPComponent xmlns="2958f784-0ef9-4616-b22d-512a8cad1f0d" xsi:nil="true"/>
    <EditorialTags xmlns="2958f784-0ef9-4616-b22d-512a8cad1f0d" xsi:nil="true"/>
    <TPExecutable xmlns="2958f784-0ef9-4616-b22d-512a8cad1f0d" xsi:nil="true"/>
    <TPLaunchHelpLink xmlns="2958f784-0ef9-4616-b22d-512a8cad1f0d" xsi:nil="true"/>
    <LocComments xmlns="2958f784-0ef9-4616-b22d-512a8cad1f0d" xsi:nil="true"/>
    <LocRecommendedHandoff xmlns="2958f784-0ef9-4616-b22d-512a8cad1f0d" xsi:nil="true"/>
    <SourceTitle xmlns="2958f784-0ef9-4616-b22d-512a8cad1f0d" xsi:nil="true"/>
    <CSXUpdate xmlns="2958f784-0ef9-4616-b22d-512a8cad1f0d">false</CSXUpdate>
    <IntlLocPriority xmlns="2958f784-0ef9-4616-b22d-512a8cad1f0d" xsi:nil="true"/>
    <UAProjectedTotalWords xmlns="2958f784-0ef9-4616-b22d-512a8cad1f0d" xsi:nil="true"/>
    <AssetType xmlns="2958f784-0ef9-4616-b22d-512a8cad1f0d">TP</AssetType>
    <MachineTranslated xmlns="2958f784-0ef9-4616-b22d-512a8cad1f0d">false</MachineTranslated>
    <OutputCachingOn xmlns="2958f784-0ef9-4616-b22d-512a8cad1f0d">true</OutputCachingOn>
    <TemplateStatus xmlns="2958f784-0ef9-4616-b22d-512a8cad1f0d">Complete</TemplateStatus>
    <IsSearchable xmlns="2958f784-0ef9-4616-b22d-512a8cad1f0d">true</IsSearchable>
    <ContentItem xmlns="2958f784-0ef9-4616-b22d-512a8cad1f0d" xsi:nil="true"/>
    <HandoffToMSDN xmlns="2958f784-0ef9-4616-b22d-512a8cad1f0d" xsi:nil="true"/>
    <ShowIn xmlns="2958f784-0ef9-4616-b22d-512a8cad1f0d">Show everywhere</ShowIn>
    <ThumbnailAssetId xmlns="2958f784-0ef9-4616-b22d-512a8cad1f0d" xsi:nil="true"/>
    <UALocComments xmlns="2958f784-0ef9-4616-b22d-512a8cad1f0d" xsi:nil="true"/>
    <UALocRecommendation xmlns="2958f784-0ef9-4616-b22d-512a8cad1f0d">Localize</UALocRecommendation>
    <LastModifiedDateTime xmlns="2958f784-0ef9-4616-b22d-512a8cad1f0d" xsi:nil="true"/>
    <LegacyData xmlns="2958f784-0ef9-4616-b22d-512a8cad1f0d" xsi:nil="true"/>
    <LocManualTestRequired xmlns="2958f784-0ef9-4616-b22d-512a8cad1f0d">false</LocManualTestRequired>
    <LocMarketGroupTiers2 xmlns="2958f784-0ef9-4616-b22d-512a8cad1f0d" xsi:nil="true"/>
    <ClipArtFilename xmlns="2958f784-0ef9-4616-b22d-512a8cad1f0d" xsi:nil="true"/>
    <TPApplication xmlns="2958f784-0ef9-4616-b22d-512a8cad1f0d" xsi:nil="true"/>
    <CSXHash xmlns="2958f784-0ef9-4616-b22d-512a8cad1f0d" xsi:nil="true"/>
    <DirectSourceMarket xmlns="2958f784-0ef9-4616-b22d-512a8cad1f0d">english</DirectSourceMarket>
    <PrimaryImageGen xmlns="2958f784-0ef9-4616-b22d-512a8cad1f0d">true</PrimaryImageGen>
    <PlannedPubDate xmlns="2958f784-0ef9-4616-b22d-512a8cad1f0d" xsi:nil="true"/>
    <CSXSubmissionMarket xmlns="2958f784-0ef9-4616-b22d-512a8cad1f0d" xsi:nil="true"/>
    <Downloads xmlns="2958f784-0ef9-4616-b22d-512a8cad1f0d">0</Downloads>
    <ArtSampleDocs xmlns="2958f784-0ef9-4616-b22d-512a8cad1f0d" xsi:nil="true"/>
    <TrustLevel xmlns="2958f784-0ef9-4616-b22d-512a8cad1f0d">1 Microsoft Managed Content</TrustLevel>
    <BlockPublish xmlns="2958f784-0ef9-4616-b22d-512a8cad1f0d">false</BlockPublish>
    <TPLaunchHelpLinkType xmlns="2958f784-0ef9-4616-b22d-512a8cad1f0d">Template</TPLaunchHelpLinkType>
    <LocalizationTagsTaxHTField0 xmlns="2958f784-0ef9-4616-b22d-512a8cad1f0d">
      <Terms xmlns="http://schemas.microsoft.com/office/infopath/2007/PartnerControls"/>
    </LocalizationTagsTaxHTField0>
    <BusinessGroup xmlns="2958f784-0ef9-4616-b22d-512a8cad1f0d" xsi:nil="true"/>
    <Providers xmlns="2958f784-0ef9-4616-b22d-512a8cad1f0d" xsi:nil="true"/>
    <TemplateTemplateType xmlns="2958f784-0ef9-4616-b22d-512a8cad1f0d">Excel Spreadsheet Template</TemplateTemplateType>
    <TimesCloned xmlns="2958f784-0ef9-4616-b22d-512a8cad1f0d" xsi:nil="true"/>
    <TPAppVersion xmlns="2958f784-0ef9-4616-b22d-512a8cad1f0d" xsi:nil="true"/>
    <VoteCount xmlns="2958f784-0ef9-4616-b22d-512a8cad1f0d" xsi:nil="true"/>
    <AverageRating xmlns="2958f784-0ef9-4616-b22d-512a8cad1f0d" xsi:nil="true"/>
    <FeatureTagsTaxHTField0 xmlns="2958f784-0ef9-4616-b22d-512a8cad1f0d">
      <Terms xmlns="http://schemas.microsoft.com/office/infopath/2007/PartnerControls"/>
    </FeatureTagsTaxHTField0>
    <Provider xmlns="2958f784-0ef9-4616-b22d-512a8cad1f0d" xsi:nil="true"/>
    <UACurrentWords xmlns="2958f784-0ef9-4616-b22d-512a8cad1f0d" xsi:nil="true"/>
    <AssetId xmlns="2958f784-0ef9-4616-b22d-512a8cad1f0d">TP103844869</AssetId>
    <TPClientViewer xmlns="2958f784-0ef9-4616-b22d-512a8cad1f0d" xsi:nil="true"/>
    <DSATActionTaken xmlns="2958f784-0ef9-4616-b22d-512a8cad1f0d" xsi:nil="true"/>
    <APEditor xmlns="2958f784-0ef9-4616-b22d-512a8cad1f0d">
      <UserInfo>
        <DisplayName/>
        <AccountId xsi:nil="true"/>
        <AccountType/>
      </UserInfo>
    </APEditor>
    <TPInstallLocation xmlns="2958f784-0ef9-4616-b22d-512a8cad1f0d" xsi:nil="true"/>
    <OOCacheId xmlns="2958f784-0ef9-4616-b22d-512a8cad1f0d" xsi:nil="true"/>
    <IsDeleted xmlns="2958f784-0ef9-4616-b22d-512a8cad1f0d">false</IsDeleted>
    <PublishTargets xmlns="2958f784-0ef9-4616-b22d-512a8cad1f0d">OfficeOnlineVNext</PublishTargets>
    <ApprovalLog xmlns="2958f784-0ef9-4616-b22d-512a8cad1f0d" xsi:nil="true"/>
    <BugNumber xmlns="2958f784-0ef9-4616-b22d-512a8cad1f0d" xsi:nil="true"/>
    <CrawlForDependencies xmlns="2958f784-0ef9-4616-b22d-512a8cad1f0d">false</CrawlForDependencies>
    <InternalTagsTaxHTField0 xmlns="2958f784-0ef9-4616-b22d-512a8cad1f0d">
      <Terms xmlns="http://schemas.microsoft.com/office/infopath/2007/PartnerControls"/>
    </InternalTagsTaxHTField0>
    <LastHandOff xmlns="2958f784-0ef9-4616-b22d-512a8cad1f0d" xsi:nil="true"/>
    <Milestone xmlns="2958f784-0ef9-4616-b22d-512a8cad1f0d" xsi:nil="true"/>
    <OriginalRelease xmlns="2958f784-0ef9-4616-b22d-512a8cad1f0d">15</OriginalRelease>
    <RecommendationsModifier xmlns="2958f784-0ef9-4616-b22d-512a8cad1f0d" xsi:nil="true"/>
    <ScenarioTagsTaxHTField0 xmlns="2958f784-0ef9-4616-b22d-512a8cad1f0d">
      <Terms xmlns="http://schemas.microsoft.com/office/infopath/2007/PartnerControls"/>
    </ScenarioTagsTaxHTField0>
    <UANotes xmlns="2958f784-0ef9-4616-b22d-512a8cad1f0d" xsi:nil="true"/>
    <Description0 xmlns="fb5acd76-e9f3-4601-9d69-91f53ab96ae6" xsi:nil="true"/>
    <Component xmlns="fb5acd76-e9f3-4601-9d69-91f53ab96ae6" xsi:nil="true"/>
  </documentManagement>
</p:properties>
</file>

<file path=customXml/itemProps1.xml><?xml version="1.0" encoding="utf-8"?>
<ds:datastoreItem xmlns:ds="http://schemas.openxmlformats.org/officeDocument/2006/customXml" ds:itemID="{E91AF198-8C54-4DCA-942D-96B52258DEED}"/>
</file>

<file path=customXml/itemProps2.xml><?xml version="1.0" encoding="utf-8"?>
<ds:datastoreItem xmlns:ds="http://schemas.openxmlformats.org/officeDocument/2006/customXml" ds:itemID="{CD103692-0AB9-440F-8037-8BCF7BF477BF}"/>
</file>

<file path=customXml/itemProps3.xml><?xml version="1.0" encoding="utf-8"?>
<ds:datastoreItem xmlns:ds="http://schemas.openxmlformats.org/officeDocument/2006/customXml" ds:itemID="{4B93CAEF-5A3A-4120-84AD-261B1BB8496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BALANCE GENERAL</vt:lpstr>
      <vt:lpstr>'BALANCE GENERAL'!Títulos_a_imprimir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ENU</dc:creator>
  <cp:lastModifiedBy>ESN</cp:lastModifiedBy>
  <dcterms:created xsi:type="dcterms:W3CDTF">2012-11-13T22:09:23Z</dcterms:created>
  <dcterms:modified xsi:type="dcterms:W3CDTF">2013-05-27T11:51:52Z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0x010100DE95A0C693CEB341887D38A4A2B58B45040072C752107C5A7B47AA91A1EE638E6F1F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CategoryTagsTaxHTField0">
    <vt:lpwstr/>
  </property>
  <property fmtid="{D5CDD505-2E9C-101B-9397-08002B2CF9AE}" pid="11" name="HiddenCategoryTagsTaxHTField0">
    <vt:lpwstr/>
  </property>
</Properties>
</file>