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PLANTILLAS YOUTUBE\"/>
    </mc:Choice>
  </mc:AlternateContent>
  <xr:revisionPtr revIDLastSave="0" documentId="13_ncr:1_{5FDF3465-64D6-4C72-898B-06D0C1B2A2EE}" xr6:coauthVersionLast="45" xr6:coauthVersionMax="45" xr10:uidLastSave="{00000000-0000-0000-0000-000000000000}"/>
  <bookViews>
    <workbookView xWindow="-120" yWindow="-120" windowWidth="20730" windowHeight="11160" activeTab="1" xr2:uid="{51282549-7124-408C-8890-AF12471DF551}"/>
  </bookViews>
  <sheets>
    <sheet name="BaseDatos" sheetId="1" r:id="rId1"/>
    <sheet name="IRP" sheetId="5" r:id="rId2"/>
  </sheets>
  <calcPr calcId="181029"/>
  <pivotCaches>
    <pivotCache cacheId="16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" l="1"/>
  <c r="C5" i="1" l="1"/>
  <c r="F5" i="1" l="1"/>
  <c r="C6" i="1" s="1"/>
  <c r="F6" i="1" s="1"/>
  <c r="C7" i="1" s="1"/>
  <c r="F7" i="1" s="1"/>
  <c r="C8" i="1" s="1"/>
  <c r="F8" i="1" s="1"/>
  <c r="C9" i="1" s="1"/>
  <c r="F9" i="1" s="1"/>
  <c r="C10" i="1" s="1"/>
  <c r="F10" i="1" s="1"/>
  <c r="C11" i="1" s="1"/>
  <c r="F11" i="1" s="1"/>
  <c r="C12" i="1" s="1"/>
  <c r="F12" i="1" s="1"/>
  <c r="C13" i="1" s="1"/>
  <c r="F13" i="1" s="1"/>
  <c r="C14" i="1" s="1"/>
  <c r="F14" i="1" s="1"/>
  <c r="C15" i="1" s="1"/>
  <c r="F15" i="1" s="1"/>
  <c r="C16" i="1" s="1"/>
  <c r="F16" i="1" s="1"/>
  <c r="C17" i="1" s="1"/>
  <c r="F17" i="1" s="1"/>
  <c r="C18" i="1" s="1"/>
  <c r="F18" i="1" l="1"/>
  <c r="C19" i="1" s="1"/>
  <c r="F19" i="1" l="1"/>
  <c r="C20" i="1" s="1"/>
  <c r="F20" i="1" s="1"/>
  <c r="C21" i="1" s="1"/>
  <c r="F21" i="1" s="1"/>
  <c r="C22" i="1" s="1"/>
  <c r="F22" i="1" s="1"/>
  <c r="C23" i="1" s="1"/>
  <c r="F23" i="1" s="1"/>
  <c r="C24" i="1" s="1"/>
  <c r="F24" i="1" s="1"/>
  <c r="C25" i="1" s="1"/>
  <c r="F25" i="1" s="1"/>
  <c r="C26" i="1" s="1"/>
  <c r="F26" i="1" s="1"/>
  <c r="C27" i="1" s="1"/>
  <c r="F27" i="1" s="1"/>
  <c r="C28" i="1" s="1"/>
  <c r="F28" i="1" s="1"/>
  <c r="C29" i="1" s="1"/>
  <c r="F29" i="1" s="1"/>
  <c r="C30" i="1" s="1"/>
  <c r="F30" i="1" s="1"/>
  <c r="C31" i="1" s="1"/>
  <c r="F31" i="1" s="1"/>
</calcChain>
</file>

<file path=xl/sharedStrings.xml><?xml version="1.0" encoding="utf-8"?>
<sst xmlns="http://schemas.openxmlformats.org/spreadsheetml/2006/main" count="51" uniqueCount="22">
  <si>
    <t>Año</t>
  </si>
  <si>
    <t>Mes</t>
  </si>
  <si>
    <t>Empleados al Inicio del Mes</t>
  </si>
  <si>
    <t>Empleados al Final de Mes</t>
  </si>
  <si>
    <t>Empl. Nuevo Ingreso</t>
  </si>
  <si>
    <t>Empl. Retirados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</si>
  <si>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</si>
  <si>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</si>
  <si>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</si>
  <si>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</si>
  <si>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</si>
  <si>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</si>
  <si>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</si>
  <si>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</si>
  <si>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</si>
  <si>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</si>
  <si>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</si>
  <si>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</si>
  <si>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/>
  </si>
  <si>
    <t>IR</t>
  </si>
  <si>
    <t>BASE DE DATOS "INGRESE LA INFORMACIÓN PARA ALIMENTAR LOS REPORTES"</t>
  </si>
  <si>
    <t>INDICE DE ROTACIÓN DE PERSONAL AUTOMATIZADO POR MES Y 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</si>
</sst>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20"/>
      <color theme="6"/>
      <name val="Century Gothic"/>
      <family val="2"/>
      <scheme val="minor"/>
    </font>
    <font>
      <b/>
      <sz val="18"/>
      <color theme="4"/>
      <name val="Century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0.59999389629810485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2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2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/>
    </dxf>
    <dxf>
      <alignment horizontal="center" vertical="center"/>
    </dxf>
    <dxf>
      <numFmt numFmtId="14" formatCode="0.00%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[Plantilla-Indice-de-Rotacion-de-Personal.xlsm]IRP!IRP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INDICE DE ROTACIÓN DE PERSONAL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2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4925" cap="rnd">
            <a:solidFill>
              <a:schemeClr val="accent1"/>
            </a:solidFill>
            <a:round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3">
                    <a:shade val="94000"/>
                    <a:lumMod val="8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IRP!$B$3:$B$4</c:f>
              <c:strCache>
                <c:ptCount val="1"/>
                <c:pt idx="0">
                  <c:v>2018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1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IRP!$A$5:$A$16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IRP!$B$5:$B$16</c:f>
              <c:numCache>
                <c:formatCode>0.00%</c:formatCode>
                <c:ptCount val="12"/>
                <c:pt idx="0">
                  <c:v>2.8625954198473282E-3</c:v>
                </c:pt>
                <c:pt idx="1">
                  <c:v>2.384358607534573E-3</c:v>
                </c:pt>
                <c:pt idx="2">
                  <c:v>3.3412887828162289E-3</c:v>
                </c:pt>
                <c:pt idx="3">
                  <c:v>1.6754427955959789E-2</c:v>
                </c:pt>
                <c:pt idx="4">
                  <c:v>1.9193857965451055E-3</c:v>
                </c:pt>
                <c:pt idx="5">
                  <c:v>5.255613951266125E-3</c:v>
                </c:pt>
                <c:pt idx="6">
                  <c:v>8.5146641438032175E-3</c:v>
                </c:pt>
                <c:pt idx="7">
                  <c:v>1.6579819990525817E-2</c:v>
                </c:pt>
                <c:pt idx="8">
                  <c:v>7.139457401237506E-3</c:v>
                </c:pt>
                <c:pt idx="9">
                  <c:v>2.3629489603024575E-2</c:v>
                </c:pt>
                <c:pt idx="10">
                  <c:v>1.0338345864661654E-2</c:v>
                </c:pt>
                <c:pt idx="11">
                  <c:v>5.1522248243559719E-3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A-45E4-81C1-89245F3A4363}"/>
            </c:ext>
          </c:extLst>
        </c:ser>
        <c:ser>
          <c:idx val="1"/>
          <c:order val="1"/>
          <c:tx>
            <c:strRef>
              <c:f>IRP!$C$3:$C$4</c:f>
              <c:strCache>
                <c:ptCount val="1"/>
                <c:pt idx="0">
                  <c:v>2019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2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IRP!$A$5:$A$16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IRP!$C$5:$C$16</c:f>
              <c:numCache>
                <c:formatCode>0.00%</c:formatCode>
                <c:ptCount val="12"/>
                <c:pt idx="0">
                  <c:v>2.2514071294559099E-2</c:v>
                </c:pt>
                <c:pt idx="1">
                  <c:v>6.5727699530516428E-3</c:v>
                </c:pt>
                <c:pt idx="2">
                  <c:v>8.4112149532710283E-3</c:v>
                </c:pt>
                <c:pt idx="3">
                  <c:v>1.651722510618216E-2</c:v>
                </c:pt>
                <c:pt idx="4">
                  <c:v>2.8248587570621469E-2</c:v>
                </c:pt>
                <c:pt idx="5">
                  <c:v>2.0842982862436313E-2</c:v>
                </c:pt>
                <c:pt idx="6">
                  <c:v>1.0594196222938737E-2</c:v>
                </c:pt>
                <c:pt idx="7">
                  <c:v>1.6106764841233318E-2</c:v>
                </c:pt>
                <c:pt idx="8">
                  <c:v>1.6332244517032198E-2</c:v>
                </c:pt>
                <c:pt idx="9">
                  <c:v>1.4981273408239701E-2</c:v>
                </c:pt>
                <c:pt idx="10">
                  <c:v>4.1841004184100415E-3</c:v>
                </c:pt>
                <c:pt idx="11">
                  <c:v>3.3333333333333333E-2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A-45E4-81C1-89245F3A4363}"/>
            </c:ext>
          </c:extLst>
        </c:ser>
        <c:ser>
          <c:idx val="2"/>
          <c:order val="2"/>
          <c:tx>
            <c:strRef>
              <c:f>IRP!$D$3:$D$4</c:f>
              <c:strCache>
                <c:ptCount val="1"/>
                <c:pt idx="0">
                  <c:v>2020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98000"/>
                      <a:hueMod val="94000"/>
                      <a:satMod val="130000"/>
                      <a:lumMod val="128000"/>
                    </a:schemeClr>
                  </a:gs>
                  <a:gs pos="100000">
                    <a:schemeClr val="accent3">
                      <a:shade val="94000"/>
                      <a:lumMod val="8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cat>
            <c:strRef>
              <c:f>IRP!$A$5:$A$16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IRP!$D$5:$D$16</c:f>
              <c:numCache>
                <c:formatCode>0.00%</c:formatCode>
                <c:ptCount val="12"/>
                <c:pt idx="0">
                  <c:v>2.7247956403269755E-2</c:v>
                </c:pt>
                <c:pt idx="1">
                  <c:v>2.020655590480467E-2</c:v>
                </c:pt>
                <c:pt idx="2">
                  <c:v>1.1225864391558151E-2</c:v>
                </c:pt>
                <c:pt idx="3">
                  <c:v>2.2202486678507993E-2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8F-4DF5-905B-0F99DC64D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2766752"/>
        <c:axId val="1411389168"/>
      </c:lineChart>
      <c:catAx>
        <c:axId val="158276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89168"/>
        <c:crosses val="autoZero"/>
        <c:auto val="1"/>
        <c:lblAlgn val="ctr"/>
        <c:lblOffset val="100"/>
        <c:noMultiLvlLbl val="0"/>
      </c:catAx>
      <c:valAx>
        <c:axId val="141138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27667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5875" cap="rnd" cmpd="sng" algn="ctr">
      <a:solidFill>
        <a:schemeClr val="accent1">
          <a:hueMod val="94000"/>
        </a:schemeClr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ofimaticaempresarial.com" TargetMode="External"/><Relationship Id="rId2" Type="http://schemas.openxmlformats.org/officeDocument/2006/relationships/image" Target="../media/image2.jpe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3</xdr:row>
      <xdr:rowOff>66675</xdr:rowOff>
    </xdr:from>
    <xdr:to>
      <xdr:col>6</xdr:col>
      <xdr:colOff>352425</xdr:colOff>
      <xdr:row>11</xdr:row>
      <xdr:rowOff>9525</xdr:rowOff>
    </xdr:to>
    <xdr:sp macro="" textlink="">
      <xdr:nvSpPr>
        <xdr:cNvPr id="3" name="Cerrar llav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05550" y="1104900"/>
          <a:ext cx="295275" cy="1619250"/>
        </a:xfrm>
        <a:prstGeom prst="rightBrace">
          <a:avLst/>
        </a:prstGeom>
        <a:ln w="9525" cap="flat" cmpd="sng" algn="ctr">
          <a:solidFill>
            <a:schemeClr val="accent6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6</xdr:col>
      <xdr:colOff>533399</xdr:colOff>
      <xdr:row>3</xdr:row>
      <xdr:rowOff>38099</xdr:rowOff>
    </xdr:from>
    <xdr:to>
      <xdr:col>9</xdr:col>
      <xdr:colOff>342900</xdr:colOff>
      <xdr:row>9</xdr:row>
      <xdr:rowOff>85725</xdr:rowOff>
    </xdr:to>
    <xdr:sp macro="" textlink="">
      <xdr:nvSpPr>
        <xdr:cNvPr id="5" name="Bocadillo nube: nub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781799" y="1076324"/>
          <a:ext cx="2324101" cy="1304926"/>
        </a:xfrm>
        <a:prstGeom prst="cloudCallout">
          <a:avLst>
            <a:gd name="adj1" fmla="val -55075"/>
            <a:gd name="adj2" fmla="val 1486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Ésta</a:t>
          </a:r>
          <a:r>
            <a:rPr lang="es-SV" sz="1100" baseline="0"/>
            <a:t> columna </a:t>
          </a:r>
        </a:p>
        <a:p>
          <a:pPr algn="l"/>
          <a:r>
            <a:rPr lang="es-SV" sz="1100" baseline="0"/>
            <a:t>tiene fórmula se calcula </a:t>
          </a:r>
        </a:p>
        <a:p>
          <a:pPr algn="l"/>
          <a:r>
            <a:rPr lang="es-SV" sz="1100" baseline="0"/>
            <a:t>automáticamente</a:t>
          </a:r>
          <a:endParaRPr lang="es-SV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17</xdr:row>
      <xdr:rowOff>114300</xdr:rowOff>
    </xdr:from>
    <xdr:to>
      <xdr:col>15</xdr:col>
      <xdr:colOff>590550</xdr:colOff>
      <xdr:row>33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742950</xdr:colOff>
      <xdr:row>1</xdr:row>
      <xdr:rowOff>85725</xdr:rowOff>
    </xdr:from>
    <xdr:to>
      <xdr:col>15</xdr:col>
      <xdr:colOff>638175</xdr:colOff>
      <xdr:row>15</xdr:row>
      <xdr:rowOff>5745</xdr:rowOff>
    </xdr:to>
    <xdr:pic>
      <xdr:nvPicPr>
        <xdr:cNvPr id="3" name="Imagen 2" descr="Resultado de imagen para INDICE DE ROTACION DE PERSONAL FORMUL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00900" y="409575"/>
          <a:ext cx="2409825" cy="2853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600077</xdr:colOff>
      <xdr:row>15</xdr:row>
      <xdr:rowOff>192630</xdr:rowOff>
    </xdr:from>
    <xdr:to>
      <xdr:col>15</xdr:col>
      <xdr:colOff>457201</xdr:colOff>
      <xdr:row>17</xdr:row>
      <xdr:rowOff>32083</xdr:rowOff>
    </xdr:to>
    <xdr:pic>
      <xdr:nvPicPr>
        <xdr:cNvPr id="7" name="Imagen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4427" y="3450180"/>
          <a:ext cx="695324" cy="2585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47625</xdr:rowOff>
        </xdr:from>
        <xdr:to>
          <xdr:col>10</xdr:col>
          <xdr:colOff>180975</xdr:colOff>
          <xdr:row>17</xdr:row>
          <xdr:rowOff>9525</xdr:rowOff>
        </xdr:to>
        <xdr:sp macro="" textlink="">
          <xdr:nvSpPr>
            <xdr:cNvPr id="1025" name="Labe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447674</xdr:colOff>
      <xdr:row>6</xdr:row>
      <xdr:rowOff>76200</xdr:rowOff>
    </xdr:from>
    <xdr:to>
      <xdr:col>12</xdr:col>
      <xdr:colOff>352425</xdr:colOff>
      <xdr:row>10</xdr:row>
      <xdr:rowOff>104775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314824" y="1447800"/>
          <a:ext cx="2495551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/>
            <a:t>Aquí no hace falta hacer nada, todo se calcula</a:t>
          </a:r>
          <a:r>
            <a:rPr lang="es-SV" sz="1100" baseline="0"/>
            <a:t> automáticamente con la información de la Base de Datos</a:t>
          </a:r>
          <a:endParaRPr lang="es-SV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Torres" refreshedDate="44041.945751851854" createdVersion="6" refreshedVersion="6" minRefreshableVersion="3" recordCount="28" xr:uid="{F08B0ECB-2A90-4E32-9C60-4706910458B0}">
  <cacheSource type="worksheet">
    <worksheetSource name="Tabla1"/>
  </cacheSource>
  <cacheFields count="8">
    <cacheField name="Año" numFmtId="0">
      <sharedItems containsSemiMixedTypes="0" containsString="0" containsNumber="1" containsInteger="1" minValue="2018" maxValue="2020" count="3">
        <n v="2018"/>
        <n v="2019"/>
        <n v="2020"/>
      </sharedItems>
    </cacheField>
    <cacheField name="M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Empleados al Inicio del Mes" numFmtId="0">
      <sharedItems containsSemiMixedTypes="0" containsString="0" containsNumber="1" containsInteger="1" minValue="1042" maxValue="1116"/>
    </cacheField>
    <cacheField name="Empl. Nuevo Ingreso" numFmtId="0">
      <sharedItems containsSemiMixedTypes="0" containsString="0" containsNumber="1" containsInteger="1" minValue="2" maxValue="45"/>
    </cacheField>
    <cacheField name="Empl. Retirados" numFmtId="0">
      <sharedItems containsSemiMixedTypes="0" containsString="0" containsNumber="1" containsInteger="1" minValue="1" maxValue="30"/>
    </cacheField>
    <cacheField name="Empleados al Final de Mes" numFmtId="0">
      <sharedItems containsSemiMixedTypes="0" containsString="0" containsNumber="1" containsInteger="1" minValue="1042" maxValue="1136"/>
    </cacheField>
    <cacheField name="Campo1" numFmtId="0" formula="( ('Empl. Retirados'+'Empl. Nuevo Ingreso')/2)/(('Empleados al Inicio del Mes'+'Empleados al Final de Mes')/2)" databaseField="0"/>
    <cacheField name="Indice" numFmtId="0" formula="(('Empl. Nuevo Ingreso'+'Empl. Retirados')/2)/(('Empleados al Inicio del Mes'+'Empleados al Final de Mes')/2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n v="1047"/>
    <n v="4"/>
    <n v="2"/>
    <n v="1049"/>
  </r>
  <r>
    <x v="0"/>
    <x v="1"/>
    <n v="1049"/>
    <n v="2"/>
    <n v="3"/>
    <n v="1048"/>
  </r>
  <r>
    <x v="0"/>
    <x v="2"/>
    <n v="1048"/>
    <n v="3"/>
    <n v="4"/>
    <n v="1047"/>
  </r>
  <r>
    <x v="0"/>
    <x v="3"/>
    <n v="1047"/>
    <n v="15"/>
    <n v="20"/>
    <n v="1042"/>
  </r>
  <r>
    <x v="0"/>
    <x v="4"/>
    <n v="1042"/>
    <n v="2"/>
    <n v="2"/>
    <n v="1042"/>
  </r>
  <r>
    <x v="0"/>
    <x v="5"/>
    <n v="1042"/>
    <n v="10"/>
    <n v="1"/>
    <n v="1051"/>
  </r>
  <r>
    <x v="0"/>
    <x v="6"/>
    <n v="1051"/>
    <n v="15"/>
    <n v="3"/>
    <n v="1063"/>
  </r>
  <r>
    <x v="0"/>
    <x v="7"/>
    <n v="1063"/>
    <n v="10"/>
    <n v="25"/>
    <n v="1048"/>
  </r>
  <r>
    <x v="0"/>
    <x v="8"/>
    <n v="1048"/>
    <n v="10"/>
    <n v="5"/>
    <n v="1053"/>
  </r>
  <r>
    <x v="0"/>
    <x v="9"/>
    <n v="1053"/>
    <n v="30"/>
    <n v="20"/>
    <n v="1063"/>
  </r>
  <r>
    <x v="0"/>
    <x v="10"/>
    <n v="1063"/>
    <n v="12"/>
    <n v="10"/>
    <n v="1065"/>
  </r>
  <r>
    <x v="0"/>
    <x v="11"/>
    <n v="1065"/>
    <n v="8"/>
    <n v="3"/>
    <n v="1070"/>
  </r>
  <r>
    <x v="1"/>
    <x v="0"/>
    <n v="1070"/>
    <n v="20"/>
    <n v="28"/>
    <n v="1062"/>
  </r>
  <r>
    <x v="1"/>
    <x v="1"/>
    <n v="1062"/>
    <n v="10"/>
    <n v="4"/>
    <n v="1068"/>
  </r>
  <r>
    <x v="1"/>
    <x v="2"/>
    <n v="1068"/>
    <n v="11"/>
    <n v="7"/>
    <n v="1072"/>
  </r>
  <r>
    <x v="1"/>
    <x v="3"/>
    <n v="1072"/>
    <n v="5"/>
    <n v="30"/>
    <n v="1047"/>
  </r>
  <r>
    <x v="1"/>
    <x v="4"/>
    <n v="1047"/>
    <n v="45"/>
    <n v="15"/>
    <n v="1077"/>
  </r>
  <r>
    <x v="1"/>
    <x v="5"/>
    <n v="1077"/>
    <n v="25"/>
    <n v="20"/>
    <n v="1082"/>
  </r>
  <r>
    <x v="1"/>
    <x v="6"/>
    <n v="1082"/>
    <n v="15"/>
    <n v="8"/>
    <n v="1089"/>
  </r>
  <r>
    <x v="1"/>
    <x v="7"/>
    <n v="1089"/>
    <n v="15"/>
    <n v="20"/>
    <n v="1084"/>
  </r>
  <r>
    <x v="1"/>
    <x v="8"/>
    <n v="1084"/>
    <n v="5"/>
    <n v="30"/>
    <n v="1059"/>
  </r>
  <r>
    <x v="1"/>
    <x v="9"/>
    <n v="1059"/>
    <n v="25"/>
    <n v="7"/>
    <n v="1077"/>
  </r>
  <r>
    <x v="1"/>
    <x v="10"/>
    <n v="1077"/>
    <n v="3"/>
    <n v="6"/>
    <n v="1074"/>
  </r>
  <r>
    <x v="1"/>
    <x v="11"/>
    <n v="1074"/>
    <n v="42"/>
    <n v="30"/>
    <n v="1086"/>
  </r>
  <r>
    <x v="2"/>
    <x v="0"/>
    <n v="1086"/>
    <n v="45"/>
    <n v="15"/>
    <n v="1116"/>
  </r>
  <r>
    <x v="2"/>
    <x v="1"/>
    <n v="1116"/>
    <n v="20"/>
    <n v="25"/>
    <n v="1111"/>
  </r>
  <r>
    <x v="2"/>
    <x v="2"/>
    <n v="1111"/>
    <n v="15"/>
    <n v="10"/>
    <n v="1116"/>
  </r>
  <r>
    <x v="2"/>
    <x v="3"/>
    <n v="1116"/>
    <n v="35"/>
    <n v="15"/>
    <n v="11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B49EFC-3AD2-419E-8965-9C89F393D679}" name="IRP" cacheId="16" applyNumberFormats="0" applyBorderFormats="0" applyFontFormats="0" applyPatternFormats="0" applyAlignmentFormats="0" applyWidthHeightFormats="1" dataCaption="Valores" showError="1" updatedVersion="6" minRefreshableVersion="3" useAutoFormatting="1" rowGrandTotals="0" colGrandTotals="0" itemPrintTitles="1" mergeItem="1" createdVersion="6" indent="0" outline="1" outlineData="1" multipleFieldFilters="0" chartFormat="11" rowHeaderCaption="Mes" colHeaderCaption="">
  <location ref="A3:D16" firstHeaderRow="1" firstDataRow="2" firstDataCol="1"/>
  <pivotFields count="8">
    <pivotField axis="axisCol" showAll="0">
      <items count="4">
        <item x="0"/>
        <item x="1"/>
        <item x="2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0"/>
  </colFields>
  <colItems count="3">
    <i>
      <x/>
    </i>
    <i>
      <x v="1"/>
    </i>
    <i>
      <x v="2"/>
    </i>
  </colItems>
  <dataFields count="1">
    <dataField name="IR" fld="7" baseField="0" baseItem="0" numFmtId="10"/>
  </dataFields>
  <formats count="15">
    <format dxfId="17">
      <pivotArea dataOnly="0" outline="0" fieldPosition="0">
        <references count="1">
          <reference field="0" count="1">
            <x v="0"/>
          </reference>
        </references>
      </pivotArea>
    </format>
    <format dxfId="16">
      <pivotArea dataOnly="0" outline="0" fieldPosition="0">
        <references count="1">
          <reference field="0" count="1">
            <x v="1"/>
          </reference>
        </references>
      </pivotArea>
    </format>
    <format dxfId="15">
      <pivotArea dataOnly="0" outline="0" fieldPosition="0">
        <references count="1">
          <reference field="4294967294" count="1">
            <x v="0"/>
          </reference>
        </references>
      </pivotArea>
    </format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2">
          <reference field="4294967294" count="1">
            <x v="0"/>
          </reference>
          <reference field="0" count="1" selected="0">
            <x v="0"/>
          </reference>
        </references>
      </pivotArea>
    </format>
    <format dxfId="12">
      <pivotArea dataOnly="0" labelOnly="1" outline="0" fieldPosition="0">
        <references count="2">
          <reference field="4294967294" count="1">
            <x v="0"/>
          </reference>
          <reference field="0" count="1" selected="0">
            <x v="1"/>
          </reference>
        </references>
      </pivotArea>
    </format>
    <format dxfId="11">
      <pivotArea field="1" type="button" dataOnly="0" labelOnly="1" outline="0" axis="axisRow" fieldPosition="0"/>
    </format>
    <format dxfId="10">
      <pivotArea dataOnly="0" labelOnly="1" outline="0" fieldPosition="0">
        <references count="2">
          <reference field="4294967294" count="1">
            <x v="0"/>
          </reference>
          <reference field="0" count="1" selected="0">
            <x v="0"/>
          </reference>
        </references>
      </pivotArea>
    </format>
    <format dxfId="9">
      <pivotArea dataOnly="0" labelOnly="1" outline="0" fieldPosition="0">
        <references count="2">
          <reference field="4294967294" count="1">
            <x v="0"/>
          </reference>
          <reference field="0" count="1" selected="0">
            <x v="1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2">
          <reference field="4294967294" count="1">
            <x v="0"/>
          </reference>
          <reference field="0" count="1" selected="0">
            <x v="0"/>
          </reference>
        </references>
      </pivotArea>
    </format>
    <format dxfId="6">
      <pivotArea dataOnly="0" labelOnly="1" outline="0" fieldPosition="0">
        <references count="2">
          <reference field="4294967294" count="1">
            <x v="0"/>
          </reference>
          <reference field="0" count="1" selected="0">
            <x v="1"/>
          </reference>
        </references>
      </pivotArea>
    </format>
    <format dxfId="5">
      <pivotArea outline="0" fieldPosition="0">
        <references count="1">
          <reference field="4294967294" count="1">
            <x v="0"/>
          </reference>
        </references>
      </pivotArea>
    </format>
    <format dxfId="4">
      <pivotArea type="all" dataOnly="0" outline="0" fieldPosition="0"/>
    </format>
    <format dxfId="3">
      <pivotArea dataOnly="0" labelOnly="1" fieldPosition="0">
        <references count="1">
          <reference field="1" count="0"/>
        </references>
      </pivotArea>
    </format>
  </formats>
  <chartFormats count="3"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9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C773B1-68E0-4612-B148-6520B6284318}" name="Tabla1" displayName="Tabla1" ref="A3:F31" totalsRowShown="0" headerRowDxfId="0" dataDxfId="23" headerRowBorderDxfId="24" tableBorderDxfId="22">
  <autoFilter ref="A3:F31" xr:uid="{BB9A0B56-1AB3-4070-AB10-F311A59EAB6A}"/>
  <tableColumns count="6">
    <tableColumn id="1" xr3:uid="{6D41131C-4DC4-4F8C-9931-0739ECF367CB}" name="Año" dataDxfId="21"/>
    <tableColumn id="2" xr3:uid="{8CECA7A1-C84A-4810-9EDC-5493D0206B62}" name="Mes" dataDxfId="20"/>
    <tableColumn id="3" xr3:uid="{91565D3B-21F5-47E4-8E8A-F98A7FBC77EF}" name="Empleados al Inicio del Mes" dataDxfId="19">
      <calculatedColumnFormula>F3</calculatedColumnFormula>
    </tableColumn>
    <tableColumn id="5" xr3:uid="{BE467811-0BC9-427E-8678-FA4BB3A2DD4F}" name="Empl. Nuevo Ingreso" dataDxfId="18"/>
    <tableColumn id="6" xr3:uid="{B3711237-66BE-4F6C-B4A0-D03F17DAB1A3}" name="Empl. Retirados" dataDxfId="2"/>
    <tableColumn id="4" xr3:uid="{BAFC64D0-86A4-4F15-94E1-4DD4C58063B4}" name="Empleados al Final de Mes" dataDxfId="1">
      <calculatedColumnFormula>Tabla1[[#This Row],[Empleados al Inicio del Mes]]+Tabla1[[#This Row],[Empl. Nuevo Ingreso]]-Tabla1[[#This Row],[Empl. Retirados]]</calculatedColumnFormula>
    </tableColumn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593BE-0B4B-47A3-9B81-93DD66A934CA}">
  <sheetPr codeName="Hoja1">
    <tabColor rgb="FF00B0F0"/>
  </sheetPr>
  <dimension ref="A1:I31"/>
  <sheetViews>
    <sheetView showGridLines="0" workbookViewId="0">
      <pane ySplit="3" topLeftCell="A4" activePane="bottomLeft" state="frozen"/>
      <selection pane="bottomLeft" activeCell="H14" sqref="H14"/>
    </sheetView>
  </sheetViews>
  <sheetFormatPr baseColWidth="10" defaultRowHeight="16.5" x14ac:dyDescent="0.3"/>
  <cols>
    <col min="1" max="1" width="11" style="2"/>
    <col min="2" max="2" width="13.375" style="2" customWidth="1"/>
    <col min="3" max="3" width="16.25" style="2" customWidth="1"/>
    <col min="4" max="4" width="15.5" style="2" customWidth="1"/>
    <col min="5" max="5" width="13.625" customWidth="1"/>
    <col min="6" max="6" width="12.25" style="2" customWidth="1"/>
    <col min="9" max="9" width="11.375" bestFit="1" customWidth="1"/>
  </cols>
  <sheetData>
    <row r="1" spans="1:9" ht="22.5" x14ac:dyDescent="0.3">
      <c r="A1" s="8" t="s">
        <v>20</v>
      </c>
    </row>
    <row r="3" spans="1:9" s="1" customFormat="1" ht="49.5" x14ac:dyDescent="0.3">
      <c r="A3" s="15" t="s">
        <v>0</v>
      </c>
      <c r="B3" s="15" t="s">
        <v>1</v>
      </c>
      <c r="C3" s="15" t="s">
        <v>2</v>
      </c>
      <c r="D3" s="15" t="s">
        <v>4</v>
      </c>
      <c r="E3" s="15" t="s">
        <v>5</v>
      </c>
      <c r="F3" s="15" t="s">
        <v>3</v>
      </c>
      <c r="I3"/>
    </row>
    <row r="4" spans="1:9" x14ac:dyDescent="0.3">
      <c r="A4" s="2">
        <v>2018</v>
      </c>
      <c r="B4" s="3" t="s">
        <v>6</v>
      </c>
      <c r="C4" s="2">
        <v>1047</v>
      </c>
      <c r="D4" s="2">
        <v>4</v>
      </c>
      <c r="E4" s="2">
        <v>2</v>
      </c>
      <c r="F4" s="14">
        <f>Tabla1[[#This Row],[Empleados al Inicio del Mes]]+Tabla1[[#This Row],[Empl. Nuevo Ingreso]]-Tabla1[[#This Row],[Empl. Retirados]]</f>
        <v>1049</v>
      </c>
    </row>
    <row r="5" spans="1:9" x14ac:dyDescent="0.3">
      <c r="A5" s="2">
        <v>2018</v>
      </c>
      <c r="B5" s="3" t="s">
        <v>7</v>
      </c>
      <c r="C5" s="2">
        <f t="shared" ref="C5:C27" si="0">F4</f>
        <v>1049</v>
      </c>
      <c r="D5" s="2">
        <v>2</v>
      </c>
      <c r="E5" s="2">
        <v>3</v>
      </c>
      <c r="F5" s="14">
        <f>Tabla1[[#This Row],[Empleados al Inicio del Mes]]+Tabla1[[#This Row],[Empl. Nuevo Ingreso]]-Tabla1[[#This Row],[Empl. Retirados]]</f>
        <v>1048</v>
      </c>
    </row>
    <row r="6" spans="1:9" x14ac:dyDescent="0.3">
      <c r="A6" s="2">
        <v>2018</v>
      </c>
      <c r="B6" s="3" t="s">
        <v>8</v>
      </c>
      <c r="C6" s="2">
        <f t="shared" si="0"/>
        <v>1048</v>
      </c>
      <c r="D6" s="2">
        <v>3</v>
      </c>
      <c r="E6" s="2">
        <v>4</v>
      </c>
      <c r="F6" s="14">
        <f>Tabla1[[#This Row],[Empleados al Inicio del Mes]]+Tabla1[[#This Row],[Empl. Nuevo Ingreso]]-Tabla1[[#This Row],[Empl. Retirados]]</f>
        <v>1047</v>
      </c>
    </row>
    <row r="7" spans="1:9" x14ac:dyDescent="0.3">
      <c r="A7" s="2">
        <v>2018</v>
      </c>
      <c r="B7" s="3" t="s">
        <v>9</v>
      </c>
      <c r="C7" s="2">
        <f t="shared" si="0"/>
        <v>1047</v>
      </c>
      <c r="D7" s="2">
        <v>15</v>
      </c>
      <c r="E7" s="2">
        <v>20</v>
      </c>
      <c r="F7" s="14">
        <f>Tabla1[[#This Row],[Empleados al Inicio del Mes]]+Tabla1[[#This Row],[Empl. Nuevo Ingreso]]-Tabla1[[#This Row],[Empl. Retirados]]</f>
        <v>1042</v>
      </c>
    </row>
    <row r="8" spans="1:9" x14ac:dyDescent="0.3">
      <c r="A8" s="2">
        <v>2018</v>
      </c>
      <c r="B8" s="3" t="s">
        <v>10</v>
      </c>
      <c r="C8" s="2">
        <f t="shared" si="0"/>
        <v>1042</v>
      </c>
      <c r="D8" s="2">
        <v>2</v>
      </c>
      <c r="E8" s="2">
        <v>2</v>
      </c>
      <c r="F8" s="14">
        <f>Tabla1[[#This Row],[Empleados al Inicio del Mes]]+Tabla1[[#This Row],[Empl. Nuevo Ingreso]]-Tabla1[[#This Row],[Empl. Retirados]]</f>
        <v>1042</v>
      </c>
    </row>
    <row r="9" spans="1:9" x14ac:dyDescent="0.3">
      <c r="A9" s="2">
        <v>2018</v>
      </c>
      <c r="B9" s="3" t="s">
        <v>11</v>
      </c>
      <c r="C9" s="2">
        <f t="shared" si="0"/>
        <v>1042</v>
      </c>
      <c r="D9" s="2">
        <v>10</v>
      </c>
      <c r="E9" s="2">
        <v>1</v>
      </c>
      <c r="F9" s="14">
        <f>Tabla1[[#This Row],[Empleados al Inicio del Mes]]+Tabla1[[#This Row],[Empl. Nuevo Ingreso]]-Tabla1[[#This Row],[Empl. Retirados]]</f>
        <v>1051</v>
      </c>
    </row>
    <row r="10" spans="1:9" x14ac:dyDescent="0.3">
      <c r="A10" s="2">
        <v>2018</v>
      </c>
      <c r="B10" s="3" t="s">
        <v>12</v>
      </c>
      <c r="C10" s="2">
        <f t="shared" si="0"/>
        <v>1051</v>
      </c>
      <c r="D10" s="2">
        <v>15</v>
      </c>
      <c r="E10" s="2">
        <v>3</v>
      </c>
      <c r="F10" s="14">
        <f>Tabla1[[#This Row],[Empleados al Inicio del Mes]]+Tabla1[[#This Row],[Empl. Nuevo Ingreso]]-Tabla1[[#This Row],[Empl. Retirados]]</f>
        <v>1063</v>
      </c>
    </row>
    <row r="11" spans="1:9" x14ac:dyDescent="0.3">
      <c r="A11" s="2">
        <v>2018</v>
      </c>
      <c r="B11" s="3" t="s">
        <v>13</v>
      </c>
      <c r="C11" s="2">
        <f t="shared" si="0"/>
        <v>1063</v>
      </c>
      <c r="D11" s="2">
        <v>10</v>
      </c>
      <c r="E11" s="2">
        <v>25</v>
      </c>
      <c r="F11" s="14">
        <f>Tabla1[[#This Row],[Empleados al Inicio del Mes]]+Tabla1[[#This Row],[Empl. Nuevo Ingreso]]-Tabla1[[#This Row],[Empl. Retirados]]</f>
        <v>1048</v>
      </c>
    </row>
    <row r="12" spans="1:9" x14ac:dyDescent="0.3">
      <c r="A12" s="2">
        <v>2018</v>
      </c>
      <c r="B12" s="3" t="s">
        <v>14</v>
      </c>
      <c r="C12" s="2">
        <f t="shared" si="0"/>
        <v>1048</v>
      </c>
      <c r="D12" s="2">
        <v>10</v>
      </c>
      <c r="E12" s="2">
        <v>5</v>
      </c>
      <c r="F12" s="14">
        <f>Tabla1[[#This Row],[Empleados al Inicio del Mes]]+Tabla1[[#This Row],[Empl. Nuevo Ingreso]]-Tabla1[[#This Row],[Empl. Retirados]]</f>
        <v>1053</v>
      </c>
    </row>
    <row r="13" spans="1:9" x14ac:dyDescent="0.3">
      <c r="A13" s="2">
        <v>2018</v>
      </c>
      <c r="B13" s="3" t="s">
        <v>15</v>
      </c>
      <c r="C13" s="2">
        <f t="shared" si="0"/>
        <v>1053</v>
      </c>
      <c r="D13" s="2">
        <v>30</v>
      </c>
      <c r="E13" s="2">
        <v>20</v>
      </c>
      <c r="F13" s="14">
        <f>Tabla1[[#This Row],[Empleados al Inicio del Mes]]+Tabla1[[#This Row],[Empl. Nuevo Ingreso]]-Tabla1[[#This Row],[Empl. Retirados]]</f>
        <v>1063</v>
      </c>
    </row>
    <row r="14" spans="1:9" x14ac:dyDescent="0.3">
      <c r="A14" s="2">
        <v>2018</v>
      </c>
      <c r="B14" s="3" t="s">
        <v>16</v>
      </c>
      <c r="C14" s="2">
        <f t="shared" si="0"/>
        <v>1063</v>
      </c>
      <c r="D14" s="2">
        <v>12</v>
      </c>
      <c r="E14" s="2">
        <v>10</v>
      </c>
      <c r="F14" s="14">
        <f>Tabla1[[#This Row],[Empleados al Inicio del Mes]]+Tabla1[[#This Row],[Empl. Nuevo Ingreso]]-Tabla1[[#This Row],[Empl. Retirados]]</f>
        <v>1065</v>
      </c>
    </row>
    <row r="15" spans="1:9" x14ac:dyDescent="0.3">
      <c r="A15" s="2">
        <v>2018</v>
      </c>
      <c r="B15" s="3" t="s">
        <v>17</v>
      </c>
      <c r="C15" s="2">
        <f t="shared" si="0"/>
        <v>1065</v>
      </c>
      <c r="D15" s="2">
        <v>8</v>
      </c>
      <c r="E15" s="2">
        <v>3</v>
      </c>
      <c r="F15" s="14">
        <f>Tabla1[[#This Row],[Empleados al Inicio del Mes]]+Tabla1[[#This Row],[Empl. Nuevo Ingreso]]-Tabla1[[#This Row],[Empl. Retirados]]</f>
        <v>1070</v>
      </c>
      <c r="I15" s="13"/>
    </row>
    <row r="16" spans="1:9" x14ac:dyDescent="0.3">
      <c r="A16" s="2">
        <v>2019</v>
      </c>
      <c r="B16" s="3" t="s">
        <v>6</v>
      </c>
      <c r="C16" s="2">
        <f t="shared" si="0"/>
        <v>1070</v>
      </c>
      <c r="D16" s="2">
        <v>20</v>
      </c>
      <c r="E16" s="2">
        <v>28</v>
      </c>
      <c r="F16" s="14">
        <f>Tabla1[[#This Row],[Empleados al Inicio del Mes]]+Tabla1[[#This Row],[Empl. Nuevo Ingreso]]-Tabla1[[#This Row],[Empl. Retirados]]</f>
        <v>1062</v>
      </c>
    </row>
    <row r="17" spans="1:6" x14ac:dyDescent="0.3">
      <c r="A17" s="2">
        <v>2019</v>
      </c>
      <c r="B17" s="3" t="s">
        <v>7</v>
      </c>
      <c r="C17" s="2">
        <f t="shared" si="0"/>
        <v>1062</v>
      </c>
      <c r="D17" s="2">
        <v>10</v>
      </c>
      <c r="E17" s="2">
        <v>4</v>
      </c>
      <c r="F17" s="14">
        <f>Tabla1[[#This Row],[Empleados al Inicio del Mes]]+Tabla1[[#This Row],[Empl. Nuevo Ingreso]]-Tabla1[[#This Row],[Empl. Retirados]]</f>
        <v>1068</v>
      </c>
    </row>
    <row r="18" spans="1:6" x14ac:dyDescent="0.3">
      <c r="A18" s="2">
        <v>2019</v>
      </c>
      <c r="B18" s="3" t="s">
        <v>8</v>
      </c>
      <c r="C18" s="2">
        <f t="shared" si="0"/>
        <v>1068</v>
      </c>
      <c r="D18" s="2">
        <v>11</v>
      </c>
      <c r="E18" s="2">
        <v>7</v>
      </c>
      <c r="F18" s="14">
        <f>Tabla1[[#This Row],[Empleados al Inicio del Mes]]+Tabla1[[#This Row],[Empl. Nuevo Ingreso]]-Tabla1[[#This Row],[Empl. Retirados]]</f>
        <v>1072</v>
      </c>
    </row>
    <row r="19" spans="1:6" x14ac:dyDescent="0.3">
      <c r="A19" s="2">
        <v>2019</v>
      </c>
      <c r="B19" s="3" t="s">
        <v>9</v>
      </c>
      <c r="C19" s="2">
        <f t="shared" si="0"/>
        <v>1072</v>
      </c>
      <c r="D19" s="2">
        <v>5</v>
      </c>
      <c r="E19" s="2">
        <v>30</v>
      </c>
      <c r="F19" s="14">
        <f>Tabla1[[#This Row],[Empleados al Inicio del Mes]]+Tabla1[[#This Row],[Empl. Nuevo Ingreso]]-Tabla1[[#This Row],[Empl. Retirados]]</f>
        <v>1047</v>
      </c>
    </row>
    <row r="20" spans="1:6" x14ac:dyDescent="0.3">
      <c r="A20" s="2">
        <v>2019</v>
      </c>
      <c r="B20" s="3" t="s">
        <v>10</v>
      </c>
      <c r="C20" s="2">
        <f t="shared" si="0"/>
        <v>1047</v>
      </c>
      <c r="D20" s="2">
        <v>45</v>
      </c>
      <c r="E20" s="2">
        <v>15</v>
      </c>
      <c r="F20" s="14">
        <f>Tabla1[[#This Row],[Empleados al Inicio del Mes]]+Tabla1[[#This Row],[Empl. Nuevo Ingreso]]-Tabla1[[#This Row],[Empl. Retirados]]</f>
        <v>1077</v>
      </c>
    </row>
    <row r="21" spans="1:6" x14ac:dyDescent="0.3">
      <c r="A21" s="2">
        <v>2019</v>
      </c>
      <c r="B21" s="3" t="s">
        <v>11</v>
      </c>
      <c r="C21" s="2">
        <f t="shared" si="0"/>
        <v>1077</v>
      </c>
      <c r="D21" s="2">
        <v>25</v>
      </c>
      <c r="E21" s="2">
        <v>20</v>
      </c>
      <c r="F21" s="14">
        <f>Tabla1[[#This Row],[Empleados al Inicio del Mes]]+Tabla1[[#This Row],[Empl. Nuevo Ingreso]]-Tabla1[[#This Row],[Empl. Retirados]]</f>
        <v>1082</v>
      </c>
    </row>
    <row r="22" spans="1:6" x14ac:dyDescent="0.3">
      <c r="A22" s="2">
        <v>2019</v>
      </c>
      <c r="B22" s="3" t="s">
        <v>12</v>
      </c>
      <c r="C22" s="2">
        <f t="shared" si="0"/>
        <v>1082</v>
      </c>
      <c r="D22" s="2">
        <v>15</v>
      </c>
      <c r="E22" s="2">
        <v>8</v>
      </c>
      <c r="F22" s="14">
        <f>Tabla1[[#This Row],[Empleados al Inicio del Mes]]+Tabla1[[#This Row],[Empl. Nuevo Ingreso]]-Tabla1[[#This Row],[Empl. Retirados]]</f>
        <v>1089</v>
      </c>
    </row>
    <row r="23" spans="1:6" x14ac:dyDescent="0.3">
      <c r="A23" s="2">
        <v>2019</v>
      </c>
      <c r="B23" s="3" t="s">
        <v>13</v>
      </c>
      <c r="C23" s="2">
        <f t="shared" si="0"/>
        <v>1089</v>
      </c>
      <c r="D23" s="2">
        <v>15</v>
      </c>
      <c r="E23" s="2">
        <v>20</v>
      </c>
      <c r="F23" s="14">
        <f>Tabla1[[#This Row],[Empleados al Inicio del Mes]]+Tabla1[[#This Row],[Empl. Nuevo Ingreso]]-Tabla1[[#This Row],[Empl. Retirados]]</f>
        <v>1084</v>
      </c>
    </row>
    <row r="24" spans="1:6" x14ac:dyDescent="0.3">
      <c r="A24" s="2">
        <v>2019</v>
      </c>
      <c r="B24" s="3" t="s">
        <v>14</v>
      </c>
      <c r="C24" s="2">
        <f t="shared" si="0"/>
        <v>1084</v>
      </c>
      <c r="D24" s="2">
        <v>5</v>
      </c>
      <c r="E24" s="2">
        <v>30</v>
      </c>
      <c r="F24" s="14">
        <f>Tabla1[[#This Row],[Empleados al Inicio del Mes]]+Tabla1[[#This Row],[Empl. Nuevo Ingreso]]-Tabla1[[#This Row],[Empl. Retirados]]</f>
        <v>1059</v>
      </c>
    </row>
    <row r="25" spans="1:6" x14ac:dyDescent="0.3">
      <c r="A25" s="2">
        <v>2019</v>
      </c>
      <c r="B25" s="3" t="s">
        <v>15</v>
      </c>
      <c r="C25" s="2">
        <f t="shared" si="0"/>
        <v>1059</v>
      </c>
      <c r="D25" s="2">
        <v>25</v>
      </c>
      <c r="E25" s="2">
        <v>7</v>
      </c>
      <c r="F25" s="14">
        <f>Tabla1[[#This Row],[Empleados al Inicio del Mes]]+Tabla1[[#This Row],[Empl. Nuevo Ingreso]]-Tabla1[[#This Row],[Empl. Retirados]]</f>
        <v>1077</v>
      </c>
    </row>
    <row r="26" spans="1:6" x14ac:dyDescent="0.3">
      <c r="A26" s="2">
        <v>2019</v>
      </c>
      <c r="B26" s="3" t="s">
        <v>16</v>
      </c>
      <c r="C26" s="2">
        <f t="shared" si="0"/>
        <v>1077</v>
      </c>
      <c r="D26" s="2">
        <v>3</v>
      </c>
      <c r="E26" s="2">
        <v>6</v>
      </c>
      <c r="F26" s="14">
        <f>Tabla1[[#This Row],[Empleados al Inicio del Mes]]+Tabla1[[#This Row],[Empl. Nuevo Ingreso]]-Tabla1[[#This Row],[Empl. Retirados]]</f>
        <v>1074</v>
      </c>
    </row>
    <row r="27" spans="1:6" x14ac:dyDescent="0.3">
      <c r="A27" s="2">
        <v>2019</v>
      </c>
      <c r="B27" s="3" t="s">
        <v>17</v>
      </c>
      <c r="C27" s="2">
        <f t="shared" si="0"/>
        <v>1074</v>
      </c>
      <c r="D27" s="2">
        <v>42</v>
      </c>
      <c r="E27" s="2">
        <v>30</v>
      </c>
      <c r="F27" s="14">
        <f>Tabla1[[#This Row],[Empleados al Inicio del Mes]]+Tabla1[[#This Row],[Empl. Nuevo Ingreso]]-Tabla1[[#This Row],[Empl. Retirados]]</f>
        <v>1086</v>
      </c>
    </row>
    <row r="28" spans="1:6" x14ac:dyDescent="0.3">
      <c r="A28" s="5">
        <v>2020</v>
      </c>
      <c r="B28" s="3" t="s">
        <v>6</v>
      </c>
      <c r="C28" s="5">
        <f>F27</f>
        <v>1086</v>
      </c>
      <c r="D28" s="5">
        <v>45</v>
      </c>
      <c r="E28" s="5">
        <v>15</v>
      </c>
      <c r="F28" s="14">
        <f>Tabla1[[#This Row],[Empleados al Inicio del Mes]]+Tabla1[[#This Row],[Empl. Nuevo Ingreso]]-Tabla1[[#This Row],[Empl. Retirados]]</f>
        <v>1116</v>
      </c>
    </row>
    <row r="29" spans="1:6" x14ac:dyDescent="0.3">
      <c r="A29" s="5">
        <v>2020</v>
      </c>
      <c r="B29" s="3" t="s">
        <v>7</v>
      </c>
      <c r="C29" s="5">
        <f>F28</f>
        <v>1116</v>
      </c>
      <c r="D29" s="5">
        <v>20</v>
      </c>
      <c r="E29" s="5">
        <v>25</v>
      </c>
      <c r="F29" s="14">
        <f>Tabla1[[#This Row],[Empleados al Inicio del Mes]]+Tabla1[[#This Row],[Empl. Nuevo Ingreso]]-Tabla1[[#This Row],[Empl. Retirados]]</f>
        <v>1111</v>
      </c>
    </row>
    <row r="30" spans="1:6" x14ac:dyDescent="0.3">
      <c r="A30" s="5">
        <v>2020</v>
      </c>
      <c r="B30" s="3" t="s">
        <v>8</v>
      </c>
      <c r="C30" s="5">
        <f>F29</f>
        <v>1111</v>
      </c>
      <c r="D30" s="5">
        <v>15</v>
      </c>
      <c r="E30" s="5">
        <v>10</v>
      </c>
      <c r="F30" s="14">
        <f>Tabla1[[#This Row],[Empleados al Inicio del Mes]]+Tabla1[[#This Row],[Empl. Nuevo Ingreso]]-Tabla1[[#This Row],[Empl. Retirados]]</f>
        <v>1116</v>
      </c>
    </row>
    <row r="31" spans="1:6" x14ac:dyDescent="0.3">
      <c r="A31" s="5">
        <v>2020</v>
      </c>
      <c r="B31" s="3" t="s">
        <v>9</v>
      </c>
      <c r="C31" s="5">
        <f>F30</f>
        <v>1116</v>
      </c>
      <c r="D31" s="5">
        <v>35</v>
      </c>
      <c r="E31" s="5">
        <v>15</v>
      </c>
      <c r="F31" s="14">
        <f>Tabla1[[#This Row],[Empleados al Inicio del Mes]]+Tabla1[[#This Row],[Empl. Nuevo Ingreso]]-Tabla1[[#This Row],[Empl. Retirados]]</f>
        <v>1136</v>
      </c>
    </row>
  </sheetData>
  <pageMargins left="0.7" right="0.7" top="0.75" bottom="0.75" header="0.3" footer="0.3"/>
  <ignoredErrors>
    <ignoredError sqref="C4" calculatedColumn="1"/>
  </ignoredErrors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687A2-0679-4A17-B22A-3FCE1880814F}">
  <sheetPr codeName="Hoja3">
    <tabColor rgb="FF002060"/>
  </sheetPr>
  <dimension ref="A1:J16"/>
  <sheetViews>
    <sheetView showGridLines="0" tabSelected="1" workbookViewId="0">
      <selection activeCell="F7" sqref="F7"/>
    </sheetView>
  </sheetViews>
  <sheetFormatPr baseColWidth="10" defaultRowHeight="16.5" x14ac:dyDescent="0.3"/>
  <cols>
    <col min="1" max="1" width="11.25" bestFit="1" customWidth="1"/>
    <col min="2" max="4" width="5.875" bestFit="1" customWidth="1"/>
    <col min="5" max="6" width="4.875" bestFit="1" customWidth="1"/>
    <col min="7" max="7" width="6.125" customWidth="1"/>
    <col min="8" max="10" width="6" bestFit="1" customWidth="1"/>
  </cols>
  <sheetData>
    <row r="1" spans="1:10" ht="25.5" x14ac:dyDescent="0.35">
      <c r="A1" s="7" t="s">
        <v>21</v>
      </c>
    </row>
    <row r="3" spans="1:10" x14ac:dyDescent="0.3">
      <c r="A3" s="10" t="s">
        <v>19</v>
      </c>
      <c r="B3" s="10" t="s">
        <v>18</v>
      </c>
      <c r="C3" s="9"/>
      <c r="D3" s="9"/>
    </row>
    <row r="4" spans="1:10" x14ac:dyDescent="0.3">
      <c r="A4" s="6" t="s">
        <v>1</v>
      </c>
      <c r="B4" s="4">
        <v>2018</v>
      </c>
      <c r="C4" s="4">
        <v>2019</v>
      </c>
      <c r="D4" s="4">
        <v>2020</v>
      </c>
    </row>
    <row r="5" spans="1:10" s="1" customFormat="1" x14ac:dyDescent="0.3">
      <c r="A5" s="12" t="s">
        <v>6</v>
      </c>
      <c r="B5" s="11">
        <v>2.8625954198473282E-3</v>
      </c>
      <c r="C5" s="11">
        <v>2.2514071294559099E-2</v>
      </c>
      <c r="D5" s="11">
        <v>2.7247956403269755E-2</v>
      </c>
      <c r="E5"/>
      <c r="F5"/>
      <c r="G5"/>
      <c r="H5"/>
      <c r="I5"/>
      <c r="J5"/>
    </row>
    <row r="6" spans="1:10" x14ac:dyDescent="0.3">
      <c r="A6" s="12" t="s">
        <v>7</v>
      </c>
      <c r="B6" s="11">
        <v>2.384358607534573E-3</v>
      </c>
      <c r="C6" s="11">
        <v>6.5727699530516428E-3</v>
      </c>
      <c r="D6" s="11">
        <v>2.020655590480467E-2</v>
      </c>
    </row>
    <row r="7" spans="1:10" x14ac:dyDescent="0.3">
      <c r="A7" s="12" t="s">
        <v>8</v>
      </c>
      <c r="B7" s="11">
        <v>3.3412887828162289E-3</v>
      </c>
      <c r="C7" s="11">
        <v>8.4112149532710283E-3</v>
      </c>
      <c r="D7" s="11">
        <v>1.1225864391558151E-2</v>
      </c>
    </row>
    <row r="8" spans="1:10" x14ac:dyDescent="0.3">
      <c r="A8" s="12" t="s">
        <v>9</v>
      </c>
      <c r="B8" s="11">
        <v>1.6754427955959789E-2</v>
      </c>
      <c r="C8" s="11">
        <v>1.651722510618216E-2</v>
      </c>
      <c r="D8" s="11">
        <v>2.2202486678507993E-2</v>
      </c>
    </row>
    <row r="9" spans="1:10" x14ac:dyDescent="0.3">
      <c r="A9" s="12" t="s">
        <v>10</v>
      </c>
      <c r="B9" s="11">
        <v>1.9193857965451055E-3</v>
      </c>
      <c r="C9" s="11">
        <v>2.8248587570621469E-2</v>
      </c>
      <c r="D9" s="11"/>
    </row>
    <row r="10" spans="1:10" x14ac:dyDescent="0.3">
      <c r="A10" s="12" t="s">
        <v>11</v>
      </c>
      <c r="B10" s="11">
        <v>5.255613951266125E-3</v>
      </c>
      <c r="C10" s="11">
        <v>2.0842982862436313E-2</v>
      </c>
      <c r="D10" s="11"/>
    </row>
    <row r="11" spans="1:10" x14ac:dyDescent="0.3">
      <c r="A11" s="12" t="s">
        <v>12</v>
      </c>
      <c r="B11" s="11">
        <v>8.5146641438032175E-3</v>
      </c>
      <c r="C11" s="11">
        <v>1.0594196222938737E-2</v>
      </c>
      <c r="D11" s="11"/>
    </row>
    <row r="12" spans="1:10" x14ac:dyDescent="0.3">
      <c r="A12" s="12" t="s">
        <v>13</v>
      </c>
      <c r="B12" s="11">
        <v>1.6579819990525817E-2</v>
      </c>
      <c r="C12" s="11">
        <v>1.6106764841233318E-2</v>
      </c>
      <c r="D12" s="11"/>
    </row>
    <row r="13" spans="1:10" x14ac:dyDescent="0.3">
      <c r="A13" s="12" t="s">
        <v>14</v>
      </c>
      <c r="B13" s="11">
        <v>7.139457401237506E-3</v>
      </c>
      <c r="C13" s="11">
        <v>1.6332244517032198E-2</v>
      </c>
      <c r="D13" s="11"/>
    </row>
    <row r="14" spans="1:10" x14ac:dyDescent="0.3">
      <c r="A14" s="12" t="s">
        <v>15</v>
      </c>
      <c r="B14" s="11">
        <v>2.3629489603024575E-2</v>
      </c>
      <c r="C14" s="11">
        <v>1.4981273408239701E-2</v>
      </c>
      <c r="D14" s="11"/>
    </row>
    <row r="15" spans="1:10" x14ac:dyDescent="0.3">
      <c r="A15" s="12" t="s">
        <v>16</v>
      </c>
      <c r="B15" s="11">
        <v>1.0338345864661654E-2</v>
      </c>
      <c r="C15" s="11">
        <v>4.1841004184100415E-3</v>
      </c>
      <c r="D15" s="11"/>
    </row>
    <row r="16" spans="1:10" x14ac:dyDescent="0.3">
      <c r="A16" s="12" t="s">
        <v>17</v>
      </c>
      <c r="B16" s="11">
        <v>5.1522248243559719E-3</v>
      </c>
      <c r="C16" s="11">
        <v>3.3333333333333333E-2</v>
      </c>
      <c r="D16" s="11"/>
    </row>
  </sheetData>
  <pageMargins left="0.7" right="0.7" top="0.75" bottom="0.75" header="0.3" footer="0.3"/>
  <pageSetup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1025" r:id="rId5" name="Label1">
          <controlPr defaultSize="0" autoLine="0" autoPict="0" r:id="rId6">
            <anchor moveWithCells="1">
              <from>
                <xdr:col>0</xdr:col>
                <xdr:colOff>19050</xdr:colOff>
                <xdr:row>16</xdr:row>
                <xdr:rowOff>47625</xdr:rowOff>
              </from>
              <to>
                <xdr:col>10</xdr:col>
                <xdr:colOff>180975</xdr:colOff>
                <xdr:row>17</xdr:row>
                <xdr:rowOff>9525</xdr:rowOff>
              </to>
            </anchor>
          </controlPr>
        </control>
      </mc:Choice>
      <mc:Fallback>
        <control shapeId="1025" r:id="rId5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BaseDatos</vt:lpstr>
      <vt:lpstr>IRP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dcterms:created xsi:type="dcterms:W3CDTF">2019-03-16T00:37:13Z</dcterms:created>
  <dcterms:modified xsi:type="dcterms:W3CDTF">2020-07-30T04:45:04Z</dcterms:modified>
</cp:coreProperties>
</file>