
<file path=[Content_Types].xml><?xml version="1.0" encoding="utf-8"?>
<Types xmlns="http://schemas.openxmlformats.org/package/2006/content-types">
  <Default Extension="xml" ContentType="application/vnd.openxmlformats-package.core-properties+xml"/>
  <Default Extension="rels" ContentType="application/vnd.openxmlformats-package.relationships+xml"/>
  <Default Extension="png" ContentType="image/png"/>
  <Default Extension="svg" ContentType="image/svg+xml"/>
  <Default Extension="bin" ContentType="application/vnd.openxmlformats-officedocument.spreadsheetml.printerSettings"/>
  <Override PartName="/docMetadata/LabelInfo.xml" ContentType="application/vnd.ms-office.classificationlabels+xml"/>
  <Override PartName="/xl/workbook.xml" ContentType="application/vnd.openxmlformats-officedocument.spreadsheetml.template.main+xml"/>
  <Override PartName="/customXml/item2.xml" ContentType="application/xml"/>
  <Override PartName="/customXml/itemProps21.xml" ContentType="application/vnd.openxmlformats-officedocument.customXmlProperties+xml"/>
  <Override PartName="/xl/theme/theme11.xml" ContentType="application/vnd.openxmlformats-officedocument.theme+xml"/>
  <Override PartName="/customXml/item12.xml" ContentType="application/xml"/>
  <Override PartName="/customXml/itemProps12.xml" ContentType="application/vnd.openxmlformats-officedocument.customXmlProperties+xml"/>
  <Override PartName="/xl/externalLinks/externalLink11.xml" ContentType="application/vnd.openxmlformats-officedocument.spreadsheetml.externalLink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customXml/item33.xml" ContentType="application/xml"/>
  <Override PartName="/customXml/itemProps33.xml" ContentType="application/vnd.openxmlformats-officedocument.customXml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/docProps/core.xml" Id="rId3" /><Relationship Type="http://schemas.microsoft.com/office/2020/02/relationships/classificationlabels" Target="/docMetadata/LabelInfo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5" /><Relationship Type="http://schemas.openxmlformats.org/officeDocument/2006/relationships/extended-properties" Target="/docProps/app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/>
  <workbookPr filterPrivacy="1"/>
  <xr:revisionPtr revIDLastSave="37" documentId="13_ncr:1_{3EEE6DC5-B0DE-4BA0-9D05-79BE58263D73}" xr6:coauthVersionLast="47" xr6:coauthVersionMax="47" xr10:uidLastSave="{DC2091B4-E384-497A-880E-F3E825E91247}"/>
  <bookViews>
    <workbookView xWindow="-120" yWindow="-120" windowWidth="29070" windowHeight="16080" xr2:uid="{00000000-000D-0000-FFFF-FFFF00000000}"/>
  </bookViews>
  <sheets>
    <sheet name="Registro de cheques" sheetId="7" r:id="rId1"/>
  </sheets>
  <externalReferences>
    <externalReference r:id="rId2"/>
  </externalReferences>
  <definedNames>
    <definedName name="CategoryLookup">Resumen[Categoría]</definedName>
    <definedName name="RegiónTítuloFila1..I1">'Registro de cheques'!$E$1</definedName>
    <definedName name="Título1">Resumen[[#Headers],[Categoría]]</definedName>
    <definedName name="TítuloColumna1">Registro[[#Headers],[N.º de cheque]]</definedName>
    <definedName name="_xlnm.Print_Titles" localSheetId="0">'[1]Registro de cheques''Registro de'!$2:$2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7" l="1"/>
  <c r="K5" i="7" s="1"/>
  <c r="K6" i="7" s="1"/>
  <c r="K7" i="7" s="1"/>
  <c r="K8" i="7" s="1"/>
  <c r="K9" i="7" s="1"/>
  <c r="C9" i="7"/>
  <c r="C8" i="7"/>
  <c r="C7" i="7"/>
  <c r="C6" i="7"/>
  <c r="C5" i="7"/>
  <c r="C4" i="7"/>
</calcChain>
</file>

<file path=xl/sharedStrings.xml><?xml version="1.0" encoding="utf-8"?>
<sst xmlns="http://schemas.openxmlformats.org/spreadsheetml/2006/main" count="33" uniqueCount="24">
  <si>
    <t>REGISTRO DE CHEQUES</t>
  </si>
  <si>
    <t>Resumen de gastos</t>
  </si>
  <si>
    <t>Categoría</t>
  </si>
  <si>
    <t>Depósito</t>
  </si>
  <si>
    <t>Comestibles</t>
  </si>
  <si>
    <t>Entretenimiento</t>
  </si>
  <si>
    <t>Centro educativo</t>
  </si>
  <si>
    <t>Servicios públicos</t>
  </si>
  <si>
    <t>Otros</t>
  </si>
  <si>
    <t>Total</t>
  </si>
  <si>
    <t>N.º de cheque</t>
  </si>
  <si>
    <t>Tarjeta de débito</t>
  </si>
  <si>
    <t>Saldo actual</t>
  </si>
  <si>
    <t>Fecha</t>
  </si>
  <si>
    <t>Descripción</t>
  </si>
  <si>
    <t>Saldo inicial</t>
  </si>
  <si>
    <t>Matrícula del centro educativo</t>
  </si>
  <si>
    <t>City Power &amp; Light</t>
  </si>
  <si>
    <t>Material escolar</t>
  </si>
  <si>
    <t>Supermercado</t>
  </si>
  <si>
    <t>Vídeo de Southridge</t>
  </si>
  <si>
    <t>Retirada (-)</t>
  </si>
  <si>
    <t>Depósito (+)</t>
  </si>
  <si>
    <t>Saldo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</si>
</sst>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_);_(* \(#,##0\);_(* &quot;-&quot;_);_(@_)"/>
    <numFmt numFmtId="165" formatCode="_(* #,##0.00_);_(* \(#,##0.00\);_(* &quot;-&quot;??_);_(@_)"/>
    <numFmt numFmtId="166" formatCode="#,##0.00\ &quot;€&quot;"/>
  </numFmts>
  <fonts count="26">
    <font>
      <sz val="11"/>
      <color theme="3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b/>
      <sz val="18"/>
      <color theme="2"/>
      <name val="Calibri"/>
      <family val="2"/>
      <scheme val="minor"/>
    </font>
    <font>
      <b/>
      <sz val="12"/>
      <color theme="2"/>
      <name val="Book Antiqua"/>
      <family val="2"/>
      <scheme val="major"/>
    </font>
    <font>
      <b/>
      <sz val="26"/>
      <color theme="3"/>
      <name val="Book Antiqua"/>
      <family val="2"/>
      <scheme val="major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6" tint="-0.749992370372631"/>
      <name val="Calibri"/>
      <family val="2"/>
      <scheme val="minor"/>
    </font>
    <font>
      <b/>
      <sz val="11"/>
      <color theme="6" tint="-0.749992370372631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52"/>
      <color theme="7"/>
      <name val="Book Antiqua"/>
      <family val="1"/>
      <scheme val="major"/>
    </font>
    <font>
      <b/>
      <sz val="52"/>
      <color theme="8"/>
      <name val="Book Antiqua"/>
      <family val="1"/>
      <scheme val="maj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rgb="FF00000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26">
    <border>
      <left/>
      <right/>
      <top/>
      <bottom/>
      <diagonal/>
    </border>
    <border>
      <left/>
      <right style="thin">
        <color theme="3"/>
      </right>
      <top/>
      <bottom/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theme="4" tint="-9.99786370433668E-2"/>
      </left>
      <right/>
      <top style="thin">
        <color theme="7"/>
      </top>
      <bottom style="thin">
        <color theme="7"/>
      </bottom>
      <diagonal/>
    </border>
    <border>
      <left style="thin">
        <color theme="4" tint="-9.99786370433668E-2"/>
      </left>
      <right/>
      <top/>
      <bottom style="thin">
        <color theme="3"/>
      </bottom>
      <diagonal/>
    </border>
    <border>
      <left style="thin">
        <color theme="4" tint="-9.99786370433668E-2"/>
      </left>
      <right/>
      <top style="thin">
        <color theme="3"/>
      </top>
      <bottom style="thin">
        <color theme="3"/>
      </bottom>
      <diagonal/>
    </border>
    <border>
      <left style="thin">
        <color theme="4" tint="-9.99786370433668E-2"/>
      </left>
      <right/>
      <top style="thin">
        <color theme="3"/>
      </top>
      <bottom/>
      <diagonal/>
    </border>
    <border>
      <left/>
      <right style="thin">
        <color theme="4" tint="-9.99786370433668E-2"/>
      </right>
      <top style="thin">
        <color theme="7"/>
      </top>
      <bottom style="thin">
        <color theme="7"/>
      </bottom>
      <diagonal/>
    </border>
    <border>
      <left/>
      <right style="thin">
        <color theme="4" tint="-9.99786370433668E-2"/>
      </right>
      <top/>
      <bottom style="thin">
        <color theme="3"/>
      </bottom>
      <diagonal/>
    </border>
    <border>
      <left/>
      <right style="thin">
        <color theme="4" tint="-9.99786370433668E-2"/>
      </right>
      <top style="thin">
        <color theme="3"/>
      </top>
      <bottom style="thin">
        <color theme="3"/>
      </bottom>
      <diagonal/>
    </border>
    <border>
      <left/>
      <right style="thin">
        <color theme="4" tint="-9.99786370433668E-2"/>
      </right>
      <top style="thin">
        <color theme="3"/>
      </top>
      <bottom/>
      <diagonal/>
    </border>
    <border>
      <left style="thin">
        <color theme="3"/>
      </left>
      <right style="thin">
        <color theme="4" tint="-9.99786370433668E-2"/>
      </right>
      <top style="thin">
        <color theme="7"/>
      </top>
      <bottom/>
      <diagonal/>
    </border>
    <border>
      <left style="thin">
        <color theme="3"/>
      </left>
      <right style="thin">
        <color theme="4" tint="-9.99786370433668E-2"/>
      </right>
      <top/>
      <bottom/>
      <diagonal/>
    </border>
    <border>
      <left style="thin">
        <color theme="3"/>
      </left>
      <right style="thin">
        <color theme="4" tint="-9.99786370433668E-2"/>
      </right>
      <top/>
      <bottom style="thin">
        <color theme="3"/>
      </bottom>
      <diagonal/>
    </border>
    <border>
      <left/>
      <right style="thin">
        <color theme="4" tint="-9.99786370433668E-2"/>
      </right>
      <top style="thin">
        <color theme="7"/>
      </top>
      <bottom style="thin">
        <color theme="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horizontal="left" vertical="center" wrapText="1" indent="2"/>
    </xf>
    <xf numFmtId="0" fontId="4" fillId="3" borderId="0" applyNumberFormat="0" applyBorder="0" applyProtection="0">
      <alignment horizontal="left" vertical="center"/>
    </xf>
    <xf numFmtId="0" fontId="3" fillId="2" borderId="0" applyNumberFormat="0" applyProtection="0">
      <alignment horizontal="right" vertical="center"/>
    </xf>
    <xf numFmtId="0" fontId="2" fillId="2" borderId="1" applyNumberFormat="0" applyProtection="0">
      <alignment horizontal="left" vertical="center" indent="2"/>
    </xf>
    <xf numFmtId="0" fontId="9" fillId="2" borderId="0" applyNumberFormat="0" applyProtection="0">
      <alignment horizontal="right" vertical="center" indent="5"/>
    </xf>
    <xf numFmtId="166" fontId="5" fillId="0" borderId="0" applyFont="0" applyFill="0" applyBorder="0" applyProtection="0">
      <alignment horizontal="right" vertical="center" indent="5"/>
    </xf>
    <xf numFmtId="166" fontId="5" fillId="0" borderId="0" applyFont="0" applyFill="0" applyBorder="0" applyProtection="0">
      <alignment horizontal="right" vertical="center"/>
    </xf>
    <xf numFmtId="14" fontId="5" fillId="0" borderId="0" applyFont="0" applyFill="0" applyBorder="0">
      <alignment horizontal="right" vertical="center" indent="1"/>
    </xf>
    <xf numFmtId="0" fontId="8" fillId="3" borderId="0" applyNumberFormat="0" applyFill="0" applyBorder="0" applyProtection="0">
      <alignment horizontal="right" vertical="center"/>
    </xf>
    <xf numFmtId="0" fontId="6" fillId="2" borderId="0" applyNumberFormat="0" applyBorder="0" applyProtection="0">
      <alignment horizontal="left" wrapText="1" indent="2"/>
    </xf>
    <xf numFmtId="166" fontId="7" fillId="2" borderId="1" applyProtection="0">
      <alignment horizontal="right" vertical="center"/>
    </xf>
    <xf numFmtId="0" fontId="8" fillId="0" borderId="0" applyNumberFormat="0" applyFill="0" applyBorder="0">
      <alignment horizontal="right" vertical="center" indent="5"/>
    </xf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6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0" applyNumberFormat="0" applyBorder="0" applyAlignment="0" applyProtection="0"/>
    <xf numFmtId="0" fontId="19" fillId="10" borderId="21" applyNumberFormat="0" applyAlignment="0" applyProtection="0"/>
    <xf numFmtId="0" fontId="20" fillId="11" borderId="22" applyNumberFormat="0" applyAlignment="0" applyProtection="0"/>
    <xf numFmtId="0" fontId="21" fillId="11" borderId="21" applyNumberFormat="0" applyAlignment="0" applyProtection="0"/>
    <xf numFmtId="0" fontId="22" fillId="0" borderId="23" applyNumberFormat="0" applyFill="0" applyAlignment="0" applyProtection="0"/>
    <xf numFmtId="0" fontId="23" fillId="12" borderId="24" applyNumberFormat="0" applyAlignment="0" applyProtection="0"/>
    <xf numFmtId="0" fontId="24" fillId="0" borderId="0" applyNumberFormat="0" applyFill="0" applyBorder="0" applyAlignment="0" applyProtection="0"/>
    <xf numFmtId="0" fontId="5" fillId="13" borderId="25" applyNumberFormat="0" applyFont="0" applyAlignment="0" applyProtection="0"/>
    <xf numFmtId="0" fontId="2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5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5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5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5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5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</cellStyleXfs>
  <cellXfs count="34">
    <xf numFmtId="0" fontId="0" fillId="0" borderId="0" xfId="0">
      <alignment horizontal="left" vertical="center" wrapText="1" indent="2"/>
    </xf>
    <xf numFmtId="0" fontId="0" fillId="4" borderId="0" xfId="0" applyFill="1">
      <alignment horizontal="left" vertical="center" wrapText="1" indent="2"/>
    </xf>
    <xf numFmtId="0" fontId="11" fillId="4" borderId="1" xfId="4" applyFont="1" applyFill="1" applyBorder="1">
      <alignment horizontal="right" vertical="center" indent="5"/>
    </xf>
    <xf numFmtId="166" fontId="10" fillId="4" borderId="1" xfId="5" applyFont="1" applyFill="1" applyBorder="1">
      <alignment horizontal="right" vertical="center" indent="5"/>
    </xf>
    <xf numFmtId="166" fontId="10" fillId="4" borderId="2" xfId="5" applyFont="1" applyFill="1" applyBorder="1">
      <alignment horizontal="right" vertical="center" indent="5"/>
    </xf>
    <xf numFmtId="0" fontId="11" fillId="4" borderId="5" xfId="0" applyFont="1" applyFill="1" applyBorder="1" applyAlignment="1">
      <alignment horizontal="right" vertical="center" wrapText="1" indent="1"/>
    </xf>
    <xf numFmtId="0" fontId="10" fillId="6" borderId="3" xfId="0" applyFont="1" applyFill="1" applyBorder="1" applyAlignment="1">
      <alignment horizontal="left" vertical="center" wrapText="1" indent="1"/>
    </xf>
    <xf numFmtId="0" fontId="11" fillId="4" borderId="5" xfId="0" applyFont="1" applyFill="1" applyBorder="1" applyAlignment="1">
      <alignment horizontal="left" vertical="center" wrapText="1" indent="1"/>
    </xf>
    <xf numFmtId="0" fontId="10" fillId="6" borderId="4" xfId="0" applyFont="1" applyFill="1" applyBorder="1" applyAlignment="1">
      <alignment horizontal="left" vertical="center" wrapText="1" indent="1"/>
    </xf>
    <xf numFmtId="0" fontId="12" fillId="5" borderId="9" xfId="0" applyFont="1" applyFill="1" applyBorder="1">
      <alignment horizontal="left" vertical="center" wrapText="1" indent="2"/>
    </xf>
    <xf numFmtId="0" fontId="10" fillId="6" borderId="10" xfId="0" applyFont="1" applyFill="1" applyBorder="1">
      <alignment horizontal="left" vertical="center" wrapText="1" indent="2"/>
    </xf>
    <xf numFmtId="0" fontId="10" fillId="6" borderId="11" xfId="0" applyFont="1" applyFill="1" applyBorder="1">
      <alignment horizontal="left" vertical="center" wrapText="1" indent="2"/>
    </xf>
    <xf numFmtId="0" fontId="11" fillId="4" borderId="12" xfId="0" applyFont="1" applyFill="1" applyBorder="1">
      <alignment horizontal="left" vertical="center" wrapText="1" indent="2"/>
    </xf>
    <xf numFmtId="0" fontId="13" fillId="5" borderId="13" xfId="11" applyFont="1" applyFill="1" applyBorder="1" applyAlignment="1">
      <alignment horizontal="right" vertical="center" indent="2"/>
    </xf>
    <xf numFmtId="0" fontId="12" fillId="5" borderId="8" xfId="0" applyFont="1" applyFill="1" applyBorder="1" applyAlignment="1">
      <alignment horizontal="left" vertical="center" wrapText="1" indent="1"/>
    </xf>
    <xf numFmtId="14" fontId="10" fillId="6" borderId="4" xfId="0" applyNumberFormat="1" applyFont="1" applyFill="1" applyBorder="1" applyAlignment="1">
      <alignment horizontal="left" vertical="center" indent="1"/>
    </xf>
    <xf numFmtId="14" fontId="10" fillId="6" borderId="3" xfId="0" applyNumberFormat="1" applyFont="1" applyFill="1" applyBorder="1" applyAlignment="1">
      <alignment horizontal="left" vertical="center" indent="1"/>
    </xf>
    <xf numFmtId="0" fontId="13" fillId="5" borderId="8" xfId="8" applyFont="1" applyFill="1" applyBorder="1" applyAlignment="1">
      <alignment horizontal="left" vertical="center" indent="1"/>
    </xf>
    <xf numFmtId="0" fontId="11" fillId="4" borderId="16" xfId="0" applyFont="1" applyFill="1" applyBorder="1" applyAlignment="1">
      <alignment horizontal="right" vertical="center" wrapText="1" indent="1"/>
    </xf>
    <xf numFmtId="0" fontId="0" fillId="5" borderId="0" xfId="0" applyFill="1">
      <alignment horizontal="left" vertical="center" wrapText="1" indent="2"/>
    </xf>
    <xf numFmtId="0" fontId="10" fillId="0" borderId="17" xfId="0" applyFont="1" applyBorder="1">
      <alignment horizontal="left" vertical="center" wrapText="1" indent="2"/>
    </xf>
    <xf numFmtId="0" fontId="10" fillId="0" borderId="18" xfId="0" applyFont="1" applyBorder="1">
      <alignment horizontal="left" vertical="center" wrapText="1" indent="2"/>
    </xf>
    <xf numFmtId="0" fontId="10" fillId="0" borderId="19" xfId="0" applyFont="1" applyBorder="1">
      <alignment horizontal="left" vertical="center" wrapText="1" indent="2"/>
    </xf>
    <xf numFmtId="166" fontId="10" fillId="6" borderId="4" xfId="0" applyNumberFormat="1" applyFont="1" applyFill="1" applyBorder="1" applyAlignment="1">
      <alignment horizontal="left" vertical="center" indent="1"/>
    </xf>
    <xf numFmtId="166" fontId="10" fillId="6" borderId="20" xfId="0" applyNumberFormat="1" applyFont="1" applyFill="1" applyBorder="1" applyAlignment="1">
      <alignment horizontal="left" vertical="center" indent="1"/>
    </xf>
    <xf numFmtId="166" fontId="10" fillId="6" borderId="14" xfId="0" applyNumberFormat="1" applyFont="1" applyFill="1" applyBorder="1" applyAlignment="1">
      <alignment horizontal="right" vertical="center" indent="2"/>
    </xf>
    <xf numFmtId="166" fontId="10" fillId="6" borderId="3" xfId="0" applyNumberFormat="1" applyFont="1" applyFill="1" applyBorder="1" applyAlignment="1">
      <alignment horizontal="left" vertical="center" indent="1"/>
    </xf>
    <xf numFmtId="166" fontId="10" fillId="6" borderId="15" xfId="0" applyNumberFormat="1" applyFont="1" applyFill="1" applyBorder="1" applyAlignment="1">
      <alignment horizontal="left" vertical="center" indent="1"/>
    </xf>
    <xf numFmtId="166" fontId="10" fillId="6" borderId="15" xfId="0" applyNumberFormat="1" applyFont="1" applyFill="1" applyBorder="1" applyAlignment="1">
      <alignment horizontal="right" vertical="center" indent="2"/>
    </xf>
    <xf numFmtId="166" fontId="11" fillId="6" borderId="15" xfId="0" applyNumberFormat="1" applyFont="1" applyFill="1" applyBorder="1" applyAlignment="1">
      <alignment horizontal="right" vertical="center" indent="2"/>
    </xf>
    <xf numFmtId="0" fontId="13" fillId="5" borderId="6" xfId="3" applyFont="1" applyFill="1" applyBorder="1" applyAlignment="1">
      <alignment horizontal="center" vertical="center"/>
    </xf>
    <xf numFmtId="0" fontId="13" fillId="5" borderId="7" xfId="3" applyFont="1" applyFill="1" applyBorder="1" applyAlignment="1">
      <alignment horizontal="center" vertical="center"/>
    </xf>
    <xf numFmtId="0" fontId="14" fillId="4" borderId="0" xfId="1" applyFont="1" applyFill="1" applyBorder="1" applyAlignment="1">
      <alignment horizontal="left" vertical="center" indent="18"/>
    </xf>
    <xf numFmtId="0" fontId="15" fillId="4" borderId="0" xfId="1" applyFont="1" applyFill="1" applyBorder="1" applyAlignment="1">
      <alignment horizontal="left" vertical="center" indent="18"/>
    </xf>
  </cellXfs>
  <cellStyles count="49">
    <cellStyle name="20% - Énfasis1" xfId="26" builtinId="30" customBuiltin="1"/>
    <cellStyle name="20% - Énfasis2" xfId="30" builtinId="34" customBuiltin="1"/>
    <cellStyle name="20% - Énfasis3" xfId="34" builtinId="38" customBuiltin="1"/>
    <cellStyle name="20% - Énfasis4" xfId="38" builtinId="42" customBuiltin="1"/>
    <cellStyle name="20% - Énfasis5" xfId="42" builtinId="46" customBuiltin="1"/>
    <cellStyle name="20% - Énfasis6" xfId="46" builtinId="50" customBuiltin="1"/>
    <cellStyle name="40% - Énfasis1" xfId="27" builtinId="31" customBuiltin="1"/>
    <cellStyle name="40% - Énfasis2" xfId="31" builtinId="35" customBuiltin="1"/>
    <cellStyle name="40% - Énfasis3" xfId="35" builtinId="39" customBuiltin="1"/>
    <cellStyle name="40% - Énfasis4" xfId="39" builtinId="43" customBuiltin="1"/>
    <cellStyle name="40% - Énfasis5" xfId="43" builtinId="47" customBuiltin="1"/>
    <cellStyle name="40% - Énfasis6" xfId="47" builtinId="51" customBuiltin="1"/>
    <cellStyle name="60% - Énfasis1" xfId="28" builtinId="32" customBuiltin="1"/>
    <cellStyle name="60% - Énfasis2" xfId="32" builtinId="36" customBuiltin="1"/>
    <cellStyle name="60% - Énfasis3" xfId="36" builtinId="40" customBuiltin="1"/>
    <cellStyle name="60% - Énfasis4" xfId="40" builtinId="44" customBuiltin="1"/>
    <cellStyle name="60% - Énfasis5" xfId="44" builtinId="48" customBuiltin="1"/>
    <cellStyle name="60% - Énfasis6" xfId="48" builtinId="52" customBuiltin="1"/>
    <cellStyle name="Bueno" xfId="15" builtinId="26" customBuiltin="1"/>
    <cellStyle name="Cálculo" xfId="20" builtinId="22" customBuiltin="1"/>
    <cellStyle name="Celda de comprobación" xfId="22" builtinId="23" customBuiltin="1"/>
    <cellStyle name="Celda vinculada" xfId="21" builtinId="24" customBuiltin="1"/>
    <cellStyle name="Encabezado 1" xfId="2" builtinId="16" customBuiltin="1"/>
    <cellStyle name="Encabezado 4" xfId="8" builtinId="19" customBuiltin="1"/>
    <cellStyle name="Encabezado del saldo" xfId="11" xr:uid="{00000000-0005-0000-0000-000000000000}"/>
    <cellStyle name="Énfasis1" xfId="25" builtinId="29" customBuiltin="1"/>
    <cellStyle name="Énfasis2" xfId="29" builtinId="33" customBuiltin="1"/>
    <cellStyle name="Énfasis3" xfId="33" builtinId="37" customBuiltin="1"/>
    <cellStyle name="Énfasis4" xfId="37" builtinId="41" customBuiltin="1"/>
    <cellStyle name="Énfasis5" xfId="41" builtinId="45" customBuiltin="1"/>
    <cellStyle name="Énfasis6" xfId="45" builtinId="49" customBuiltin="1"/>
    <cellStyle name="Entrada" xfId="18" builtinId="20" customBuiltin="1"/>
    <cellStyle name="Fecha" xfId="7" xr:uid="{00000000-0005-0000-0000-000003000000}"/>
    <cellStyle name="Incorrecto" xfId="16" builtinId="27" customBuiltin="1"/>
    <cellStyle name="Millares" xfId="12" builtinId="3" customBuiltin="1"/>
    <cellStyle name="Millares [0]" xfId="13" builtinId="6" customBuiltin="1"/>
    <cellStyle name="Moneda" xfId="6" builtinId="4" customBuiltin="1"/>
    <cellStyle name="Moneda [0]" xfId="5" builtinId="7" customBuiltin="1"/>
    <cellStyle name="Neutral" xfId="17" builtinId="28" customBuiltin="1"/>
    <cellStyle name="Normal" xfId="0" builtinId="0" customBuiltin="1"/>
    <cellStyle name="Notas" xfId="24" builtinId="10" customBuiltin="1"/>
    <cellStyle name="Porcentaje" xfId="14" builtinId="5" customBuiltin="1"/>
    <cellStyle name="Salida" xfId="19" builtinId="21" customBuiltin="1"/>
    <cellStyle name="Texto de advertencia" xfId="23" builtinId="11" customBuiltin="1"/>
    <cellStyle name="Texto explicativo" xfId="9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0" builtinId="25" customBuiltin="1"/>
  </cellStyles>
  <dxfs count="27">
    <dxf>
      <font>
        <strike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solid">
          <fgColor indexed="64"/>
          <bgColor theme="8"/>
        </patternFill>
      </fill>
      <border>
        <left style="thin">
          <color theme="4" tint="-9.99786370433668E-2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numFmt numFmtId="166" formatCode="#,##0.00\ &quot;€&quot;"/>
      <fill>
        <patternFill patternType="solid">
          <fgColor indexed="64"/>
          <bgColor theme="8"/>
        </patternFill>
      </fill>
      <alignment horizontal="right" vertical="center" textRotation="0" wrapText="1" indent="5" justifyLastLine="0" shrinkToFit="0" readingOrder="0"/>
      <border diagonalUp="0" diagonalDown="0" outline="0">
        <left style="thin">
          <color theme="4" tint="-9.99786370433668E-2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3"/>
        </left>
        <right style="thin">
          <color theme="4" tint="-9.99786370433668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3"/>
        </left>
        <right style="thin">
          <color theme="4" tint="-9.99786370433668E-2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solid">
          <fgColor indexed="64"/>
          <bgColor theme="8"/>
        </patternFill>
      </fill>
    </dxf>
    <dxf>
      <font>
        <strike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solid">
          <fgColor indexed="64"/>
          <bgColor theme="8"/>
        </patternFill>
      </fill>
    </dxf>
    <dxf>
      <font>
        <strike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solid">
          <bgColor theme="8"/>
        </patternFill>
      </fill>
      <alignment horizontal="right" vertical="center" textRotation="0" indent="2" justifyLastLine="0" shrinkToFit="0" readingOrder="0"/>
      <border diagonalUp="0" diagonalDown="0">
        <left/>
        <right style="thin">
          <color theme="4" tint="-9.99786370433668E-2"/>
        </right>
        <top style="thin">
          <color theme="3"/>
        </top>
        <bottom style="thin">
          <color theme="3"/>
        </bottom>
      </border>
    </dxf>
    <dxf>
      <numFmt numFmtId="166" formatCode="#,##0.00\ &quot;€&quot;"/>
    </dxf>
    <dxf>
      <font>
        <strike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solid">
          <bgColor theme="8"/>
        </patternFill>
      </fill>
      <alignment horizontal="right" vertical="center" textRotation="0" indent="1" justifyLastLine="0" shrinkToFit="0" readingOrder="0"/>
      <border diagonalUp="0" diagonalDown="0" outline="0">
        <left/>
        <right style="thin">
          <color theme="4" tint="-9.99786370433668E-2"/>
        </right>
        <top style="thin">
          <color theme="3"/>
        </top>
        <bottom style="thin">
          <color theme="3"/>
        </bottom>
      </border>
    </dxf>
    <dxf>
      <numFmt numFmtId="166" formatCode="#,##0.00\ &quot;€&quot;"/>
    </dxf>
    <dxf>
      <font>
        <strike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solid">
          <bgColor theme="8"/>
        </patternFill>
      </fill>
      <alignment horizontal="right" vertical="center" textRotation="0" indent="1" justifyLastLine="0" shrinkToFit="0" readingOrder="0"/>
      <border diagonalUp="0" diagonalDown="0" outline="0">
        <left/>
        <right/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solid">
          <bgColor theme="8"/>
        </patternFill>
      </fill>
      <alignment horizontal="right" vertical="center" textRotation="0" indent="1" justifyLastLine="0" shrinkToFit="0" readingOrder="0"/>
      <border diagonalUp="0" diagonalDown="0" outline="0">
        <left/>
        <right/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solid">
          <bgColor theme="8"/>
        </patternFill>
      </fill>
      <alignment horizontal="right" vertical="center" textRotation="0" indent="1" justifyLastLine="0" shrinkToFit="0" readingOrder="0"/>
      <border diagonalUp="0" diagonalDown="0" outline="0">
        <left/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solid">
          <bgColor theme="8"/>
        </patternFill>
      </fill>
      <alignment horizontal="left" vertical="center" textRotation="0" indent="1" justifyLastLine="0" shrinkToFit="0" readingOrder="0"/>
      <border diagonalUp="0" diagonalDown="0" outline="0">
        <left/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solid">
          <bgColor theme="8"/>
        </patternFill>
      </fill>
      <alignment horizontal="left" vertical="center" textRotation="0" wrapText="1" indent="2" justifyLastLine="0" shrinkToFit="0" readingOrder="0"/>
      <border diagonalUp="0" diagonalDown="0" outline="0">
        <left style="thin">
          <color theme="4" tint="-9.99786370433668E-2"/>
        </left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solid">
          <bgColor theme="8"/>
        </patternFill>
      </fill>
    </dxf>
    <dxf>
      <border diagonalUp="0" diagonalDown="0">
        <left/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theme="6" tint="-0.749992370372631"/>
        <name val="Calibri"/>
        <family val="2"/>
        <scheme val="minor"/>
      </font>
      <fill>
        <patternFill patternType="solid">
          <bgColor theme="8"/>
        </patternFill>
      </fill>
    </dxf>
    <dxf>
      <border>
        <bottom style="thin">
          <color theme="7"/>
        </bottom>
      </border>
    </dxf>
    <dxf>
      <font>
        <strike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fill>
        <patternFill patternType="solid">
          <fgColor indexed="64"/>
          <bgColor theme="7"/>
        </patternFill>
      </fill>
      <border diagonalUp="0" diagonalDown="0" outline="0">
        <left/>
        <right/>
        <top/>
        <bottom/>
      </border>
    </dxf>
    <dxf>
      <fill>
        <patternFill>
          <bgColor theme="2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2"/>
        </patternFill>
      </fill>
    </dxf>
    <dxf>
      <font>
        <b/>
        <i val="0"/>
        <color theme="2"/>
      </font>
      <fill>
        <patternFill>
          <bgColor theme="8"/>
        </patternFill>
      </fill>
    </dxf>
    <dxf>
      <font>
        <color theme="2"/>
      </font>
      <fill>
        <patternFill patternType="solid">
          <bgColor theme="8"/>
        </patternFill>
      </fill>
      <border>
        <right style="thin">
          <color theme="3"/>
        </right>
        <vertical/>
        <horizontal/>
      </border>
    </dxf>
  </dxfs>
  <tableStyles count="2" defaultPivotStyle="PivotStyleLight16">
    <tableStyle name="Resumen del registro de cheques" pivot="0" count="2" xr9:uid="{00000000-0011-0000-FFFF-FFFF00000000}">
      <tableStyleElement type="wholeTable" dxfId="26"/>
      <tableStyleElement type="headerRow" dxfId="25"/>
    </tableStyle>
    <tableStyle name="RegistroDeCheques" pivot="0" count="3" xr9:uid="{00000000-0011-0000-FFFF-FFFF01000000}">
      <tableStyleElement type="headerRow" dxfId="24"/>
      <tableStyleElement type="firstRowStripe" dxfId="23"/>
      <tableStyleElement type="secondRowStripe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2.xml" Id="rId8" /><Relationship Type="http://schemas.openxmlformats.org/officeDocument/2006/relationships/theme" Target="/xl/theme/theme11.xml" Id="rId3" /><Relationship Type="http://schemas.openxmlformats.org/officeDocument/2006/relationships/customXml" Target="/customXml/item12.xml" Id="rId7" /><Relationship Type="http://schemas.openxmlformats.org/officeDocument/2006/relationships/externalLink" Target="/xl/externalLinks/externalLink11.xml" Id="rId2" /><Relationship Type="http://schemas.openxmlformats.org/officeDocument/2006/relationships/worksheet" Target="/xl/worksheets/sheet11.xml" Id="rId1" /><Relationship Type="http://schemas.openxmlformats.org/officeDocument/2006/relationships/calcChain" Target="/xl/calcChain.xml" Id="rId6" /><Relationship Type="http://schemas.openxmlformats.org/officeDocument/2006/relationships/sharedStrings" Target="/xl/sharedStrings.xml" Id="rId5" /><Relationship Type="http://schemas.openxmlformats.org/officeDocument/2006/relationships/styles" Target="/xl/styles.xml" Id="rId4" /><Relationship Type="http://schemas.openxmlformats.org/officeDocument/2006/relationships/customXml" Target="/customXml/item33.xml" Id="rId9" /></Relationships>
</file>

<file path=xl/drawings/_rels/drawing11.xml.rels>&#65279;<?xml version="1.0" encoding="utf-8"?><Relationships xmlns="http://schemas.openxmlformats.org/package/2006/relationships"><Relationship Type="http://schemas.openxmlformats.org/officeDocument/2006/relationships/image" Target="/xl/media/image3.png" Id="rId3" /><Relationship Type="http://schemas.openxmlformats.org/officeDocument/2006/relationships/image" Target="/xl/media/image2.svg" Id="rId2" /><Relationship Type="http://schemas.openxmlformats.org/officeDocument/2006/relationships/image" Target="/xl/media/image12.png" Id="rId1" /><Relationship Type="http://schemas.openxmlformats.org/officeDocument/2006/relationships/image" Target="/xl/media/image42.svg" Id="rId4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30870</xdr:colOff>
      <xdr:row>0</xdr:row>
      <xdr:rowOff>334550</xdr:rowOff>
    </xdr:from>
    <xdr:to>
      <xdr:col>1</xdr:col>
      <xdr:colOff>1250950</xdr:colOff>
      <xdr:row>0</xdr:row>
      <xdr:rowOff>1288754</xdr:rowOff>
    </xdr:to>
    <xdr:pic>
      <xdr:nvPicPr>
        <xdr:cNvPr id="2" name="Gráfico 1" descr="Icono de taza de café">
          <a:extLst>
            <a:ext uri="{FF2B5EF4-FFF2-40B4-BE49-F238E27FC236}">
              <a16:creationId xmlns:a16="http://schemas.microsoft.com/office/drawing/2014/main" id="{62CCD4FC-609E-2F58-A258-88D842DB7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538870" y="334550"/>
          <a:ext cx="1239130" cy="954204"/>
        </a:xfrm>
        <a:prstGeom prst="rect">
          <a:avLst/>
        </a:prstGeom>
      </xdr:spPr>
    </xdr:pic>
    <xdr:clientData/>
  </xdr:twoCellAnchor>
  <xdr:twoCellAnchor editAs="oneCell">
    <xdr:from>
      <xdr:col>11</xdr:col>
      <xdr:colOff>11160</xdr:colOff>
      <xdr:row>9</xdr:row>
      <xdr:rowOff>203200</xdr:rowOff>
    </xdr:from>
    <xdr:to>
      <xdr:col>11</xdr:col>
      <xdr:colOff>372444</xdr:colOff>
      <xdr:row>10</xdr:row>
      <xdr:rowOff>282362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80CC218A-FC5B-091A-2875-ADC2169769C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946401">
          <a:off x="13943060" y="5168900"/>
          <a:ext cx="361284" cy="460162"/>
        </a:xfrm>
        <a:prstGeom prst="rect">
          <a:avLst/>
        </a:prstGeom>
      </xdr:spPr>
    </xdr:pic>
    <xdr:clientData/>
  </xdr:twoCellAnchor>
  <xdr:twoCellAnchor editAs="oneCell">
    <xdr:from>
      <xdr:col>10</xdr:col>
      <xdr:colOff>932128</xdr:colOff>
      <xdr:row>9</xdr:row>
      <xdr:rowOff>342900</xdr:rowOff>
    </xdr:from>
    <xdr:to>
      <xdr:col>10</xdr:col>
      <xdr:colOff>1247510</xdr:colOff>
      <xdr:row>10</xdr:row>
      <xdr:rowOff>323184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1C3C68A8-2257-6046-8184-B0E6CC37278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5300000">
          <a:off x="13478367" y="5259161"/>
          <a:ext cx="361284" cy="460162"/>
        </a:xfrm>
        <a:prstGeom prst="rect">
          <a:avLst/>
        </a:prstGeom>
      </xdr:spPr>
    </xdr:pic>
    <xdr:clientData/>
  </xdr:twoCellAnchor>
</xdr:wsDr>
</file>

<file path=xl/externalLinks/_rels/externalLink11.xml.rels>&#65279;<?xml version="1.0" encoding="utf-8"?><Relationships xmlns="http://schemas.openxmlformats.org/package/2006/relationships"><Relationship Type="http://schemas.microsoft.com/office/2006/relationships/xlExternalLinkPath/xlPathMissing" Target="Registro%20de%20cheques'Registro%20de%20cheques" TargetMode="External" Id="rId1" /></Relationships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istro de cheques'Registro de"/>
    </sheetNames>
    <sheetDataSet>
      <sheetData sheetId="0" refreshError="1"/>
    </sheetDataSet>
  </externalBook>
</externalLink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egistro" displayName="Registro" ref="E2:K9" headerRowDxfId="21" dataDxfId="19" totalsRowDxfId="17" headerRowBorderDxfId="20" tableBorderDxfId="18" totalsRowCellStyle="Normal">
  <tableColumns count="7">
    <tableColumn id="1" xr3:uid="{00000000-0010-0000-0000-000001000000}" name="N.º de cheque" totalsRowLabel="Totals" dataDxfId="16"/>
    <tableColumn id="6" xr3:uid="{00000000-0010-0000-0000-000006000000}" name="Fecha" dataDxfId="15"/>
    <tableColumn id="7" xr3:uid="{00000000-0010-0000-0000-000007000000}" name="Descripción" dataDxfId="14" totalsRowDxfId="13"/>
    <tableColumn id="2" xr3:uid="{00000000-0010-0000-0000-000002000000}" name="Categoría" dataDxfId="12" totalsRowDxfId="11"/>
    <tableColumn id="3" xr3:uid="{00000000-0010-0000-0000-000003000000}" name="Retirada (-)" totalsRowFunction="sum" dataDxfId="10" totalsRowDxfId="9"/>
    <tableColumn id="4" xr3:uid="{00000000-0010-0000-0000-000004000000}" name="Depósito (+)" totalsRowFunction="sum" dataDxfId="8" totalsRowDxfId="7"/>
    <tableColumn id="5" xr3:uid="{00000000-0010-0000-0000-000005000000}" name="Saldo" totalsRowFunction="custom" dataDxfId="6">
      <totalsRowFormula>Registro[[#Totals],[Depósito (+)]]-Registro[[#Totals],[Retirada (-)]]</totalsRowFormula>
    </tableColumn>
  </tableColumns>
  <tableStyleInfo name="Resumen del registro de cheques" showFirstColumn="0" showLastColumn="0" showRowStripes="0" showColumnStripes="0"/>
  <extLst>
    <ext xmlns:x14="http://schemas.microsoft.com/office/spreadsheetml/2009/9/main" uri="{504A1905-F514-4f6f-8877-14C23A59335A}">
      <x14:table altTextSummary="Escriba el número, la fecha, la descripción y la categoría de los cheques y los importes de retirada y de depósito en esta tabla. El saldo se calcula automáticamente"/>
    </ext>
  </extLst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Resumen" displayName="Resumen" ref="B3:C9" headerRowDxfId="5" dataDxfId="4">
  <tableColumns count="2">
    <tableColumn id="1" xr3:uid="{00000000-0010-0000-0100-000001000000}" name="Categoría" totalsRowLabel="Total" dataDxfId="2" totalsRowDxfId="3"/>
    <tableColumn id="2" xr3:uid="{00000000-0010-0000-0100-000002000000}" name="Total" totalsRowFunction="sum" dataDxfId="0" totalsRowDxfId="1" dataCellStyle="Moneda [0]">
      <calculatedColumnFormula>SUMIF(Registro[Categoría],"=" &amp;Resumen[[#This Row],[Categoría]],Registro[Retirada (-)])</calculatedColumnFormula>
    </tableColumn>
  </tableColumns>
  <tableStyleInfo name="Resumen del registro de cheques" showFirstColumn="0" showLastColumn="0" showRowStripes="0" showColumnStripes="0"/>
  <extLst>
    <ext xmlns:x14="http://schemas.microsoft.com/office/spreadsheetml/2009/9/main" uri="{504A1905-F514-4f6f-8877-14C23A59335A}">
      <x14:table altTextSummary="Escriba la categoría de los elementos en esta tabla. El total se actualiza automáticamente"/>
    </ext>
  </extLst>
</table>
</file>

<file path=xl/theme/theme11.xml><?xml version="1.0" encoding="utf-8"?>
<a:theme xmlns:a="http://schemas.openxmlformats.org/drawingml/2006/main" name="Office Theme">
  <a:themeElements>
    <a:clrScheme name="Coffee Brown">
      <a:dk1>
        <a:srgbClr val="000000"/>
      </a:dk1>
      <a:lt1>
        <a:srgbClr val="FFFFFF"/>
      </a:lt1>
      <a:dk2>
        <a:srgbClr val="957E6C"/>
      </a:dk2>
      <a:lt2>
        <a:srgbClr val="E7E6E6"/>
      </a:lt2>
      <a:accent1>
        <a:srgbClr val="CBB7A3"/>
      </a:accent1>
      <a:accent2>
        <a:srgbClr val="D8C1AE"/>
      </a:accent2>
      <a:accent3>
        <a:srgbClr val="EADDCC"/>
      </a:accent3>
      <a:accent4>
        <a:srgbClr val="685B54"/>
      </a:accent4>
      <a:accent5>
        <a:srgbClr val="F8EBDD"/>
      </a:accent5>
      <a:accent6>
        <a:srgbClr val="E4D0C4"/>
      </a:accent6>
      <a:hlink>
        <a:srgbClr val="0563C1"/>
      </a:hlink>
      <a:folHlink>
        <a:srgbClr val="954F72"/>
      </a:folHlink>
    </a:clrScheme>
    <a:fontScheme name="Custom 19">
      <a:majorFont>
        <a:latin typeface="Book Antiqu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3" /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1.bin" Id="rId1" /><Relationship Type="http://schemas.openxmlformats.org/officeDocument/2006/relationships/table" Target="/xl/tables/table22.xml" Id="rId4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3"/>
    <pageSetUpPr autoPageBreaks="0" fitToPage="1"/>
  </sheetPr>
  <dimension ref="A1:L11"/>
  <sheetViews>
    <sheetView showGridLines="0" tabSelected="1" zoomScaleNormal="100" workbookViewId="0"/>
  </sheetViews>
  <sheetFormatPr baseColWidth="10" defaultColWidth="8.7109375" defaultRowHeight="30" customHeight="1"/>
  <cols>
    <col min="1" max="1" width="6.7109375" customWidth="1"/>
    <col min="2" max="3" width="20.85546875" customWidth="1"/>
    <col min="4" max="4" width="6.7109375" customWidth="1"/>
    <col min="5" max="6" width="19.85546875" customWidth="1"/>
    <col min="7" max="7" width="21.85546875" customWidth="1"/>
    <col min="8" max="8" width="19.42578125" customWidth="1"/>
    <col min="9" max="11" width="18.7109375" customWidth="1"/>
    <col min="12" max="12" width="6.7109375" customWidth="1"/>
  </cols>
  <sheetData>
    <row r="1" spans="1:12" ht="135" customHeight="1">
      <c r="A1" s="1"/>
      <c r="B1" s="32" t="s">
        <v>0</v>
      </c>
      <c r="C1" s="33"/>
      <c r="D1" s="33"/>
      <c r="E1" s="33"/>
      <c r="F1" s="33"/>
      <c r="G1" s="33"/>
      <c r="H1" s="33"/>
      <c r="I1" s="33"/>
      <c r="J1" s="33"/>
      <c r="K1" s="33"/>
      <c r="L1" s="1"/>
    </row>
    <row r="2" spans="1:12" ht="33" customHeight="1">
      <c r="A2" s="1"/>
      <c r="B2" s="30" t="s">
        <v>1</v>
      </c>
      <c r="C2" s="31"/>
      <c r="D2" s="1"/>
      <c r="E2" s="9" t="s">
        <v>10</v>
      </c>
      <c r="F2" s="14" t="s">
        <v>13</v>
      </c>
      <c r="G2" s="14" t="s">
        <v>14</v>
      </c>
      <c r="H2" s="14" t="s">
        <v>2</v>
      </c>
      <c r="I2" s="17" t="s">
        <v>21</v>
      </c>
      <c r="J2" s="17" t="s">
        <v>22</v>
      </c>
      <c r="K2" s="13" t="s">
        <v>23</v>
      </c>
      <c r="L2" s="1"/>
    </row>
    <row r="3" spans="1:12" ht="30" customHeight="1">
      <c r="A3" s="1"/>
      <c r="B3" s="20" t="s">
        <v>2</v>
      </c>
      <c r="C3" s="2" t="s">
        <v>9</v>
      </c>
      <c r="D3" s="1"/>
      <c r="E3" s="10"/>
      <c r="F3" s="15">
        <v>44937</v>
      </c>
      <c r="G3" s="8" t="s">
        <v>15</v>
      </c>
      <c r="H3" s="8" t="s">
        <v>3</v>
      </c>
      <c r="I3" s="23"/>
      <c r="J3" s="24">
        <v>2000</v>
      </c>
      <c r="K3" s="25">
        <v>2000</v>
      </c>
      <c r="L3" s="1"/>
    </row>
    <row r="4" spans="1:12" ht="30" customHeight="1">
      <c r="A4" s="1"/>
      <c r="B4" s="21" t="s">
        <v>3</v>
      </c>
      <c r="C4" s="3">
        <f>IFERROR(SUMIF(Registro[Categoría],"=" &amp;Resumen[[#This Row],[Categoría]],Registro[Depósito (+)]),"")</f>
        <v>2000</v>
      </c>
      <c r="D4" s="1"/>
      <c r="E4" s="11" t="s">
        <v>11</v>
      </c>
      <c r="F4" s="16">
        <v>44947</v>
      </c>
      <c r="G4" s="6" t="s">
        <v>16</v>
      </c>
      <c r="H4" s="6" t="s">
        <v>6</v>
      </c>
      <c r="I4" s="26">
        <v>225</v>
      </c>
      <c r="J4" s="27"/>
      <c r="K4" s="28">
        <f>K3-Registro[[#This Row],[Retirada (-)]]+Registro[[#This Row],[Depósito (+)]]</f>
        <v>1775</v>
      </c>
      <c r="L4" s="1"/>
    </row>
    <row r="5" spans="1:12" ht="30" customHeight="1">
      <c r="A5" s="1"/>
      <c r="B5" s="21" t="s">
        <v>4</v>
      </c>
      <c r="C5" s="3">
        <f>IFERROR(SUMIF(Registro[Categoría],"=" &amp;Resumen[[#This Row],[Categoría]],Registro[Retirada (-)]),"")</f>
        <v>40</v>
      </c>
      <c r="D5" s="1"/>
      <c r="E5" s="11">
        <v>1001</v>
      </c>
      <c r="F5" s="16">
        <v>44967</v>
      </c>
      <c r="G5" s="6" t="s">
        <v>17</v>
      </c>
      <c r="H5" s="6" t="s">
        <v>7</v>
      </c>
      <c r="I5" s="26">
        <v>73</v>
      </c>
      <c r="J5" s="27"/>
      <c r="K5" s="28">
        <f>K4-Registro[[#This Row],[Retirada (-)]]+Registro[[#This Row],[Depósito (+)]]</f>
        <v>1702</v>
      </c>
      <c r="L5" s="1"/>
    </row>
    <row r="6" spans="1:12" ht="30" customHeight="1">
      <c r="A6" s="1"/>
      <c r="B6" s="21" t="s">
        <v>5</v>
      </c>
      <c r="C6" s="3">
        <f>IFERROR(SUMIF(Registro[Categoría],"=" &amp;Resumen[[#This Row],[Categoría]],Registro[Retirada (-)]),"")</f>
        <v>7</v>
      </c>
      <c r="D6" s="1"/>
      <c r="E6" s="11" t="s">
        <v>11</v>
      </c>
      <c r="F6" s="16">
        <v>44977</v>
      </c>
      <c r="G6" s="6" t="s">
        <v>18</v>
      </c>
      <c r="H6" s="6" t="s">
        <v>6</v>
      </c>
      <c r="I6" s="26">
        <v>38</v>
      </c>
      <c r="J6" s="27"/>
      <c r="K6" s="28">
        <f>K5-Registro[[#This Row],[Retirada (-)]]+Registro[[#This Row],[Depósito (+)]]</f>
        <v>1664</v>
      </c>
      <c r="L6" s="1"/>
    </row>
    <row r="7" spans="1:12" ht="30" customHeight="1">
      <c r="A7" s="1"/>
      <c r="B7" s="21" t="s">
        <v>6</v>
      </c>
      <c r="C7" s="3">
        <f>IFERROR(SUMIF(Registro[Categoría],"=" &amp;Resumen[[#This Row],[Categoría]],Registro[Retirada (-)]),"")</f>
        <v>263</v>
      </c>
      <c r="D7" s="1"/>
      <c r="E7" s="11">
        <v>1002</v>
      </c>
      <c r="F7" s="16">
        <v>44992</v>
      </c>
      <c r="G7" s="6" t="s">
        <v>19</v>
      </c>
      <c r="H7" s="6" t="s">
        <v>4</v>
      </c>
      <c r="I7" s="26">
        <v>40</v>
      </c>
      <c r="J7" s="27"/>
      <c r="K7" s="28">
        <f>K6-Registro[[#This Row],[Retirada (-)]]+Registro[[#This Row],[Depósito (+)]]</f>
        <v>1624</v>
      </c>
      <c r="L7" s="1"/>
    </row>
    <row r="8" spans="1:12" ht="30" customHeight="1">
      <c r="A8" s="1"/>
      <c r="B8" s="21" t="s">
        <v>7</v>
      </c>
      <c r="C8" s="3">
        <f>IFERROR(SUMIF(Registro[Categoría],"=" &amp;Resumen[[#This Row],[Categoría]],Registro[Retirada (-)]),"")</f>
        <v>73</v>
      </c>
      <c r="D8" s="1"/>
      <c r="E8" s="11" t="s">
        <v>11</v>
      </c>
      <c r="F8" s="16">
        <v>45002</v>
      </c>
      <c r="G8" s="6" t="s">
        <v>20</v>
      </c>
      <c r="H8" s="6" t="s">
        <v>5</v>
      </c>
      <c r="I8" s="26">
        <v>7</v>
      </c>
      <c r="J8" s="27"/>
      <c r="K8" s="28">
        <f>K7-Registro[[#This Row],[Retirada (-)]]+Registro[[#This Row],[Depósito (+)]]</f>
        <v>1617</v>
      </c>
      <c r="L8" s="1"/>
    </row>
    <row r="9" spans="1:12" ht="30" customHeight="1">
      <c r="A9" s="1"/>
      <c r="B9" s="22" t="s">
        <v>8</v>
      </c>
      <c r="C9" s="4">
        <f>IFERROR(SUMIFS(Registro[Retirada (-)],Registro[Categoría],Resumen[[#This Row],[Categoría]])+SUMIFS(Registro[Retirada (-)],Registro[Categoría],""),"")</f>
        <v>0</v>
      </c>
      <c r="D9" s="1"/>
      <c r="E9" s="12" t="s">
        <v>12</v>
      </c>
      <c r="F9" s="7"/>
      <c r="G9" s="5"/>
      <c r="H9" s="5"/>
      <c r="I9" s="5"/>
      <c r="J9" s="18"/>
      <c r="K9" s="29">
        <f>K8-Registro[[#This Row],[Retirada (-)]]+Registro[[#This Row],[Depósito (+)]]</f>
        <v>1617</v>
      </c>
      <c r="L9" s="1"/>
    </row>
    <row r="10" spans="1:12" ht="30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ht="30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</sheetData>
  <mergeCells count="2">
    <mergeCell ref="B2:C2"/>
    <mergeCell ref="B1:K1"/>
  </mergeCells>
  <dataValidations count="12">
    <dataValidation allowBlank="1" showInputMessage="1" showErrorMessage="1" prompt="El título de la hoja de cálculo se encuentra en esta celda" sqref="B1" xr:uid="{00000000-0002-0000-0000-000001000000}"/>
    <dataValidation allowBlank="1" showInputMessage="1" showErrorMessage="1" prompt="Los elementos de categoría se encuentran en esta columna, debajo de este encabezado." sqref="B3" xr:uid="{00000000-0002-0000-0000-000002000000}"/>
    <dataValidation allowBlank="1" showInputMessage="1" showErrorMessage="1" prompt="El total de las categorías se actualiza automáticamente en esta columna, debajo de este encabezado, en función de las entradas de la tabla de registros." sqref="C3" xr:uid="{00000000-0002-0000-0000-000003000000}"/>
    <dataValidation allowBlank="1" showInputMessage="1" showErrorMessage="1" prompt="Escriba el número de cheque en la columna con este encabezado." sqref="E2" xr:uid="{00000000-0002-0000-0000-000004000000}"/>
    <dataValidation allowBlank="1" showInputMessage="1" showErrorMessage="1" prompt="Escriba la fecha en esta columna, debajo de este encabezado." sqref="F2" xr:uid="{00000000-0002-0000-0000-000005000000}"/>
    <dataValidation allowBlank="1" showInputMessage="1" showErrorMessage="1" prompt="Escriba la descripción en esta columna, debajo de este encabezado." sqref="G2" xr:uid="{00000000-0002-0000-0000-000006000000}"/>
    <dataValidation allowBlank="1" showInputMessage="1" showErrorMessage="1" prompt="Seleccione la categoría en la columna con este encabezado. Presione ALT+FLECHA ABAJO para abrir la lista desplegable. Pulse INTRO para realizar la selección. La lista de categorías se basa en el resumen de categorías de gasto a la izquierda." sqref="H2" xr:uid="{00000000-0002-0000-0000-000009000000}"/>
    <dataValidation allowBlank="1" showInputMessage="1" showErrorMessage="1" prompt="Escriba el importe retirado en la columna con este encabezado." sqref="I2" xr:uid="{00000000-0002-0000-0000-00000A000000}"/>
    <dataValidation allowBlank="1" showInputMessage="1" showErrorMessage="1" prompt="Escriba el importe depositado en la columna con este encabezado." sqref="J2" xr:uid="{00000000-0002-0000-0000-00000B000000}"/>
    <dataValidation allowBlank="1" showInputMessage="1" showErrorMessage="1" prompt="El saldo se calcula automáticamente en la columna con este encabezado." sqref="K2" xr:uid="{00000000-0002-0000-0000-00000C000000}"/>
    <dataValidation allowBlank="1" showInputMessage="1" showErrorMessage="1" prompt="Modifique o añada nuevas categorías abajo. Cuando se agreguen entradas en el registro de cheques de la derecha para esa categoría, los totales se actualizarán automáticamente en este resumen" sqref="B2:C2" xr:uid="{00000000-0002-0000-0000-00000E000000}"/>
    <dataValidation allowBlank="1" showInputMessage="1" showErrorMessage="1" prompt="Crear un registro de cheques en esta hoja de cálculo" sqref="A1 D1" xr:uid="{00000000-0002-0000-0000-00000D000000}"/>
  </dataValidations>
  <printOptions horizontalCentered="1"/>
  <pageMargins left="0.25" right="0.25" top="0.75" bottom="0.75" header="0.3" footer="0.3"/>
  <pageSetup paperSize="9" scale="50" fitToHeight="0" orientation="portrait" r:id="rId1"/>
  <headerFooter differentFirst="1"/>
  <ignoredErrors>
    <ignoredError sqref="C4:C9" calculatedColumn="1"/>
  </ignoredErrors>
  <drawing r:id="rId2"/>
  <tableParts count="2">
    <tablePart r:id="rId3"/>
    <tablePart r:id="rId4"/>
  </tableParts>
</worksheet>
</file>

<file path=customXml/_rels/item2.xml.rels>&#65279;<?xml version="1.0" encoding="utf-8"?><Relationships xmlns="http://schemas.openxmlformats.org/package/2006/relationships"><Relationship Type="http://schemas.openxmlformats.org/officeDocument/2006/relationships/customXmlProps" Target="/customXml/itemProps21.xml" Id="rId1" /></Relationships>
</file>

<file path=customXml/_rels/item12.xml.rels>&#65279;<?xml version="1.0" encoding="utf-8"?><Relationships xmlns="http://schemas.openxmlformats.org/package/2006/relationships"><Relationship Type="http://schemas.openxmlformats.org/officeDocument/2006/relationships/customXmlProps" Target="/customXml/itemProps12.xml" Id="rId1" /></Relationships>
</file>

<file path=customXml/_rels/item33.xml.rels>&#65279;<?xml version="1.0" encoding="utf-8"?><Relationships xmlns="http://schemas.openxmlformats.org/package/2006/relationships"><Relationship Type="http://schemas.openxmlformats.org/officeDocument/2006/relationships/customXmlProps" Target="/customXml/itemProps33.xml" Id="rId1" /></Relationship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2.xml><?xml version="1.0" encoding="utf-8"?>
<ds:datastoreItem xmlns:ds="http://schemas.openxmlformats.org/officeDocument/2006/customXml" ds:itemID="{A265FFA0-4CC9-4644-8506-58A4EE2BCD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BE4E12BF-9114-40B1-B799-6DFE4C6DE511}">
  <ds:schemaRefs>
    <ds:schemaRef ds:uri="http://schemas.microsoft.com/sharepoint/v3/contenttype/forms"/>
  </ds:schemaRefs>
</ds:datastoreItem>
</file>

<file path=customXml/itemProps33.xml><?xml version="1.0" encoding="utf-8"?>
<ds:datastoreItem xmlns:ds="http://schemas.openxmlformats.org/officeDocument/2006/customXml" ds:itemID="{7762D270-24A5-47FA-9379-AC5C8424918A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ap:Properties xmlns:vt="http://schemas.openxmlformats.org/officeDocument/2006/docPropsVTypes" xmlns:ap="http://schemas.openxmlformats.org/officeDocument/2006/extended-properties">
  <ap:Template>TM00000043</ap:Template>
  <ap:DocSecurity>0</ap:DocSecurity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ap:HeadingPairs>
  <ap:TitlesOfParts>
    <vt:vector baseType="lpstr" size="5">
      <vt:lpstr>Registro de cheques</vt:lpstr>
      <vt:lpstr>CategoryLookup</vt:lpstr>
      <vt:lpstr>RegiónTítuloFila1..I1</vt:lpstr>
      <vt:lpstr>Título1</vt:lpstr>
      <vt:lpstr>TítuloColumna1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2023-01-31T06:54:08Z</dcterms:created>
  <dcterms:modified xsi:type="dcterms:W3CDTF">2023-03-28T09:27:41Z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