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ms-office.vbaProject"/>
  <Override PartName="/docProps/core.xml" ContentType="application/vnd.openxmlformats-package.core-properties+xml"/>
  <Override PartName="/xl/workbook.xml" ContentType="application/vnd.ms-excel.template.macroEnabled.main+xml"/>
  <Override PartName="/xl/worksheets/sheet31.xml" ContentType="application/vnd.openxmlformats-officedocument.spreadsheetml.worksheet+xml"/>
  <Override PartName="/xl/tables/table31.xml" ContentType="application/vnd.openxmlformats-officedocument.spreadsheetml.table+xml"/>
  <Override PartName="/xl/drawings/drawing31.xml" ContentType="application/vnd.openxmlformats-officedocument.drawing+xml"/>
  <Override PartName="/xl/printerSettings/printerSettings31.bin" ContentType="application/vnd.openxmlformats-officedocument.spreadsheetml.printerSettings"/>
  <Override PartName="/xl/calcChain.xml" ContentType="application/vnd.openxmlformats-officedocument.spreadsheetml.calcChain+xml"/>
  <Override PartName="/xl/worksheets/sheet22.xml" ContentType="application/vnd.openxmlformats-officedocument.spreadsheetml.worksheet+xml"/>
  <Override PartName="/xl/tables/table22.xml" ContentType="application/vnd.openxmlformats-officedocument.spreadsheetml.table+xml"/>
  <Override PartName="/xl/drawings/drawing22.xml" ContentType="application/vnd.openxmlformats-officedocument.drawing+xml"/>
  <Override PartName="/xl/printerSettings/printerSettings22.bin" ContentType="application/vnd.openxmlformats-officedocument.spreadsheetml.printerSettings"/>
  <Override PartName="/xl/worksheets/sheet13.xml" ContentType="application/vnd.openxmlformats-officedocument.spreadsheetml.worksheet+xml"/>
  <Override PartName="/xl/tables/table13.xml" ContentType="application/vnd.openxmlformats-officedocument.spreadsheetml.table+xml"/>
  <Override PartName="/xl/drawings/drawing13.xml" ContentType="application/vnd.openxmlformats-officedocument.drawing+xml"/>
  <Override PartName="/xl/printerSettings/printerSettings13.bin" ContentType="application/vnd.openxmlformats-officedocument.spreadsheetml.printerSettings"/>
  <Override PartName="/xl/sharedStrings.xml" ContentType="application/vnd.openxmlformats-officedocument.spreadsheetml.sharedStrings+xml"/>
  <Override PartName="/xl/styles.xml" ContentType="application/vnd.openxmlformats-officedocument.spreadsheetml.styles+xml"/>
  <Override PartName="/xl/theme/theme11.xml" ContentType="application/vnd.openxmlformats-officedocument.theme+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07" codeName="{4D1C537B-E38A-612A-F078-A93A15B4B7F4}"/>
  <workbookPr codeName="ThisWorkbook"/>
  <mc:AlternateContent xmlns:mc="http://schemas.openxmlformats.org/markup-compatibility/2006">
    <mc:Choice Requires="x15">
      <x15ac:absPath xmlns:x15ac="http://schemas.microsoft.com/office/spreadsheetml/2010/11/ac" url="C:\Users\admin\Desktop\es-ES\"/>
    </mc:Choice>
  </mc:AlternateContent>
  <xr:revisionPtr revIDLastSave="64" documentId="13_ncr:1_{7F89D9BE-A212-49F1-87C7-DF9827E7780D}" xr6:coauthVersionLast="47" xr6:coauthVersionMax="47" xr10:uidLastSave="{DE369A8D-BC42-4B6D-A9C6-880DD842EBA7}"/>
  <bookViews>
    <workbookView xWindow="-120" yWindow="-120" windowWidth="29100" windowHeight="16155" xr2:uid="{00000000-000D-0000-FFFF-FFFF00000000}"/>
  </bookViews>
  <sheets>
    <sheet name="Lista de inventario" sheetId="2" r:id="rId1"/>
    <sheet name="Lista De Selección De Invent..." sheetId="11" r:id="rId2"/>
    <sheet name="Búsqueda de contenedores" sheetId="9" r:id="rId3"/>
  </sheets>
  <definedNames>
    <definedName name="NúmeroDeContenedor">BúsquedaDeContenedores[N.º DE CONTENEDOR]</definedName>
    <definedName name="SKULookup">ListaDeInventario[SKU]</definedName>
    <definedName name="TítuloDeColumna1">ListaDeInventario[[#Headers],[SKU]]</definedName>
    <definedName name="TítuloDeColumna2">ListaDeSelecciónDeInventario[[#Headers],[N.º DE PEDIDO]]</definedName>
    <definedName name="TítuloDeColumna3">BúsquedaDeContenedores[[#Headers],[N.º DE CONTENEDOR]]</definedName>
    <definedName name="_xlnm.Print_Titles" localSheetId="2">'Búsqueda de contenedores'!$4:$4</definedName>
    <definedName name="_xlnm.Print_Titles" localSheetId="0">'Lista de inventario'!$4:$4</definedName>
    <definedName name="_xlnm.Print_Titles" localSheetId="1">'Lista De Selección De Invent...'!$4:$4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9" i="11" l="1"/>
  <c r="H8" i="11"/>
  <c r="H7" i="11"/>
  <c r="H6" i="11"/>
  <c r="H5" i="11"/>
  <c r="G9" i="11"/>
  <c r="G8" i="11"/>
  <c r="G7" i="11"/>
  <c r="G6" i="11"/>
  <c r="G5" i="11"/>
  <c r="F9" i="11"/>
  <c r="F8" i="11"/>
  <c r="F7" i="11"/>
  <c r="F6" i="11"/>
  <c r="F5" i="11"/>
  <c r="E9" i="11"/>
  <c r="E8" i="11"/>
  <c r="E7" i="11"/>
  <c r="E6" i="11"/>
  <c r="E5" i="11"/>
  <c r="K15" i="2" l="1"/>
  <c r="K14" i="2"/>
  <c r="K12" i="2"/>
  <c r="K11" i="2"/>
  <c r="K10" i="2"/>
  <c r="K9" i="2"/>
  <c r="K8" i="2"/>
  <c r="K7" i="2"/>
  <c r="K6" i="2"/>
  <c r="K5" i="2"/>
  <c r="K13" i="2"/>
  <c r="J15" i="2" l="1"/>
  <c r="E15" i="2"/>
  <c r="J14" i="2"/>
  <c r="E14" i="2"/>
  <c r="I8" i="11" s="1"/>
  <c r="J13" i="2"/>
  <c r="E13" i="2"/>
  <c r="J12" i="2"/>
  <c r="E12" i="2"/>
  <c r="J11" i="2"/>
  <c r="E11" i="2"/>
  <c r="I7" i="11" s="1"/>
  <c r="J10" i="2"/>
  <c r="E10" i="2"/>
  <c r="J9" i="2"/>
  <c r="E9" i="2"/>
  <c r="J8" i="2"/>
  <c r="E8" i="2"/>
  <c r="I6" i="11" s="1"/>
  <c r="J7" i="2"/>
  <c r="E7" i="2"/>
  <c r="I9" i="11" s="1"/>
  <c r="J6" i="2"/>
  <c r="E6" i="2"/>
  <c r="J5" i="2"/>
  <c r="E5" i="2"/>
  <c r="I5" i="11" s="1"/>
  <c r="C3" i="2"/>
  <c r="D3" i="2"/>
  <c r="B3" i="2" l="1"/>
</calcChain>
</file>

<file path=xl/sharedStrings.xml><?xml version="1.0" encoding="utf-8"?>
<sst xmlns="http://schemas.openxmlformats.org/spreadsheetml/2006/main" count="109" uniqueCount="65">
  <si>
    <t>LISTA DE INVENTARIO</t>
  </si>
  <si>
    <t>VALOR TOTAL DEL INVENTARIO:</t>
  </si>
  <si>
    <t>SKU</t>
  </si>
  <si>
    <t>SP7875</t>
  </si>
  <si>
    <t>TR87680</t>
  </si>
  <si>
    <t>MK676554</t>
  </si>
  <si>
    <t>YE98767</t>
  </si>
  <si>
    <t>XR23423</t>
  </si>
  <si>
    <t>PW98762</t>
  </si>
  <si>
    <t>BM87684</t>
  </si>
  <si>
    <t>BH67655</t>
  </si>
  <si>
    <t>WT98768</t>
  </si>
  <si>
    <t>TS3456</t>
  </si>
  <si>
    <t>WDG123</t>
  </si>
  <si>
    <t>ARTÍCULOS DEL INVENTARIO:</t>
  </si>
  <si>
    <t>DESCRIPCIÓN</t>
  </si>
  <si>
    <t>Artículo 1</t>
  </si>
  <si>
    <t>Artículo 2</t>
  </si>
  <si>
    <t>Artículo 3</t>
  </si>
  <si>
    <t>Artículo 4</t>
  </si>
  <si>
    <t>Artículo 5</t>
  </si>
  <si>
    <t>Artículo 6</t>
  </si>
  <si>
    <t>Artículo 7</t>
  </si>
  <si>
    <t>Artículo 8</t>
  </si>
  <si>
    <t>Artículo 9</t>
  </si>
  <si>
    <t>Artículo 10</t>
  </si>
  <si>
    <t>Artículo 11</t>
  </si>
  <si>
    <t>NÚMERO DE CONTENEDORES:</t>
  </si>
  <si>
    <t>N.º DE CONTENEDOR</t>
  </si>
  <si>
    <t>T345</t>
  </si>
  <si>
    <t>T5789</t>
  </si>
  <si>
    <t>T9876</t>
  </si>
  <si>
    <t>T098</t>
  </si>
  <si>
    <t>T349</t>
  </si>
  <si>
    <t>T9875</t>
  </si>
  <si>
    <t>LISTA DE SELECCIÓN DE INVENTARIO</t>
  </si>
  <si>
    <t>UBICACIÓN</t>
  </si>
  <si>
    <t>BÚSQUEDA DE CONTENEDORES</t>
  </si>
  <si>
    <t>UNIDAD</t>
  </si>
  <si>
    <t>Unidad</t>
  </si>
  <si>
    <t>Caja (10 uds.)</t>
  </si>
  <si>
    <t>Paquete (5 uds.)</t>
  </si>
  <si>
    <t>CANT.</t>
  </si>
  <si>
    <t>CANT. DEL NUEVO PEDIDO</t>
  </si>
  <si>
    <t>COSTO</t>
  </si>
  <si>
    <t>VALOR DE INVENTARIO</t>
  </si>
  <si>
    <t>NUEVO PEDIDO</t>
  </si>
  <si>
    <t>N.º DE PEDIDO</t>
  </si>
  <si>
    <t>TP001-1</t>
  </si>
  <si>
    <t>CANT. SELECCIONADA</t>
  </si>
  <si>
    <t>CANT. DISPONIBLE</t>
  </si>
  <si>
    <t>DESCRIPCIÓN DEL ARTÍCULO</t>
  </si>
  <si>
    <t>Contenedor grande</t>
  </si>
  <si>
    <t>Contenedor pequeño</t>
  </si>
  <si>
    <t>Contenedor mediano</t>
  </si>
  <si>
    <t>Fila 2, espacio 1</t>
  </si>
  <si>
    <t>Fila 1, espacio 1</t>
  </si>
  <si>
    <t>Fila 3, espacio 2</t>
  </si>
  <si>
    <t>Fila 3, espacio 1</t>
  </si>
  <si>
    <t>Fila 1, espacio 2</t>
  </si>
  <si>
    <t>Fila 4, espacio 5</t>
  </si>
  <si>
    <t>Fila 2, espacio 2</t>
  </si>
  <si>
    <t>ANCHO</t>
  </si>
  <si>
    <t>ALTO</t>
  </si>
  <si>
    <t>LARGO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</si>
</sst>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7" formatCode="#,##0.00\ &quot;€&quot;;\-#,##0.00\ &quot;€&quot;"/>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0.00\ &quot;€&quot;"/>
    <numFmt numFmtId="167" formatCode="&quot;Nuevo pedido&quot;;&quot;&quot;;&quot;&quot;"/>
  </numFmts>
  <fonts count="22" x14ac:knownFonts="1">
    <font>
      <sz val="11"/>
      <color theme="3" tint="0.14993743705557422"/>
      <name val="Franklin Gothic Medium"/>
      <family val="2"/>
      <scheme val="minor"/>
    </font>
    <font>
      <sz val="11"/>
      <color theme="1"/>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
      <sz val="11"/>
      <color rgb="FF006100"/>
      <name val="Franklin Gothic Medium"/>
      <family val="2"/>
      <scheme val="minor"/>
    </font>
    <font>
      <sz val="11"/>
      <color rgb="FF9C0006"/>
      <name val="Franklin Gothic Medium"/>
      <family val="2"/>
      <scheme val="minor"/>
    </font>
    <font>
      <sz val="11"/>
      <color rgb="FF9C5700"/>
      <name val="Franklin Gothic Medium"/>
      <family val="2"/>
      <scheme val="minor"/>
    </font>
    <font>
      <sz val="11"/>
      <color rgb="FF3F3F76"/>
      <name val="Franklin Gothic Medium"/>
      <family val="2"/>
      <scheme val="minor"/>
    </font>
    <font>
      <b/>
      <sz val="11"/>
      <color rgb="FF3F3F3F"/>
      <name val="Franklin Gothic Medium"/>
      <family val="2"/>
      <scheme val="minor"/>
    </font>
    <font>
      <b/>
      <sz val="11"/>
      <color rgb="FFFA7D00"/>
      <name val="Franklin Gothic Medium"/>
      <family val="2"/>
      <scheme val="minor"/>
    </font>
    <font>
      <b/>
      <sz val="11"/>
      <color theme="0"/>
      <name val="Franklin Gothic Medium"/>
      <family val="2"/>
      <scheme val="minor"/>
    </font>
    <font>
      <sz val="11"/>
      <color rgb="FFFF0000"/>
      <name val="Franklin Gothic Medium"/>
      <family val="2"/>
      <scheme val="minor"/>
    </font>
    <font>
      <i/>
      <sz val="11"/>
      <color rgb="FF7F7F7F"/>
      <name val="Franklin Gothic Medium"/>
      <family val="2"/>
      <scheme val="minor"/>
    </font>
  </fonts>
  <fills count="34">
    <fill>
      <patternFill patternType="none"/>
    </fill>
    <fill>
      <patternFill patternType="gray125"/>
    </fill>
    <fill>
      <patternFill patternType="solid">
        <fgColor theme="4"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7">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55">
    <xf numFmtId="0" fontId="0" fillId="0" borderId="0">
      <alignment vertical="center"/>
    </xf>
    <xf numFmtId="0" fontId="3" fillId="0" borderId="1" applyNumberFormat="0" applyFill="0" applyAlignment="0" applyProtection="0"/>
    <xf numFmtId="0" fontId="10" fillId="2" borderId="0" applyNumberFormat="0" applyProtection="0">
      <alignment horizontal="left" vertical="center" indent="1"/>
    </xf>
    <xf numFmtId="0" fontId="4" fillId="0" borderId="0" applyNumberFormat="0" applyFill="0" applyBorder="0" applyAlignment="0" applyProtection="0"/>
    <xf numFmtId="0" fontId="6" fillId="0" borderId="1" applyNumberFormat="0" applyFill="0" applyAlignment="0" applyProtection="0"/>
    <xf numFmtId="0" fontId="6" fillId="0" borderId="0" applyNumberFormat="0" applyFill="0" applyBorder="0" applyAlignment="0" applyProtection="0"/>
    <xf numFmtId="0" fontId="5" fillId="0" borderId="2" applyNumberFormat="0" applyFill="0" applyAlignment="0" applyProtection="0"/>
    <xf numFmtId="167" fontId="12" fillId="0" borderId="0">
      <alignment horizontal="center" vertical="center"/>
    </xf>
    <xf numFmtId="0" fontId="9" fillId="2" borderId="0" applyNumberFormat="0" applyProtection="0">
      <alignment horizontal="right" indent="1"/>
    </xf>
    <xf numFmtId="0" fontId="11" fillId="0" borderId="0" applyNumberFormat="0" applyProtection="0">
      <alignment horizontal="center"/>
    </xf>
    <xf numFmtId="0" fontId="11" fillId="0" borderId="0" applyNumberFormat="0" applyProtection="0">
      <alignment horizontal="center"/>
    </xf>
    <xf numFmtId="0" fontId="7" fillId="0" borderId="0" applyNumberFormat="0" applyFill="0" applyBorder="0" applyProtection="0">
      <alignment horizontal="left" vertical="top"/>
    </xf>
    <xf numFmtId="0" fontId="8" fillId="0" borderId="0">
      <alignment horizontal="left" vertical="center" wrapText="1" indent="1"/>
    </xf>
    <xf numFmtId="1" fontId="8" fillId="0" borderId="0">
      <alignment horizontal="center" vertical="center"/>
    </xf>
    <xf numFmtId="7" fontId="8" fillId="0" borderId="0">
      <alignment horizontal="right" vertical="center"/>
    </xf>
    <xf numFmtId="0" fontId="9" fillId="0" borderId="0" applyNumberFormat="0" applyFill="0" applyBorder="0">
      <alignment horizontal="center"/>
    </xf>
    <xf numFmtId="165" fontId="8" fillId="0" borderId="0" applyFont="0" applyFill="0" applyBorder="0" applyAlignment="0" applyProtection="0"/>
    <xf numFmtId="164" fontId="8"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9" fontId="8" fillId="0" borderId="0" applyFont="0" applyFill="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3" applyNumberFormat="0" applyAlignment="0" applyProtection="0"/>
    <xf numFmtId="0" fontId="17" fillId="7" borderId="4" applyNumberFormat="0" applyAlignment="0" applyProtection="0"/>
    <xf numFmtId="0" fontId="18" fillId="7" borderId="3" applyNumberFormat="0" applyAlignment="0" applyProtection="0"/>
    <xf numFmtId="0" fontId="19" fillId="8" borderId="5" applyNumberFormat="0" applyAlignment="0" applyProtection="0"/>
    <xf numFmtId="0" fontId="20" fillId="0" borderId="0" applyNumberFormat="0" applyFill="0" applyBorder="0" applyAlignment="0" applyProtection="0"/>
    <xf numFmtId="0" fontId="8" fillId="9" borderId="6" applyNumberFormat="0" applyFont="0" applyAlignment="0" applyProtection="0"/>
    <xf numFmtId="0" fontId="21" fillId="0" borderId="0" applyNumberFormat="0" applyFill="0" applyBorder="0" applyAlignment="0" applyProtection="0"/>
    <xf numFmtId="0" fontId="9"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9"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9"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9"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9"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9"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cellStyleXfs>
  <cellXfs count="19">
    <xf numFmtId="0" fontId="0" fillId="0" borderId="0" xfId="0">
      <alignment vertical="center"/>
    </xf>
    <xf numFmtId="0" fontId="3" fillId="0" borderId="1" xfId="1" applyAlignment="1">
      <alignment vertical="center"/>
    </xf>
    <xf numFmtId="0" fontId="4" fillId="0" borderId="0" xfId="3"/>
    <xf numFmtId="0" fontId="3" fillId="0" borderId="1" xfId="1"/>
    <xf numFmtId="0" fontId="4" fillId="0" borderId="0" xfId="3" applyAlignment="1"/>
    <xf numFmtId="0" fontId="3" fillId="0" borderId="1" xfId="1" applyAlignment="1"/>
    <xf numFmtId="0" fontId="0" fillId="0" borderId="0" xfId="0" applyAlignment="1">
      <alignment horizontal="left" vertical="center" indent="1"/>
    </xf>
    <xf numFmtId="0" fontId="0" fillId="0" borderId="0" xfId="0" applyAlignment="1">
      <alignment horizontal="center"/>
    </xf>
    <xf numFmtId="0" fontId="10" fillId="2" borderId="0" xfId="2">
      <alignment horizontal="left" vertical="center" indent="1"/>
    </xf>
    <xf numFmtId="0" fontId="2" fillId="0" borderId="0" xfId="0" applyFont="1">
      <alignment vertical="center"/>
    </xf>
    <xf numFmtId="0" fontId="7" fillId="0" borderId="0" xfId="11">
      <alignment horizontal="left" vertical="top"/>
    </xf>
    <xf numFmtId="0" fontId="8" fillId="0" borderId="0" xfId="12">
      <alignment horizontal="left" vertical="center" wrapText="1" indent="1"/>
    </xf>
    <xf numFmtId="0" fontId="0" fillId="0" borderId="0" xfId="12" applyFont="1">
      <alignment horizontal="left" vertical="center" wrapText="1" indent="1"/>
    </xf>
    <xf numFmtId="0" fontId="9" fillId="0" borderId="0" xfId="15">
      <alignment horizontal="center"/>
    </xf>
    <xf numFmtId="166" fontId="7" fillId="0" borderId="0" xfId="11" applyNumberFormat="1">
      <alignment horizontal="left" vertical="top"/>
    </xf>
    <xf numFmtId="14" fontId="0" fillId="0" borderId="0" xfId="0" applyNumberFormat="1">
      <alignment vertical="center"/>
    </xf>
    <xf numFmtId="1" fontId="8" fillId="0" borderId="0" xfId="13">
      <alignment horizontal="center" vertical="center"/>
    </xf>
    <xf numFmtId="7" fontId="8" fillId="0" borderId="0" xfId="14">
      <alignment horizontal="right" vertical="center"/>
    </xf>
    <xf numFmtId="167" fontId="12" fillId="0" borderId="0" xfId="7">
      <alignment horizontal="center" vertical="center"/>
    </xf>
  </cellXfs>
  <cellStyles count="55">
    <cellStyle name="20% - Énfasis1" xfId="32" builtinId="30" customBuiltin="1"/>
    <cellStyle name="20% - Énfasis2" xfId="36" builtinId="34" customBuiltin="1"/>
    <cellStyle name="20% - Énfasis3" xfId="40" builtinId="38" customBuiltin="1"/>
    <cellStyle name="20% - Énfasis4" xfId="44" builtinId="42" customBuiltin="1"/>
    <cellStyle name="20% - Énfasis5" xfId="48" builtinId="46" customBuiltin="1"/>
    <cellStyle name="20% - Énfasis6" xfId="52" builtinId="50" customBuiltin="1"/>
    <cellStyle name="40% - Énfasis1" xfId="33" builtinId="31" customBuiltin="1"/>
    <cellStyle name="40% - Énfasis2" xfId="37" builtinId="35" customBuiltin="1"/>
    <cellStyle name="40% - Énfasis3" xfId="41" builtinId="39" customBuiltin="1"/>
    <cellStyle name="40% - Énfasis4" xfId="45" builtinId="43" customBuiltin="1"/>
    <cellStyle name="40% - Énfasis5" xfId="49" builtinId="47" customBuiltin="1"/>
    <cellStyle name="40% - Énfasis6" xfId="53" builtinId="51" customBuiltin="1"/>
    <cellStyle name="60% - Énfasis1" xfId="34" builtinId="32" customBuiltin="1"/>
    <cellStyle name="60% - Énfasis2" xfId="38" builtinId="36" customBuiltin="1"/>
    <cellStyle name="60% - Énfasis3" xfId="42" builtinId="40" customBuiltin="1"/>
    <cellStyle name="60% - Énfasis4" xfId="46" builtinId="44" customBuiltin="1"/>
    <cellStyle name="60% - Énfasis5" xfId="50" builtinId="48" customBuiltin="1"/>
    <cellStyle name="60% - Énfasis6" xfId="54" builtinId="52" customBuiltin="1"/>
    <cellStyle name="Bueno" xfId="21" builtinId="26" customBuiltin="1"/>
    <cellStyle name="Cálculo" xfId="26" builtinId="22" customBuiltin="1"/>
    <cellStyle name="Celda de comprobación" xfId="27" builtinId="23" customBuiltin="1"/>
    <cellStyle name="Celda vinculada" xfId="8" builtinId="24" customBuiltin="1"/>
    <cellStyle name="Columna de marcas" xfId="7" xr:uid="{00000000-0005-0000-0000-000000000000}"/>
    <cellStyle name="Detalles de la tabla alineados a la derecha" xfId="14" xr:uid="{00000000-0005-0000-0000-00000B000000}"/>
    <cellStyle name="Detalles de la tabla alineados a la izquierda" xfId="12" xr:uid="{00000000-0005-0000-0000-00000A000000}"/>
    <cellStyle name="Detalles de la tabla centrados" xfId="13" xr:uid="{00000000-0005-0000-0000-000009000000}"/>
    <cellStyle name="Encabezado 1" xfId="2" builtinId="16" customBuiltin="1"/>
    <cellStyle name="Encabezado 4" xfId="5" builtinId="19" customBuiltin="1"/>
    <cellStyle name="Énfasis1" xfId="31" builtinId="29" customBuiltin="1"/>
    <cellStyle name="Énfasis2" xfId="35" builtinId="33" customBuiltin="1"/>
    <cellStyle name="Énfasis3" xfId="39" builtinId="37" customBuiltin="1"/>
    <cellStyle name="Énfasis4" xfId="43" builtinId="41" customBuiltin="1"/>
    <cellStyle name="Énfasis5" xfId="47" builtinId="45" customBuiltin="1"/>
    <cellStyle name="Énfasis6" xfId="51" builtinId="49" customBuiltin="1"/>
    <cellStyle name="Entrada" xfId="24" builtinId="20" customBuiltin="1"/>
    <cellStyle name="Hipervínculo" xfId="9" builtinId="8" customBuiltin="1"/>
    <cellStyle name="Hipervínculo visitado" xfId="10" builtinId="9" customBuiltin="1"/>
    <cellStyle name="Incorrecto" xfId="22" builtinId="27" customBuiltin="1"/>
    <cellStyle name="Millares" xfId="16" builtinId="3" customBuiltin="1"/>
    <cellStyle name="Millares [0]" xfId="17" builtinId="6" customBuiltin="1"/>
    <cellStyle name="Moneda" xfId="18" builtinId="4" customBuiltin="1"/>
    <cellStyle name="Moneda [0]" xfId="19" builtinId="7" customBuiltin="1"/>
    <cellStyle name="Neutral" xfId="23" builtinId="28" customBuiltin="1"/>
    <cellStyle name="Normal" xfId="0" builtinId="0" customBuiltin="1"/>
    <cellStyle name="Notas" xfId="29" builtinId="10" customBuiltin="1"/>
    <cellStyle name="Número total" xfId="11" xr:uid="{00000000-0005-0000-0000-00000E000000}"/>
    <cellStyle name="Ocultar el texto del vínculo de navegación" xfId="15" xr:uid="{00000000-0005-0000-0000-00000F000000}"/>
    <cellStyle name="Porcentaje" xfId="20" builtinId="5" customBuiltin="1"/>
    <cellStyle name="Salida" xfId="25" builtinId="21" customBuiltin="1"/>
    <cellStyle name="Texto de advertencia" xfId="28" builtinId="11" customBuiltin="1"/>
    <cellStyle name="Texto explicativo" xfId="30" builtinId="53" customBuiltin="1"/>
    <cellStyle name="Título" xfId="1" builtinId="15" customBuiltin="1"/>
    <cellStyle name="Título 2" xfId="3" builtinId="17" customBuiltin="1"/>
    <cellStyle name="Título 3" xfId="4" builtinId="18" customBuiltin="1"/>
    <cellStyle name="Total" xfId="6" builtinId="25" customBuiltin="1"/>
  </cellStyles>
  <dxfs count="18">
    <dxf>
      <numFmt numFmtId="1" formatCode="0"/>
    </dxf>
    <dxf>
      <numFmt numFmtId="1" formatCode="0"/>
    </dxf>
    <dxf>
      <numFmt numFmtId="1" formatCode="0"/>
    </dxf>
    <dxf>
      <numFmt numFmtId="1" formatCode="0"/>
    </dxf>
    <dxf>
      <numFmt numFmtId="1" formatCode="0"/>
    </dxf>
    <dxf>
      <font>
        <b/>
        <i val="0"/>
        <color rgb="FFFF0000"/>
      </font>
    </dxf>
    <dxf>
      <numFmt numFmtId="167" formatCode="&quot;Nuevo pedido&quot;;&quot;&quot;;&quot;&quot;"/>
    </dxf>
    <dxf>
      <numFmt numFmtId="11" formatCode="#,##0.00\ &quot;€&quot;;\-#,##0.00\ &quot;€&quot;"/>
    </dxf>
    <dxf>
      <numFmt numFmtId="11" formatCode="#,##0.00\ &quot;€&quot;;\-#,##0.00\ &quot;€&quot;"/>
    </dxf>
    <dxf>
      <numFmt numFmtId="1" formatCode="0"/>
    </dxf>
    <dxf>
      <numFmt numFmtId="1" formatCode="0"/>
    </dxf>
    <dxf>
      <alignment vertical="center" textRotation="0" wrapText="0" indent="0" justifyLastLine="0" shrinkToFit="0" readingOrder="0"/>
    </dxf>
    <dxf>
      <fill>
        <patternFill>
          <bgColor theme="5" tint="0.5999633777886288"/>
        </patternFill>
      </fill>
    </dxf>
    <dxf>
      <font>
        <b/>
        <i val="0"/>
      </font>
    </dxf>
    <dxf>
      <fill>
        <patternFill>
          <bgColor theme="2" tint="-4.99893185216834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PivotStyle="PivotStyleMedium2">
    <tableStyle name="Inventario de almacén" pivot="0" count="4" xr9:uid="{00000000-0011-0000-FFFF-FFFF00000000}">
      <tableStyleElement type="wholeTable" dxfId="17"/>
      <tableStyleElement type="headerRow" dxfId="16"/>
      <tableStyleElement type="lastColumn" dxfId="15"/>
      <tableStyleElement type="second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microsoft.com/office/2006/relationships/vbaProject" Target="/xl/vbaProject.bin" Id="rId8" /><Relationship Type="http://schemas.openxmlformats.org/officeDocument/2006/relationships/worksheet" Target="/xl/worksheets/sheet31.xml" Id="rId3" /><Relationship Type="http://schemas.openxmlformats.org/officeDocument/2006/relationships/calcChain" Target="/xl/calcChain.xml" Id="rId7"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sharedStrings" Target="/xl/sharedStrings.xml" Id="rId6" /><Relationship Type="http://schemas.openxmlformats.org/officeDocument/2006/relationships/styles" Target="/xl/styles.xml" Id="rId5" /><Relationship Type="http://schemas.openxmlformats.org/officeDocument/2006/relationships/theme" Target="/xl/theme/theme11.xml" Id="rId4" /></Relationships>
</file>

<file path=xl/drawings/_rels/drawing13.xml.rels>&#65279;<?xml version="1.0" encoding="utf-8"?><Relationships xmlns="http://schemas.openxmlformats.org/package/2006/relationships"><Relationship Type="http://schemas.openxmlformats.org/officeDocument/2006/relationships/hyperlink" Target="#'B&#250;squeda de contenedores'!A1" TargetMode="External" Id="rId2" /><Relationship Type="http://schemas.openxmlformats.org/officeDocument/2006/relationships/hyperlink" Target="#'Lista De Selecci&#243;n De Invent...'!A1" TargetMode="External" Id="rId1" /></Relationships>
</file>

<file path=xl/drawings/_rels/drawing22.xml.rels>&#65279;<?xml version="1.0" encoding="utf-8"?><Relationships xmlns="http://schemas.openxmlformats.org/package/2006/relationships"><Relationship Type="http://schemas.openxmlformats.org/officeDocument/2006/relationships/hyperlink" Target="#'Lista de inventario'!A1" TargetMode="External" Id="rId1" /></Relationships>
</file>

<file path=xl/drawings/_rels/drawing31.xml.rels>&#65279;<?xml version="1.0" encoding="utf-8"?><Relationships xmlns="http://schemas.openxmlformats.org/package/2006/relationships"><Relationship Type="http://schemas.openxmlformats.org/officeDocument/2006/relationships/hyperlink" Target="#'Lista de inventario'!A1" TargetMode="External" Id="rId1" /></Relationships>
</file>

<file path=xl/drawings/drawing13.xml><?xml version="1.0" encoding="utf-8"?>
<xdr:wsDr xmlns:xdr="http://schemas.openxmlformats.org/drawingml/2006/spreadsheetDrawing" xmlns:a="http://schemas.openxmlformats.org/drawingml/2006/main">
  <xdr:twoCellAnchor editAs="oneCell">
    <xdr:from>
      <xdr:col>4</xdr:col>
      <xdr:colOff>3429</xdr:colOff>
      <xdr:row>1</xdr:row>
      <xdr:rowOff>57149</xdr:rowOff>
    </xdr:from>
    <xdr:to>
      <xdr:col>4</xdr:col>
      <xdr:colOff>2559429</xdr:colOff>
      <xdr:row>1</xdr:row>
      <xdr:rowOff>285749</xdr:rowOff>
    </xdr:to>
    <xdr:sp macro="" textlink="">
      <xdr:nvSpPr>
        <xdr:cNvPr id="11" name="Lista de inventario" descr="Forma de navegación para ver la lista de selección de inventario.">
          <a:hlinkClick xmlns:r="http://schemas.openxmlformats.org/officeDocument/2006/relationships" r:id="rId1" tooltip="Seleccione esta opción para ver la hoja de cálculo de la lista de selección de inventario."/>
          <a:extLst>
            <a:ext uri="{FF2B5EF4-FFF2-40B4-BE49-F238E27FC236}">
              <a16:creationId xmlns:a16="http://schemas.microsoft.com/office/drawing/2014/main" id="{00000000-0008-0000-0000-00000B000000}"/>
            </a:ext>
          </a:extLst>
        </xdr:cNvPr>
        <xdr:cNvSpPr/>
      </xdr:nvSpPr>
      <xdr:spPr>
        <a:xfrm>
          <a:off x="6261354" y="742949"/>
          <a:ext cx="255600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rtl="0"/>
          <a:r>
            <a:rPr lang="es" sz="1100">
              <a:solidFill>
                <a:schemeClr val="lt1"/>
              </a:solidFill>
              <a:latin typeface="Franklin Gothic Medium" panose="020B0603020102020204" pitchFamily="34" charset="0"/>
              <a:ea typeface="+mn-ea"/>
              <a:cs typeface="+mn-cs"/>
            </a:rPr>
            <a:t>LISTA DE</a:t>
          </a:r>
          <a:r>
            <a:rPr lang="es" sz="1100" baseline="0">
              <a:solidFill>
                <a:schemeClr val="lt1"/>
              </a:solidFill>
              <a:latin typeface="Franklin Gothic Medium" panose="020B0603020102020204" pitchFamily="34" charset="0"/>
              <a:ea typeface="+mn-ea"/>
              <a:cs typeface="+mn-cs"/>
            </a:rPr>
            <a:t> SELECCIÓN DE </a:t>
          </a:r>
          <a:r>
            <a:rPr lang="es" sz="1100">
              <a:solidFill>
                <a:schemeClr val="lt1"/>
              </a:solidFill>
              <a:latin typeface="Franklin Gothic Medium" panose="020B0603020102020204" pitchFamily="34" charset="0"/>
              <a:ea typeface="+mn-ea"/>
              <a:cs typeface="+mn-cs"/>
            </a:rPr>
            <a:t>INVENTARIO</a:t>
          </a:r>
        </a:p>
      </xdr:txBody>
    </xdr:sp>
    <xdr:clientData fPrintsWithSheet="0"/>
  </xdr:twoCellAnchor>
  <xdr:twoCellAnchor editAs="oneCell">
    <xdr:from>
      <xdr:col>5</xdr:col>
      <xdr:colOff>51054</xdr:colOff>
      <xdr:row>1</xdr:row>
      <xdr:rowOff>57149</xdr:rowOff>
    </xdr:from>
    <xdr:to>
      <xdr:col>6</xdr:col>
      <xdr:colOff>25779</xdr:colOff>
      <xdr:row>1</xdr:row>
      <xdr:rowOff>285749</xdr:rowOff>
    </xdr:to>
    <xdr:sp macro="" textlink="">
      <xdr:nvSpPr>
        <xdr:cNvPr id="12" name="Lista de inventario" descr="Forma de navegación para ver la búsqueda de contenedores.">
          <a:hlinkClick xmlns:r="http://schemas.openxmlformats.org/officeDocument/2006/relationships" r:id="rId2" tooltip="Seleccione esta opción para agregar o modificar la información de la búsqueda de contenedores."/>
          <a:extLst>
            <a:ext uri="{FF2B5EF4-FFF2-40B4-BE49-F238E27FC236}">
              <a16:creationId xmlns:a16="http://schemas.microsoft.com/office/drawing/2014/main" id="{00000000-0008-0000-0000-00000C000000}"/>
            </a:ext>
          </a:extLst>
        </xdr:cNvPr>
        <xdr:cNvSpPr/>
      </xdr:nvSpPr>
      <xdr:spPr>
        <a:xfrm>
          <a:off x="8118729" y="742949"/>
          <a:ext cx="255600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rtl="0"/>
          <a:r>
            <a:rPr lang="es" sz="1100">
              <a:solidFill>
                <a:schemeClr val="lt1"/>
              </a:solidFill>
              <a:latin typeface="Franklin Gothic Medium" panose="020B0603020102020204" pitchFamily="34" charset="0"/>
              <a:ea typeface="+mn-ea"/>
              <a:cs typeface="+mn-cs"/>
            </a:rPr>
            <a:t>BÚSQUEDA DE </a:t>
          </a:r>
          <a:r>
            <a:rPr lang="es" sz="1100" baseline="0">
              <a:solidFill>
                <a:schemeClr val="lt1"/>
              </a:solidFill>
              <a:latin typeface="Franklin Gothic Medium" panose="020B0603020102020204" pitchFamily="34" charset="0"/>
              <a:ea typeface="+mn-ea"/>
              <a:cs typeface="+mn-cs"/>
            </a:rPr>
            <a:t>CONTENEDORES</a:t>
          </a:r>
          <a:endParaRPr lang="en-US" sz="1100">
            <a:solidFill>
              <a:schemeClr val="lt1"/>
            </a:solidFill>
            <a:latin typeface="Franklin Gothic Medium" panose="020B0603020102020204" pitchFamily="34" charset="0"/>
            <a:ea typeface="+mn-ea"/>
            <a:cs typeface="+mn-cs"/>
          </a:endParaRP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3</xdr:col>
      <xdr:colOff>765299</xdr:colOff>
      <xdr:row>1</xdr:row>
      <xdr:rowOff>295275</xdr:rowOff>
    </xdr:to>
    <xdr:sp macro="" textlink="">
      <xdr:nvSpPr>
        <xdr:cNvPr id="3" name="Lista de inventario" descr="Seleccione esta opción para ver la lista de inventario.">
          <a:hlinkClick xmlns:r="http://schemas.openxmlformats.org/officeDocument/2006/relationships" r:id="rId1" tooltip="Haga clic para ver la lista de inventario de almacén"/>
          <a:extLst>
            <a:ext uri="{FF2B5EF4-FFF2-40B4-BE49-F238E27FC236}">
              <a16:creationId xmlns:a16="http://schemas.microsoft.com/office/drawing/2014/main" id="{00000000-0008-0000-0100-000003000000}"/>
            </a:ext>
          </a:extLst>
        </xdr:cNvPr>
        <xdr:cNvSpPr/>
      </xdr:nvSpPr>
      <xdr:spPr>
        <a:xfrm flipH="1">
          <a:off x="2019299" y="752475"/>
          <a:ext cx="255600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rtl="0"/>
          <a:r>
            <a:rPr lang="es" sz="1100">
              <a:solidFill>
                <a:schemeClr val="lt1"/>
              </a:solidFill>
              <a:latin typeface="Franklin Gothic Medium" panose="020B0603020102020204" pitchFamily="34" charset="0"/>
              <a:ea typeface="+mn-ea"/>
              <a:cs typeface="+mn-cs"/>
            </a:rPr>
            <a:t>LISTA DE</a:t>
          </a:r>
          <a:r>
            <a:rPr lang="es" sz="1000">
              <a:solidFill>
                <a:schemeClr val="lt1"/>
              </a:solidFill>
              <a:latin typeface="Franklin Gothic Medium" panose="020B0603020102020204" pitchFamily="34" charset="0"/>
              <a:ea typeface="+mn-ea"/>
              <a:cs typeface="+mn-cs"/>
            </a:rPr>
            <a:t> </a:t>
          </a:r>
          <a:r>
            <a:rPr lang="es" sz="1100">
              <a:solidFill>
                <a:schemeClr val="lt1"/>
              </a:solidFill>
              <a:latin typeface="Franklin Gothic Medium" panose="020B0603020102020204" pitchFamily="34" charset="0"/>
              <a:ea typeface="+mn-ea"/>
              <a:cs typeface="+mn-cs"/>
            </a:rPr>
            <a:t> INVENTARIO</a:t>
          </a:r>
        </a:p>
      </xdr:txBody>
    </xdr:sp>
    <xdr:clientData fPrintsWithSheet="0"/>
  </xdr:twoCellAnchor>
  <xdr:twoCellAnchor editAs="oneCell">
    <xdr:from>
      <xdr:col>1</xdr:col>
      <xdr:colOff>28574</xdr:colOff>
      <xdr:row>1</xdr:row>
      <xdr:rowOff>76200</xdr:rowOff>
    </xdr:from>
    <xdr:to>
      <xdr:col>1</xdr:col>
      <xdr:colOff>2584574</xdr:colOff>
      <xdr:row>1</xdr:row>
      <xdr:rowOff>304800</xdr:rowOff>
    </xdr:to>
    <xdr:sp macro="[0]!ClearPickList" textlink="">
      <xdr:nvSpPr>
        <xdr:cNvPr id="5" name="Lista de inventario" descr="Seleccione esta opción para borrar la lista de selección.">
          <a:extLst>
            <a:ext uri="{FF2B5EF4-FFF2-40B4-BE49-F238E27FC236}">
              <a16:creationId xmlns:a16="http://schemas.microsoft.com/office/drawing/2014/main" id="{00000000-0008-0000-0100-000005000000}"/>
            </a:ext>
          </a:extLst>
        </xdr:cNvPr>
        <xdr:cNvSpPr/>
      </xdr:nvSpPr>
      <xdr:spPr>
        <a:xfrm flipH="1">
          <a:off x="190499" y="762000"/>
          <a:ext cx="255600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rtl="0"/>
          <a:r>
            <a:rPr lang="es" sz="1100">
              <a:solidFill>
                <a:schemeClr val="lt1"/>
              </a:solidFill>
              <a:latin typeface="Franklin Gothic Medium" panose="020B0603020102020204" pitchFamily="34" charset="0"/>
              <a:ea typeface="+mn-ea"/>
              <a:cs typeface="+mn-cs"/>
            </a:rPr>
            <a:t>BORRAR</a:t>
          </a:r>
          <a:r>
            <a:rPr lang="es" sz="1000">
              <a:solidFill>
                <a:schemeClr val="lt1"/>
              </a:solidFill>
              <a:latin typeface="Franklin Gothic Medium" panose="020B0603020102020204" pitchFamily="34" charset="0"/>
              <a:ea typeface="+mn-ea"/>
              <a:cs typeface="+mn-cs"/>
            </a:rPr>
            <a:t> </a:t>
          </a:r>
          <a:r>
            <a:rPr lang="es" sz="1100">
              <a:solidFill>
                <a:schemeClr val="lt1"/>
              </a:solidFill>
              <a:latin typeface="Franklin Gothic Medium" panose="020B0603020102020204" pitchFamily="34" charset="0"/>
              <a:ea typeface="+mn-ea"/>
              <a:cs typeface="+mn-cs"/>
            </a:rPr>
            <a:t> </a:t>
          </a:r>
          <a:r>
            <a:rPr lang="es" sz="1100" baseline="0">
              <a:solidFill>
                <a:schemeClr val="lt1"/>
              </a:solidFill>
              <a:latin typeface="Franklin Gothic Medium" panose="020B0603020102020204" pitchFamily="34" charset="0"/>
              <a:ea typeface="+mn-ea"/>
              <a:cs typeface="+mn-cs"/>
            </a:rPr>
            <a:t>LISTA</a:t>
          </a:r>
          <a:r>
            <a:rPr lang="es" sz="1000" baseline="0">
              <a:solidFill>
                <a:schemeClr val="lt1"/>
              </a:solidFill>
              <a:latin typeface="Franklin Gothic Medium" panose="020B0603020102020204" pitchFamily="34" charset="0"/>
              <a:ea typeface="+mn-ea"/>
              <a:cs typeface="+mn-cs"/>
            </a:rPr>
            <a:t> </a:t>
          </a:r>
          <a:r>
            <a:rPr lang="es" sz="1100" baseline="0">
              <a:solidFill>
                <a:schemeClr val="lt1"/>
              </a:solidFill>
              <a:latin typeface="Franklin Gothic Medium" panose="020B0603020102020204" pitchFamily="34" charset="0"/>
              <a:ea typeface="+mn-ea"/>
              <a:cs typeface="+mn-cs"/>
            </a:rPr>
            <a:t> DE SELECCIÓN</a:t>
          </a:r>
          <a:endParaRPr lang="en-US" sz="1100">
            <a:solidFill>
              <a:schemeClr val="lt1"/>
            </a:solidFill>
            <a:latin typeface="Franklin Gothic Medium" panose="020B0603020102020204" pitchFamily="34" charset="0"/>
            <a:ea typeface="+mn-ea"/>
            <a:cs typeface="+mn-cs"/>
          </a:endParaRPr>
        </a:p>
      </xdr:txBody>
    </xdr:sp>
    <xdr:clientData fPrintsWithSheet="0"/>
  </xdr:twoCellAnchor>
</xdr:wsDr>
</file>

<file path=xl/drawings/drawing31.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2584575</xdr:colOff>
      <xdr:row>1</xdr:row>
      <xdr:rowOff>295275</xdr:rowOff>
    </xdr:to>
    <xdr:sp macro="" textlink="">
      <xdr:nvSpPr>
        <xdr:cNvPr id="2" name="Lista de inventario" descr="Seleccione esta opción para ver la lista de inventario.">
          <a:hlinkClick xmlns:r="http://schemas.openxmlformats.org/officeDocument/2006/relationships" r:id="rId1" tooltip="Seleccione esta opción para ver la lista de inventario."/>
          <a:extLst>
            <a:ext uri="{FF2B5EF4-FFF2-40B4-BE49-F238E27FC236}">
              <a16:creationId xmlns:a16="http://schemas.microsoft.com/office/drawing/2014/main" id="{00000000-0008-0000-0200-000002000000}"/>
            </a:ext>
          </a:extLst>
        </xdr:cNvPr>
        <xdr:cNvSpPr/>
      </xdr:nvSpPr>
      <xdr:spPr>
        <a:xfrm flipH="1">
          <a:off x="190500" y="752475"/>
          <a:ext cx="255600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rtl="0"/>
          <a:r>
            <a:rPr lang="es" sz="1100">
              <a:solidFill>
                <a:schemeClr val="lt1"/>
              </a:solidFill>
              <a:latin typeface="Franklin Gothic Medium" panose="020B0603020102020204" pitchFamily="34" charset="0"/>
              <a:ea typeface="+mn-ea"/>
              <a:cs typeface="+mn-cs"/>
            </a:rPr>
            <a:t>LISTA DE</a:t>
          </a:r>
          <a:r>
            <a:rPr lang="es" sz="1000">
              <a:solidFill>
                <a:schemeClr val="lt1"/>
              </a:solidFill>
              <a:latin typeface="Franklin Gothic Medium" panose="020B0603020102020204" pitchFamily="34" charset="0"/>
              <a:ea typeface="+mn-ea"/>
              <a:cs typeface="+mn-cs"/>
            </a:rPr>
            <a:t> </a:t>
          </a:r>
          <a:r>
            <a:rPr lang="es" sz="1100">
              <a:solidFill>
                <a:schemeClr val="lt1"/>
              </a:solidFill>
              <a:latin typeface="Franklin Gothic Medium" panose="020B0603020102020204" pitchFamily="34" charset="0"/>
              <a:ea typeface="+mn-ea"/>
              <a:cs typeface="+mn-cs"/>
            </a:rPr>
            <a:t> INVENTARIO</a:t>
          </a:r>
        </a:p>
      </xdr:txBody>
    </xdr:sp>
    <xdr:clientData fPrintsWithSheet="0"/>
  </xdr:twoCellAnchor>
</xdr:wsDr>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DeInventario" displayName="ListaDeInventario" ref="B4:K15" totalsRowDxfId="11">
  <autoFilter ref="B4:K15" xr:uid="{00000000-0009-0000-0100-000001000000}"/>
  <sortState xmlns:xlrd2="http://schemas.microsoft.com/office/spreadsheetml/2017/richdata2" ref="B3:F12">
    <sortCondition ref="C2:C12"/>
  </sortState>
  <tableColumns count="10">
    <tableColumn id="1" xr3:uid="{00000000-0010-0000-0000-000001000000}" name="SKU" totalsRowLabel="Totals" dataCellStyle="Detalles de la tabla alineados a la izquierda"/>
    <tableColumn id="2" xr3:uid="{00000000-0010-0000-0000-000002000000}" name="DESCRIPCIÓN" dataCellStyle="Detalles de la tabla alineados a la izquierda"/>
    <tableColumn id="3" xr3:uid="{00000000-0010-0000-0000-000003000000}" name="N.º DE CONTENEDOR" dataCellStyle="Detalles de la tabla alineados a la izquierda"/>
    <tableColumn id="4" xr3:uid="{00000000-0010-0000-0000-000004000000}" name="UBICACIÓN" dataCellStyle="Detalles de la tabla alineados a la izquierda">
      <calculatedColumnFormula>IFERROR(VLOOKUP(ListaDeInventario[[#This Row],[N.º DE CONTENEDOR]],BúsquedaDeContenedores[],3,FALSE),"")</calculatedColumnFormula>
    </tableColumn>
    <tableColumn id="5" xr3:uid="{00000000-0010-0000-0000-000005000000}" name="UNIDAD" dataCellStyle="Detalles de la tabla alineados a la izquierda"/>
    <tableColumn id="6" xr3:uid="{00000000-0010-0000-0000-000006000000}" name="CANT." dataDxfId="10" dataCellStyle="Detalles de la tabla centrados"/>
    <tableColumn id="8" xr3:uid="{00000000-0010-0000-0000-000008000000}" name="CANT. DEL NUEVO PEDIDO" dataDxfId="9" dataCellStyle="Detalles de la tabla centrados"/>
    <tableColumn id="7" xr3:uid="{00000000-0010-0000-0000-000007000000}" name="COSTO" dataDxfId="8" dataCellStyle="Detalles de la tabla alineados a la derecha"/>
    <tableColumn id="10" xr3:uid="{00000000-0010-0000-0000-00000A000000}" name="VALOR DE INVENTARIO" dataDxfId="7" dataCellStyle="Detalles de la tabla alineados a la derecha">
      <calculatedColumnFormula>ListaDeInventario[[#This Row],[CANT.]]*ListaDeInventario[[#This Row],[COSTO]]</calculatedColumnFormula>
    </tableColumn>
    <tableColumn id="9" xr3:uid="{00000000-0010-0000-0000-000009000000}" name="NUEVO PEDIDO" dataDxfId="6" dataCellStyle="Columna de marcas">
      <calculatedColumnFormula>IFERROR(IF(ListaDeInventario[[#This Row],[CANT.]]&lt;=ListaDeInventario[[#This Row],[CANT. DEL NUEVO PEDIDO]],1,0),0)</calculatedColumnFormula>
    </tableColumn>
  </tableColumns>
  <tableStyleInfo name="Inventario de almacén" showFirstColumn="0" showLastColumn="0" showRowStripes="1" showColumnStripes="0"/>
  <extLst>
    <ext xmlns:x14="http://schemas.microsoft.com/office/spreadsheetml/2009/9/main" uri="{504A1905-F514-4f6f-8877-14C23A59335A}">
      <x14:table altTextSummary="Lista de los artículos del inventario y detalles como la SKU, la descripción, el número de contenedor, la ubicación, la unidad, la cantidad, la cantidad del nuevo pedido, el costo, el valor de inventario y el estado del nuevo pedido."/>
    </ext>
  </extLst>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ListaDeSelecciónDeInventario" displayName="ListaDeSelecciónDeInventario" ref="B4:I9" totalsRowShown="0">
  <autoFilter ref="B4:I9" xr:uid="{00000000-0009-0000-0100-000004000000}"/>
  <sortState xmlns:xlrd2="http://schemas.microsoft.com/office/spreadsheetml/2017/richdata2" ref="B3:I7">
    <sortCondition ref="I2:I7"/>
  </sortState>
  <tableColumns count="8">
    <tableColumn id="9" xr3:uid="{00000000-0010-0000-0100-000009000000}" name="N.º DE PEDIDO" dataCellStyle="Detalles de la tabla alineados a la izquierda"/>
    <tableColumn id="1" xr3:uid="{00000000-0010-0000-0100-000001000000}" name="SKU" dataCellStyle="Detalles de la tabla alineados a la izquierda"/>
    <tableColumn id="6" xr3:uid="{00000000-0010-0000-0100-000006000000}" name="CANT. SELECCIONADA" dataDxfId="4" dataCellStyle="Detalles de la tabla centrados"/>
    <tableColumn id="7" xr3:uid="{00000000-0010-0000-0100-000007000000}" name="CANT. DISPONIBLE" dataDxfId="3" dataCellStyle="Detalles de la tabla centrados">
      <calculatedColumnFormula>IFERROR(VLOOKUP(ListaDeSelecciónDeInventario[[#This Row],[SKU]],ListaDeInventario[],6,FALSE),"")</calculatedColumnFormula>
    </tableColumn>
    <tableColumn id="2" xr3:uid="{00000000-0010-0000-0100-000002000000}" name="DESCRIPCIÓN DEL ARTÍCULO" dataCellStyle="Detalles de la tabla alineados a la izquierda">
      <calculatedColumnFormula>IFERROR(VLOOKUP(ListaDeSelecciónDeInventario[[#This Row],[SKU]],ListaDeInventario[],2,FALSE),"")</calculatedColumnFormula>
    </tableColumn>
    <tableColumn id="8" xr3:uid="{00000000-0010-0000-0100-000008000000}" name="UNIDAD" dataCellStyle="Detalles de la tabla alineados a la izquierda">
      <calculatedColumnFormula>IFERROR(VLOOKUP(ListaDeSelecciónDeInventario[[#This Row],[SKU]],ListaDeInventario[],5,FALSE),"")</calculatedColumnFormula>
    </tableColumn>
    <tableColumn id="3" xr3:uid="{00000000-0010-0000-0100-000003000000}" name="N.º DE CONTENEDOR" dataCellStyle="Detalles de la tabla alineados a la izquierda">
      <calculatedColumnFormula>IFERROR(VLOOKUP(ListaDeSelecciónDeInventario[[#This Row],[SKU]],ListaDeInventario[],3,FALSE),"")</calculatedColumnFormula>
    </tableColumn>
    <tableColumn id="4" xr3:uid="{00000000-0010-0000-0100-000004000000}" name="UBICACIÓN" dataCellStyle="Detalles de la tabla alineados a la izquierda">
      <calculatedColumnFormula>IFERROR(VLOOKUP(ListaDeSelecciónDeInventario[[#This Row],[SKU]],ListaDeInventario[],4,FALSE),"")</calculatedColumnFormula>
    </tableColumn>
  </tableColumns>
  <tableStyleInfo name="Inventario de almacén" showFirstColumn="0" showLastColumn="0" showRowStripes="1" showColumnStripes="0"/>
  <extLst>
    <ext xmlns:x14="http://schemas.microsoft.com/office/spreadsheetml/2009/9/main" uri="{504A1905-F514-4f6f-8877-14C23A59335A}">
      <x14:table altTextSummary="Artículos del inventario para llevar a cabo el pedido, así como los detalles de cada artículo, como el número de pedido, la SKU, la cantidad seleccionada, la cantidad disponible, la descripción del artículo, la unidad, el número de contenedor y la ubicación. Para borrar la lista, seleccione la opción de la celda B2."/>
    </ext>
  </extLst>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BúsquedaDeContenedores" displayName="BúsquedaDeContenedores" ref="B4:G11">
  <autoFilter ref="B4:G11" xr:uid="{00000000-0009-0000-0100-000003000000}"/>
  <tableColumns count="6">
    <tableColumn id="1" xr3:uid="{00000000-0010-0000-0200-000001000000}" name="N.º DE CONTENEDOR" totalsRowLabel="Total" dataCellStyle="Detalles de la tabla alineados a la izquierda"/>
    <tableColumn id="2" xr3:uid="{00000000-0010-0000-0200-000002000000}" name="DESCRIPCIÓN" dataCellStyle="Detalles de la tabla alineados a la izquierda"/>
    <tableColumn id="6" xr3:uid="{00000000-0010-0000-0200-000006000000}" name="UBICACIÓN" dataCellStyle="Detalles de la tabla alineados a la izquierda"/>
    <tableColumn id="3" xr3:uid="{00000000-0010-0000-0200-000003000000}" name="ANCHO" dataDxfId="2" dataCellStyle="Detalles de la tabla centrados"/>
    <tableColumn id="4" xr3:uid="{00000000-0010-0000-0200-000004000000}" name="ALTO" dataDxfId="1" dataCellStyle="Detalles de la tabla centrados"/>
    <tableColumn id="5" xr3:uid="{00000000-0010-0000-0200-000005000000}" name="LARGO" totalsRowFunction="sum" dataDxfId="0" dataCellStyle="Detalles de la tabla centrados"/>
  </tableColumns>
  <tableStyleInfo name="Inventario de almacén" showFirstColumn="0" showLastColumn="0" showRowStripes="1" showColumnStripes="0"/>
  <extLst>
    <ext xmlns:x14="http://schemas.microsoft.com/office/spreadsheetml/2009/9/main" uri="{504A1905-F514-4f6f-8877-14C23A59335A}">
      <x14:table altTextSummary="Detalles de los contenedores del inventario, como el número de contenedor, la descripción, la ubicación, el ancho, el alto y el largo."/>
    </ext>
  </extLst>
</table>
</file>

<file path=xl/theme/theme1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table" Target="/xl/tables/table13.xml" Id="rId3" /><Relationship Type="http://schemas.openxmlformats.org/officeDocument/2006/relationships/drawing" Target="/xl/drawings/drawing13.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22.xml" Id="rId3" /><Relationship Type="http://schemas.openxmlformats.org/officeDocument/2006/relationships/drawing" Target="/xl/drawings/drawing22.xml" Id="rId2" /><Relationship Type="http://schemas.openxmlformats.org/officeDocument/2006/relationships/printerSettings" Target="/xl/printerSettings/printerSettings22.bin" Id="rId1" /></Relationships>
</file>

<file path=xl/worksheets/_rels/sheet31.xml.rels>&#65279;<?xml version="1.0" encoding="utf-8"?><Relationships xmlns="http://schemas.openxmlformats.org/package/2006/relationships"><Relationship Type="http://schemas.openxmlformats.org/officeDocument/2006/relationships/table" Target="/xl/tables/table31.xml" Id="rId3" /><Relationship Type="http://schemas.openxmlformats.org/officeDocument/2006/relationships/drawing" Target="/xl/drawings/drawing31.xml" Id="rId2" /><Relationship Type="http://schemas.openxmlformats.org/officeDocument/2006/relationships/printerSettings" Target="/xl/printerSettings/printerSettings31.bin"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InventoryList">
    <tabColor theme="4"/>
    <pageSetUpPr autoPageBreaks="0" fitToPage="1"/>
  </sheetPr>
  <dimension ref="B1:K15"/>
  <sheetViews>
    <sheetView showGridLines="0" tabSelected="1" zoomScaleNormal="100" workbookViewId="0"/>
  </sheetViews>
  <sheetFormatPr baseColWidth="10" defaultColWidth="8.88671875" defaultRowHeight="30" customHeight="1" x14ac:dyDescent="0.3"/>
  <cols>
    <col min="1" max="1" width="1.88671875" customWidth="1"/>
    <col min="2" max="2" width="20.77734375" customWidth="1"/>
    <col min="3" max="3" width="27.44140625" customWidth="1"/>
    <col min="4" max="4" width="22.88671875" bestFit="1" customWidth="1"/>
    <col min="5" max="5" width="30.88671875" customWidth="1"/>
    <col min="6" max="6" width="30.109375" customWidth="1"/>
    <col min="7" max="7" width="9.44140625" customWidth="1"/>
    <col min="8" max="8" width="23.21875" bestFit="1" customWidth="1"/>
    <col min="9" max="9" width="11.88671875" customWidth="1"/>
    <col min="10" max="10" width="20.6640625" bestFit="1" customWidth="1"/>
    <col min="11" max="11" width="15.109375" bestFit="1" customWidth="1"/>
    <col min="12" max="13" width="16.109375" customWidth="1"/>
    <col min="14" max="14" width="11.44140625" customWidth="1"/>
  </cols>
  <sheetData>
    <row r="1" spans="2:11" ht="54" customHeight="1" thickBot="1" x14ac:dyDescent="0.5">
      <c r="B1" s="5" t="s">
        <v>0</v>
      </c>
      <c r="C1" s="5"/>
      <c r="D1" s="5"/>
      <c r="E1" s="1"/>
      <c r="F1" s="1"/>
      <c r="G1" s="1"/>
      <c r="H1" s="1"/>
      <c r="I1" s="1"/>
      <c r="J1" s="1"/>
      <c r="K1" s="1"/>
    </row>
    <row r="2" spans="2:11" ht="24.95" customHeight="1" x14ac:dyDescent="0.3">
      <c r="B2" s="2" t="s">
        <v>1</v>
      </c>
      <c r="C2" s="4" t="s">
        <v>14</v>
      </c>
      <c r="D2" s="2" t="s">
        <v>27</v>
      </c>
      <c r="E2" s="13" t="s">
        <v>35</v>
      </c>
      <c r="F2" s="13" t="s">
        <v>37</v>
      </c>
    </row>
    <row r="3" spans="2:11" ht="30" customHeight="1" x14ac:dyDescent="0.3">
      <c r="B3" s="14">
        <f>SUM(ListaDeInventario[VALOR DE INVENTARIO])</f>
        <v>4649</v>
      </c>
      <c r="C3" s="10">
        <f>COUNTA(ListaDeInventario[DESCRIPCIÓN])</f>
        <v>11</v>
      </c>
      <c r="D3" s="10">
        <f>SUMPRODUCT((1/COUNTIF(ListaDeInventario[N.º DE CONTENEDOR],ListaDeInventario[N.º DE CONTENEDOR]&amp;"")))</f>
        <v>6</v>
      </c>
    </row>
    <row r="4" spans="2:11" ht="17.1" customHeight="1" x14ac:dyDescent="0.3">
      <c r="B4" s="8" t="s">
        <v>2</v>
      </c>
      <c r="C4" s="8" t="s">
        <v>15</v>
      </c>
      <c r="D4" s="8" t="s">
        <v>28</v>
      </c>
      <c r="E4" s="8" t="s">
        <v>36</v>
      </c>
      <c r="F4" s="8" t="s">
        <v>38</v>
      </c>
      <c r="G4" s="8" t="s">
        <v>42</v>
      </c>
      <c r="H4" s="8" t="s">
        <v>43</v>
      </c>
      <c r="I4" s="8" t="s">
        <v>44</v>
      </c>
      <c r="J4" s="8" t="s">
        <v>45</v>
      </c>
      <c r="K4" s="8" t="s">
        <v>46</v>
      </c>
    </row>
    <row r="5" spans="2:11" ht="30" customHeight="1" x14ac:dyDescent="0.3">
      <c r="B5" s="11" t="s">
        <v>3</v>
      </c>
      <c r="C5" s="11" t="s">
        <v>16</v>
      </c>
      <c r="D5" s="11" t="s">
        <v>29</v>
      </c>
      <c r="E5" s="11" t="str">
        <f>IFERROR(VLOOKUP(ListaDeInventario[[#This Row],[N.º DE CONTENEDOR]],BúsquedaDeContenedores[],3,FALSE),"")</f>
        <v>Fila 2, espacio 1</v>
      </c>
      <c r="F5" s="11" t="s">
        <v>39</v>
      </c>
      <c r="G5" s="16">
        <v>20</v>
      </c>
      <c r="H5" s="16">
        <v>10</v>
      </c>
      <c r="I5" s="17">
        <v>30</v>
      </c>
      <c r="J5" s="17">
        <f>ListaDeInventario[[#This Row],[CANT.]]*ListaDeInventario[[#This Row],[COSTO]]</f>
        <v>600</v>
      </c>
      <c r="K5" s="18">
        <f>IFERROR(IF(ListaDeInventario[[#This Row],[CANT.]]&lt;=ListaDeInventario[[#This Row],[CANT. DEL NUEVO PEDIDO]],1,0),0)</f>
        <v>0</v>
      </c>
    </row>
    <row r="6" spans="2:11" ht="30" customHeight="1" x14ac:dyDescent="0.3">
      <c r="B6" s="11" t="s">
        <v>4</v>
      </c>
      <c r="C6" s="11" t="s">
        <v>17</v>
      </c>
      <c r="D6" s="11" t="s">
        <v>29</v>
      </c>
      <c r="E6" s="11" t="str">
        <f>IFERROR(VLOOKUP(ListaDeInventario[[#This Row],[N.º DE CONTENEDOR]],BúsquedaDeContenedores[],3,FALSE),"")</f>
        <v>Fila 2, espacio 1</v>
      </c>
      <c r="F6" s="11" t="s">
        <v>39</v>
      </c>
      <c r="G6" s="16">
        <v>30</v>
      </c>
      <c r="H6" s="16">
        <v>15</v>
      </c>
      <c r="I6" s="17">
        <v>40</v>
      </c>
      <c r="J6" s="17">
        <f>ListaDeInventario[[#This Row],[CANT.]]*ListaDeInventario[[#This Row],[COSTO]]</f>
        <v>1200</v>
      </c>
      <c r="K6" s="18">
        <f>IFERROR(IF(ListaDeInventario[[#This Row],[CANT.]]&lt;=ListaDeInventario[[#This Row],[CANT. DEL NUEVO PEDIDO]],1,0),0)</f>
        <v>0</v>
      </c>
    </row>
    <row r="7" spans="2:11" ht="30" customHeight="1" x14ac:dyDescent="0.3">
      <c r="B7" s="11" t="s">
        <v>5</v>
      </c>
      <c r="C7" s="11" t="s">
        <v>18</v>
      </c>
      <c r="D7" s="11" t="s">
        <v>30</v>
      </c>
      <c r="E7" s="11" t="str">
        <f>IFERROR(VLOOKUP(ListaDeInventario[[#This Row],[N.º DE CONTENEDOR]],BúsquedaDeContenedores[],3,FALSE),"")</f>
        <v>Fila 1, espacio 1</v>
      </c>
      <c r="F7" s="11" t="s">
        <v>39</v>
      </c>
      <c r="G7" s="16">
        <v>10</v>
      </c>
      <c r="H7" s="16">
        <v>5</v>
      </c>
      <c r="I7" s="17">
        <v>5</v>
      </c>
      <c r="J7" s="17">
        <f>ListaDeInventario[[#This Row],[CANT.]]*ListaDeInventario[[#This Row],[COSTO]]</f>
        <v>50</v>
      </c>
      <c r="K7" s="18">
        <f>IFERROR(IF(ListaDeInventario[[#This Row],[CANT.]]&lt;=ListaDeInventario[[#This Row],[CANT. DEL NUEVO PEDIDO]],1,0),0)</f>
        <v>0</v>
      </c>
    </row>
    <row r="8" spans="2:11" ht="30" customHeight="1" x14ac:dyDescent="0.3">
      <c r="B8" s="11" t="s">
        <v>6</v>
      </c>
      <c r="C8" s="11" t="s">
        <v>19</v>
      </c>
      <c r="D8" s="11" t="s">
        <v>31</v>
      </c>
      <c r="E8" s="11" t="str">
        <f>IFERROR(VLOOKUP(ListaDeInventario[[#This Row],[N.º DE CONTENEDOR]],BúsquedaDeContenedores[],3,FALSE),"")</f>
        <v>Fila 3, espacio 2</v>
      </c>
      <c r="F8" s="11" t="s">
        <v>40</v>
      </c>
      <c r="G8" s="16">
        <v>40</v>
      </c>
      <c r="H8" s="16">
        <v>10</v>
      </c>
      <c r="I8" s="17">
        <v>15</v>
      </c>
      <c r="J8" s="17">
        <f>ListaDeInventario[[#This Row],[CANT.]]*ListaDeInventario[[#This Row],[COSTO]]</f>
        <v>600</v>
      </c>
      <c r="K8" s="18">
        <f>IFERROR(IF(ListaDeInventario[[#This Row],[CANT.]]&lt;=ListaDeInventario[[#This Row],[CANT. DEL NUEVO PEDIDO]],1,0),0)</f>
        <v>0</v>
      </c>
    </row>
    <row r="9" spans="2:11" ht="30" customHeight="1" x14ac:dyDescent="0.3">
      <c r="B9" s="11" t="s">
        <v>7</v>
      </c>
      <c r="C9" s="11" t="s">
        <v>20</v>
      </c>
      <c r="D9" s="11" t="s">
        <v>32</v>
      </c>
      <c r="E9" s="11" t="str">
        <f>IFERROR(VLOOKUP(ListaDeInventario[[#This Row],[N.º DE CONTENEDOR]],BúsquedaDeContenedores[],3,FALSE),"")</f>
        <v>Fila 3, espacio 1</v>
      </c>
      <c r="F9" s="11" t="s">
        <v>39</v>
      </c>
      <c r="G9" s="16">
        <v>12</v>
      </c>
      <c r="H9" s="16">
        <v>10</v>
      </c>
      <c r="I9" s="17">
        <v>26</v>
      </c>
      <c r="J9" s="17">
        <f>ListaDeInventario[[#This Row],[CANT.]]*ListaDeInventario[[#This Row],[COSTO]]</f>
        <v>312</v>
      </c>
      <c r="K9" s="18">
        <f>IFERROR(IF(ListaDeInventario[[#This Row],[CANT.]]&lt;=ListaDeInventario[[#This Row],[CANT. DEL NUEVO PEDIDO]],1,0),0)</f>
        <v>0</v>
      </c>
    </row>
    <row r="10" spans="2:11" ht="30" customHeight="1" x14ac:dyDescent="0.3">
      <c r="B10" s="11" t="s">
        <v>8</v>
      </c>
      <c r="C10" s="11" t="s">
        <v>21</v>
      </c>
      <c r="D10" s="11" t="s">
        <v>29</v>
      </c>
      <c r="E10" s="11" t="str">
        <f>IFERROR(VLOOKUP(ListaDeInventario[[#This Row],[N.º DE CONTENEDOR]],BúsquedaDeContenedores[],3,FALSE),"")</f>
        <v>Fila 2, espacio 1</v>
      </c>
      <c r="F10" s="11" t="s">
        <v>39</v>
      </c>
      <c r="G10" s="16">
        <v>7</v>
      </c>
      <c r="H10" s="16">
        <v>10</v>
      </c>
      <c r="I10" s="17">
        <v>50</v>
      </c>
      <c r="J10" s="17">
        <f>ListaDeInventario[[#This Row],[CANT.]]*ListaDeInventario[[#This Row],[COSTO]]</f>
        <v>350</v>
      </c>
      <c r="K10" s="18">
        <f>IFERROR(IF(ListaDeInventario[[#This Row],[CANT.]]&lt;=ListaDeInventario[[#This Row],[CANT. DEL NUEVO PEDIDO]],1,0),0)</f>
        <v>1</v>
      </c>
    </row>
    <row r="11" spans="2:11" ht="30" customHeight="1" x14ac:dyDescent="0.3">
      <c r="B11" s="11" t="s">
        <v>9</v>
      </c>
      <c r="C11" s="11" t="s">
        <v>22</v>
      </c>
      <c r="D11" s="11" t="s">
        <v>33</v>
      </c>
      <c r="E11" s="11" t="str">
        <f>IFERROR(VLOOKUP(ListaDeInventario[[#This Row],[N.º DE CONTENEDOR]],BúsquedaDeContenedores[],3,FALSE),"")</f>
        <v>Fila 1, espacio 2</v>
      </c>
      <c r="F11" s="11" t="s">
        <v>39</v>
      </c>
      <c r="G11" s="16">
        <v>10</v>
      </c>
      <c r="H11" s="16">
        <v>5</v>
      </c>
      <c r="I11" s="17">
        <v>10</v>
      </c>
      <c r="J11" s="17">
        <f>ListaDeInventario[[#This Row],[CANT.]]*ListaDeInventario[[#This Row],[COSTO]]</f>
        <v>100</v>
      </c>
      <c r="K11" s="18">
        <f>IFERROR(IF(ListaDeInventario[[#This Row],[CANT.]]&lt;=ListaDeInventario[[#This Row],[CANT. DEL NUEVO PEDIDO]],1,0),0)</f>
        <v>0</v>
      </c>
    </row>
    <row r="12" spans="2:11" ht="30" customHeight="1" x14ac:dyDescent="0.3">
      <c r="B12" s="11" t="s">
        <v>10</v>
      </c>
      <c r="C12" s="11" t="s">
        <v>23</v>
      </c>
      <c r="D12" s="11" t="s">
        <v>30</v>
      </c>
      <c r="E12" s="11" t="str">
        <f>IFERROR(VLOOKUP(ListaDeInventario[[#This Row],[N.º DE CONTENEDOR]],BúsquedaDeContenedores[],3,FALSE),"")</f>
        <v>Fila 1, espacio 1</v>
      </c>
      <c r="F12" s="11" t="s">
        <v>39</v>
      </c>
      <c r="G12" s="16">
        <v>19</v>
      </c>
      <c r="H12" s="16">
        <v>10</v>
      </c>
      <c r="I12" s="17">
        <v>3</v>
      </c>
      <c r="J12" s="17">
        <f>ListaDeInventario[[#This Row],[CANT.]]*ListaDeInventario[[#This Row],[COSTO]]</f>
        <v>57</v>
      </c>
      <c r="K12" s="18">
        <f>IFERROR(IF(ListaDeInventario[[#This Row],[CANT.]]&lt;=ListaDeInventario[[#This Row],[CANT. DEL NUEVO PEDIDO]],1,0),0)</f>
        <v>0</v>
      </c>
    </row>
    <row r="13" spans="2:11" ht="30" customHeight="1" x14ac:dyDescent="0.3">
      <c r="B13" s="11" t="s">
        <v>11</v>
      </c>
      <c r="C13" s="11" t="s">
        <v>24</v>
      </c>
      <c r="D13" s="11" t="s">
        <v>34</v>
      </c>
      <c r="E13" s="11" t="str">
        <f>IFERROR(VLOOKUP(ListaDeInventario[[#This Row],[N.º DE CONTENEDOR]],BúsquedaDeContenedores[],3,FALSE),"")</f>
        <v>Fila 2, espacio 2</v>
      </c>
      <c r="F13" s="11" t="s">
        <v>41</v>
      </c>
      <c r="G13" s="16">
        <v>20</v>
      </c>
      <c r="H13" s="16">
        <v>30</v>
      </c>
      <c r="I13" s="17">
        <v>14</v>
      </c>
      <c r="J13" s="17">
        <f>ListaDeInventario[[#This Row],[CANT.]]*ListaDeInventario[[#This Row],[COSTO]]</f>
        <v>280</v>
      </c>
      <c r="K13" s="18">
        <f>IFERROR(IF(ListaDeInventario[[#This Row],[CANT.]]&lt;=ListaDeInventario[[#This Row],[CANT. DEL NUEVO PEDIDO]],1,0),0)</f>
        <v>1</v>
      </c>
    </row>
    <row r="14" spans="2:11" ht="30" customHeight="1" x14ac:dyDescent="0.3">
      <c r="B14" s="11" t="s">
        <v>12</v>
      </c>
      <c r="C14" s="11" t="s">
        <v>25</v>
      </c>
      <c r="D14" s="11" t="s">
        <v>33</v>
      </c>
      <c r="E14" s="11" t="str">
        <f>IFERROR(VLOOKUP(ListaDeInventario[[#This Row],[N.º DE CONTENEDOR]],BúsquedaDeContenedores[],3,FALSE),"")</f>
        <v>Fila 1, espacio 2</v>
      </c>
      <c r="F14" s="11" t="s">
        <v>39</v>
      </c>
      <c r="G14" s="16">
        <v>15</v>
      </c>
      <c r="H14" s="16">
        <v>8</v>
      </c>
      <c r="I14" s="17">
        <v>60</v>
      </c>
      <c r="J14" s="17">
        <f>ListaDeInventario[[#This Row],[CANT.]]*ListaDeInventario[[#This Row],[COSTO]]</f>
        <v>900</v>
      </c>
      <c r="K14" s="18">
        <f>IFERROR(IF(ListaDeInventario[[#This Row],[CANT.]]&lt;=ListaDeInventario[[#This Row],[CANT. DEL NUEVO PEDIDO]],1,0),0)</f>
        <v>0</v>
      </c>
    </row>
    <row r="15" spans="2:11" ht="30" customHeight="1" x14ac:dyDescent="0.3">
      <c r="B15" s="11" t="s">
        <v>13</v>
      </c>
      <c r="C15" s="11" t="s">
        <v>26</v>
      </c>
      <c r="D15" s="11" t="s">
        <v>33</v>
      </c>
      <c r="E15" s="11" t="str">
        <f>IFERROR(VLOOKUP(ListaDeInventario[[#This Row],[N.º DE CONTENEDOR]],BúsquedaDeContenedores[],3,FALSE),"")</f>
        <v>Fila 1, espacio 2</v>
      </c>
      <c r="F15" s="11" t="s">
        <v>39</v>
      </c>
      <c r="G15" s="16">
        <v>25</v>
      </c>
      <c r="H15" s="16">
        <v>15</v>
      </c>
      <c r="I15" s="17">
        <v>8</v>
      </c>
      <c r="J15" s="17">
        <f>ListaDeInventario[[#This Row],[CANT.]]*ListaDeInventario[[#This Row],[COSTO]]</f>
        <v>200</v>
      </c>
      <c r="K15" s="18">
        <f>IFERROR(IF(ListaDeInventario[[#This Row],[CANT.]]&lt;=ListaDeInventario[[#This Row],[CANT. DEL NUEVO PEDIDO]],1,0),0)</f>
        <v>0</v>
      </c>
    </row>
  </sheetData>
  <conditionalFormatting sqref="B5:K15">
    <cfRule type="expression" dxfId="13" priority="6">
      <formula>"If(blnBinNo=""True"")"</formula>
    </cfRule>
    <cfRule type="expression" dxfId="12" priority="1">
      <formula>$K5=1</formula>
    </cfRule>
  </conditionalFormatting>
  <conditionalFormatting sqref="J5:J15">
    <cfRule type="dataBar" priority="16">
      <dataBar>
        <cfvo type="min"/>
        <cfvo type="max"/>
        <color theme="2" tint="-0.3499862666707358"/>
      </dataBar>
      <extLst>
        <ext xmlns:x14="http://schemas.microsoft.com/office/spreadsheetml/2009/9/main" uri="{B025F937-C7B1-47D3-B67F-A62EFF666E3E}">
          <x14:id>{B7FAAC13-0945-4497-B308-0378DA16CDD0}</x14:id>
        </ext>
      </extLst>
    </cfRule>
  </conditionalFormatting>
  <dataValidations count="20">
    <dataValidation allowBlank="1" showInputMessage="1" showErrorMessage="1" prompt="Esta hoja de cálculo muestra los elementos listos para reordenar marcados automáticamente en la columna K. Hay 2 vínculos de navegación en las celdas E2 &amp; F2 para la lista de selección de inventario y las hojas de cálculo de búsqueda de contenedores" sqref="A1" xr:uid="{00000000-0002-0000-0000-000000000000}"/>
    <dataValidation allowBlank="1" showInputMessage="1" showErrorMessage="1" prompt="Valor total del inventario calculado automáticamente" sqref="B3" xr:uid="{00000000-0002-0000-0000-000001000000}"/>
    <dataValidation allowBlank="1" showInputMessage="1" showErrorMessage="1" prompt="Número de contenedores calculado automáticamente" sqref="D3" xr:uid="{00000000-0002-0000-0000-000002000000}"/>
    <dataValidation allowBlank="1" showInputMessage="1" showErrorMessage="1" prompt="Número de artículos del inventario calculado automáticamente en función de su descripción" sqref="C3" xr:uid="{00000000-0002-0000-0000-000003000000}"/>
    <dataValidation allowBlank="1" showInputMessage="1" showErrorMessage="1" prompt="Especifique en esta columna la SKU." sqref="B4" xr:uid="{00000000-0002-0000-0000-000004000000}"/>
    <dataValidation allowBlank="1" showInputMessage="1" showErrorMessage="1" prompt="Especifique en esta columna una descripción del artículo." sqref="C4" xr:uid="{00000000-0002-0000-0000-000005000000}"/>
    <dataValidation allowBlank="1" showInputMessage="1" showErrorMessage="1" prompt="Seleccione el número de contenedor de la lista desplegable. Presione ALT + FLECHA ABAJO para abrir la lista desplegable y luego presione ENTER para elegir uno de los elementos" sqref="D4" xr:uid="{00000000-0002-0000-0000-000006000000}"/>
    <dataValidation allowBlank="1" showInputMessage="1" showErrorMessage="1" prompt="La ubicación se actualiza automáticamente en esta columna mediante el uso del número de pedido y la información de la hoja de cálculo de búsqueda de contenedores. " sqref="E4" xr:uid="{00000000-0002-0000-0000-000007000000}"/>
    <dataValidation allowBlank="1" showInputMessage="1" showErrorMessage="1" prompt="Especifique en esta columna la unidad." sqref="F4" xr:uid="{00000000-0002-0000-0000-000008000000}"/>
    <dataValidation allowBlank="1" showInputMessage="1" showErrorMessage="1" prompt="Especifique en esta columna la cantidad de cada artículo." sqref="G4" xr:uid="{00000000-0002-0000-0000-000009000000}"/>
    <dataValidation allowBlank="1" showInputMessage="1" showErrorMessage="1" prompt="Especifique en esta columna la cantidad del nuevo pedido." sqref="H4" xr:uid="{00000000-0002-0000-0000-00000A000000}"/>
    <dataValidation allowBlank="1" showInputMessage="1" showErrorMessage="1" prompt="Especifique en esta columna el costo de cada artículo." sqref="I4" xr:uid="{00000000-0002-0000-0000-00000B000000}"/>
    <dataValidation allowBlank="1" showInputMessage="1" showErrorMessage="1" prompt="El valor de inventario se calcula automáticamente en esta columna mediante los valores de cantidad y costo de la tabla." sqref="J4" xr:uid="{00000000-0002-0000-0000-00000C000000}"/>
    <dataValidation allowBlank="1" showInputMessage="1" showErrorMessage="1" prompt="Un icono de marca en esta columna indica los artículos de la lista de inventario que están listos para volver a pedirse." sqref="K4" xr:uid="{00000000-0002-0000-0000-00000D000000}"/>
    <dataValidation type="list" errorStyle="warning" allowBlank="1" showInputMessage="1" showErrorMessage="1" error="Este # Bin no en lista. Seleccione Sí para retener entrada, Cancelar para agregar a tabla en hoja de trabajo de búsqueda de bin, que agregará # Bin a lista desplegable, o No, luego ALT + FLECHA ABAJO para seleccionar de lista" sqref="D5:D15" xr:uid="{00000000-0002-0000-0000-00000E000000}">
      <formula1>NúmeroDeContenedor</formula1>
    </dataValidation>
    <dataValidation allowBlank="1" showInputMessage="1" showErrorMessage="1" prompt="Vínculo de navegación a la hoja de cálculo de la lista de selección de inventario." sqref="E2" xr:uid="{00000000-0002-0000-0000-00000F000000}"/>
    <dataValidation allowBlank="1" showInputMessage="1" showErrorMessage="1" prompt="Vínculo de navegación para modificar o agregar artículos a la hoja de cálculo de búsqueda de contenedores." sqref="F2" xr:uid="{00000000-0002-0000-0000-000010000000}"/>
    <dataValidation allowBlank="1" showInputMessage="1" showErrorMessage="1" prompt="El valor de inventario total se actualiza automáticamente a continuación" sqref="B2" xr:uid="{00000000-0002-0000-0000-000011000000}"/>
    <dataValidation allowBlank="1" showInputMessage="1" showErrorMessage="1" prompt="El total de elementos de inventario se actualiza automáticamente a continuación" sqref="C2" xr:uid="{00000000-0002-0000-0000-000012000000}"/>
    <dataValidation allowBlank="1" showInputMessage="1" showErrorMessage="1" prompt="El recuento total de contenedores se actualiza automáticamente a continuación" sqref="D2" xr:uid="{00000000-0002-0000-0000-000013000000}"/>
  </dataValidations>
  <hyperlinks>
    <hyperlink ref="E2" location="'Inventory Pick List'!A1" tooltip="Seleccione esta opción para ver la hoja de cálculo de la lista de selección de inventario." display="INVENTORY PICK LIST" xr:uid="{00000000-0004-0000-0000-000000000000}"/>
    <hyperlink ref="F2" location="'Búsqueda de contenedores'!A1" tooltip="Seleccione esta opción para agregar o modificar la información de la búsqueda de contenedores." display="BIN LOOKUP" xr:uid="{00000000-0004-0000-0000-000001000000}"/>
  </hyperlinks>
  <printOptions horizontalCentered="1"/>
  <pageMargins left="0.25" right="0.25" top="0.75" bottom="0.75" header="0.3" footer="0.3"/>
  <pageSetup paperSize="9"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PickList">
    <tabColor theme="4" tint="0.3999755851924192"/>
    <pageSetUpPr autoPageBreaks="0" fitToPage="1"/>
  </sheetPr>
  <dimension ref="B1:I9"/>
  <sheetViews>
    <sheetView showGridLines="0" zoomScaleNormal="100" workbookViewId="0"/>
  </sheetViews>
  <sheetFormatPr baseColWidth="10" defaultColWidth="8.88671875" defaultRowHeight="30" customHeight="1" x14ac:dyDescent="0.3"/>
  <cols>
    <col min="1" max="1" width="1.88671875" customWidth="1"/>
    <col min="2" max="2" width="30.6640625" customWidth="1"/>
    <col min="3" max="3" width="21.77734375" customWidth="1"/>
    <col min="4" max="4" width="20.109375" bestFit="1" customWidth="1"/>
    <col min="5" max="5" width="17.88671875" customWidth="1"/>
    <col min="6" max="6" width="25.44140625" customWidth="1"/>
    <col min="7" max="7" width="14.44140625" customWidth="1"/>
    <col min="8" max="8" width="19.109375" bestFit="1" customWidth="1"/>
    <col min="9" max="9" width="22.6640625" customWidth="1"/>
  </cols>
  <sheetData>
    <row r="1" spans="2:9" ht="54" customHeight="1" thickBot="1" x14ac:dyDescent="0.5">
      <c r="B1" s="5" t="s">
        <v>35</v>
      </c>
      <c r="C1" s="3"/>
      <c r="D1" s="1"/>
      <c r="E1" s="1"/>
      <c r="F1" s="1"/>
      <c r="G1" s="1"/>
      <c r="H1" s="1"/>
      <c r="I1" s="1"/>
    </row>
    <row r="2" spans="2:9" ht="24.95" customHeight="1" x14ac:dyDescent="0.3">
      <c r="B2" s="13"/>
      <c r="C2" s="13" t="s">
        <v>0</v>
      </c>
    </row>
    <row r="3" spans="2:9" ht="30" customHeight="1" x14ac:dyDescent="0.3">
      <c r="B3" s="15"/>
      <c r="C3" s="15"/>
    </row>
    <row r="4" spans="2:9" ht="17.1" customHeight="1" x14ac:dyDescent="0.3">
      <c r="B4" s="8" t="s">
        <v>47</v>
      </c>
      <c r="C4" s="8" t="s">
        <v>2</v>
      </c>
      <c r="D4" s="8" t="s">
        <v>49</v>
      </c>
      <c r="E4" s="8" t="s">
        <v>50</v>
      </c>
      <c r="F4" s="8" t="s">
        <v>51</v>
      </c>
      <c r="G4" s="8" t="s">
        <v>38</v>
      </c>
      <c r="H4" s="8" t="s">
        <v>28</v>
      </c>
      <c r="I4" s="8" t="s">
        <v>36</v>
      </c>
    </row>
    <row r="5" spans="2:9" ht="30" customHeight="1" x14ac:dyDescent="0.3">
      <c r="B5" s="11" t="s">
        <v>48</v>
      </c>
      <c r="C5" s="11" t="s">
        <v>3</v>
      </c>
      <c r="D5" s="16">
        <v>3</v>
      </c>
      <c r="E5" s="16">
        <f>IFERROR(VLOOKUP(ListaDeSelecciónDeInventario[[#This Row],[SKU]],ListaDeInventario[],6,FALSE),"")</f>
        <v>20</v>
      </c>
      <c r="F5" s="11" t="str">
        <f>IFERROR(VLOOKUP(ListaDeSelecciónDeInventario[[#This Row],[SKU]],ListaDeInventario[],2,FALSE),"")</f>
        <v>Artículo 1</v>
      </c>
      <c r="G5" s="11" t="str">
        <f>IFERROR(VLOOKUP(ListaDeSelecciónDeInventario[[#This Row],[SKU]],ListaDeInventario[],5,FALSE),"")</f>
        <v>Unidad</v>
      </c>
      <c r="H5" s="11" t="str">
        <f>IFERROR(VLOOKUP(ListaDeSelecciónDeInventario[[#This Row],[SKU]],ListaDeInventario[],3,FALSE),"")</f>
        <v>T345</v>
      </c>
      <c r="I5" s="11" t="str">
        <f>IFERROR(VLOOKUP(ListaDeSelecciónDeInventario[[#This Row],[SKU]],ListaDeInventario[],4,FALSE),"")</f>
        <v>Fila 2, espacio 1</v>
      </c>
    </row>
    <row r="6" spans="2:9" ht="30" customHeight="1" x14ac:dyDescent="0.3">
      <c r="B6" s="11" t="s">
        <v>48</v>
      </c>
      <c r="C6" s="11" t="s">
        <v>6</v>
      </c>
      <c r="D6" s="16">
        <v>1</v>
      </c>
      <c r="E6" s="16">
        <f>IFERROR(VLOOKUP(ListaDeSelecciónDeInventario[[#This Row],[SKU]],ListaDeInventario[],6,FALSE),"")</f>
        <v>40</v>
      </c>
      <c r="F6" s="11" t="str">
        <f>IFERROR(VLOOKUP(ListaDeSelecciónDeInventario[[#This Row],[SKU]],ListaDeInventario[],2,FALSE),"")</f>
        <v>Artículo 4</v>
      </c>
      <c r="G6" s="11" t="str">
        <f>IFERROR(VLOOKUP(ListaDeSelecciónDeInventario[[#This Row],[SKU]],ListaDeInventario[],5,FALSE),"")</f>
        <v>Caja (10 uds.)</v>
      </c>
      <c r="H6" s="11" t="str">
        <f>IFERROR(VLOOKUP(ListaDeSelecciónDeInventario[[#This Row],[SKU]],ListaDeInventario[],3,FALSE),"")</f>
        <v>T9876</v>
      </c>
      <c r="I6" s="11" t="str">
        <f>IFERROR(VLOOKUP(ListaDeSelecciónDeInventario[[#This Row],[SKU]],ListaDeInventario[],4,FALSE),"")</f>
        <v>Fila 3, espacio 2</v>
      </c>
    </row>
    <row r="7" spans="2:9" ht="30" customHeight="1" x14ac:dyDescent="0.3">
      <c r="B7" s="11" t="s">
        <v>48</v>
      </c>
      <c r="C7" s="11" t="s">
        <v>9</v>
      </c>
      <c r="D7" s="16">
        <v>2</v>
      </c>
      <c r="E7" s="16">
        <f>IFERROR(VLOOKUP(ListaDeSelecciónDeInventario[[#This Row],[SKU]],ListaDeInventario[],6,FALSE),"")</f>
        <v>10</v>
      </c>
      <c r="F7" s="11" t="str">
        <f>IFERROR(VLOOKUP(ListaDeSelecciónDeInventario[[#This Row],[SKU]],ListaDeInventario[],2,FALSE),"")</f>
        <v>Artículo 7</v>
      </c>
      <c r="G7" s="11" t="str">
        <f>IFERROR(VLOOKUP(ListaDeSelecciónDeInventario[[#This Row],[SKU]],ListaDeInventario[],5,FALSE),"")</f>
        <v>Unidad</v>
      </c>
      <c r="H7" s="11" t="str">
        <f>IFERROR(VLOOKUP(ListaDeSelecciónDeInventario[[#This Row],[SKU]],ListaDeInventario[],3,FALSE),"")</f>
        <v>T349</v>
      </c>
      <c r="I7" s="11" t="str">
        <f>IFERROR(VLOOKUP(ListaDeSelecciónDeInventario[[#This Row],[SKU]],ListaDeInventario[],4,FALSE),"")</f>
        <v>Fila 1, espacio 2</v>
      </c>
    </row>
    <row r="8" spans="2:9" ht="30" customHeight="1" x14ac:dyDescent="0.3">
      <c r="B8" s="11" t="s">
        <v>48</v>
      </c>
      <c r="C8" s="11" t="s">
        <v>12</v>
      </c>
      <c r="D8" s="16">
        <v>6</v>
      </c>
      <c r="E8" s="16">
        <f>IFERROR(VLOOKUP(ListaDeSelecciónDeInventario[[#This Row],[SKU]],ListaDeInventario[],6,FALSE),"")</f>
        <v>15</v>
      </c>
      <c r="F8" s="11" t="str">
        <f>IFERROR(VLOOKUP(ListaDeSelecciónDeInventario[[#This Row],[SKU]],ListaDeInventario[],2,FALSE),"")</f>
        <v>Artículo 10</v>
      </c>
      <c r="G8" s="11" t="str">
        <f>IFERROR(VLOOKUP(ListaDeSelecciónDeInventario[[#This Row],[SKU]],ListaDeInventario[],5,FALSE),"")</f>
        <v>Unidad</v>
      </c>
      <c r="H8" s="11" t="str">
        <f>IFERROR(VLOOKUP(ListaDeSelecciónDeInventario[[#This Row],[SKU]],ListaDeInventario[],3,FALSE),"")</f>
        <v>T349</v>
      </c>
      <c r="I8" s="11" t="str">
        <f>IFERROR(VLOOKUP(ListaDeSelecciónDeInventario[[#This Row],[SKU]],ListaDeInventario[],4,FALSE),"")</f>
        <v>Fila 1, espacio 2</v>
      </c>
    </row>
    <row r="9" spans="2:9" ht="30" customHeight="1" x14ac:dyDescent="0.3">
      <c r="B9" s="11" t="s">
        <v>48</v>
      </c>
      <c r="C9" s="11" t="s">
        <v>5</v>
      </c>
      <c r="D9" s="16">
        <v>3</v>
      </c>
      <c r="E9" s="16">
        <f>IFERROR(VLOOKUP(ListaDeSelecciónDeInventario[[#This Row],[SKU]],ListaDeInventario[],6,FALSE),"")</f>
        <v>10</v>
      </c>
      <c r="F9" s="11" t="str">
        <f>IFERROR(VLOOKUP(ListaDeSelecciónDeInventario[[#This Row],[SKU]],ListaDeInventario[],2,FALSE),"")</f>
        <v>Artículo 3</v>
      </c>
      <c r="G9" s="11" t="str">
        <f>IFERROR(VLOOKUP(ListaDeSelecciónDeInventario[[#This Row],[SKU]],ListaDeInventario[],5,FALSE),"")</f>
        <v>Unidad</v>
      </c>
      <c r="H9" s="11" t="str">
        <f>IFERROR(VLOOKUP(ListaDeSelecciónDeInventario[[#This Row],[SKU]],ListaDeInventario[],3,FALSE),"")</f>
        <v>T5789</v>
      </c>
      <c r="I9" s="11" t="str">
        <f>IFERROR(VLOOKUP(ListaDeSelecciónDeInventario[[#This Row],[SKU]],ListaDeInventario[],4,FALSE),"")</f>
        <v>Fila 1, espacio 1</v>
      </c>
    </row>
  </sheetData>
  <conditionalFormatting sqref="E5:E9">
    <cfRule type="expression" dxfId="5" priority="7">
      <formula>D5&gt;E5</formula>
    </cfRule>
  </conditionalFormatting>
  <dataValidations xWindow="40" yWindow="335" count="14">
    <dataValidation allowBlank="1" showInputMessage="1" showErrorMessage="1" prompt="Utilice la lista selección inventario para realizar un seguimiento de la cantidad de cada SKU necesaria para cumplir con los pedidos. Limpiar la tabla de la lista de selección en la celda B2. Navegue a la hoja de trabajo Lista de inventario en la celda C2" sqref="A1" xr:uid="{00000000-0002-0000-0100-000000000000}"/>
    <dataValidation allowBlank="1" showInputMessage="1" showErrorMessage="1" prompt="Especifique en esta columna el número de pedido." sqref="B4" xr:uid="{00000000-0002-0000-0100-000001000000}"/>
    <dataValidation allowBlank="1" showInputMessage="1" showErrorMessage="1" prompt="Seleccione el SKU de la lista desplegable. Presione ALT + FLECHA ABAJO para abrir la lista desplegable y luego presione ENTER para elegir uno de los elementos" sqref="C4" xr:uid="{00000000-0002-0000-0100-000002000000}"/>
    <dataValidation allowBlank="1" showInputMessage="1" showErrorMessage="1" prompt="Especifique en esta columna la cantidad de artículos que se selecciona." sqref="D4" xr:uid="{00000000-0002-0000-0100-000003000000}"/>
    <dataValidation allowBlank="1" showInputMessage="1" showErrorMessage="1" prompt="La cantidad disponible para cada artículo se calcula automáticamente en esta columna." sqref="E4" xr:uid="{00000000-0002-0000-0100-000004000000}"/>
    <dataValidation allowBlank="1" showInputMessage="1" showErrorMessage="1" prompt="La descripción del artículo se actualiza automáticamente en esta columna." sqref="F4" xr:uid="{00000000-0002-0000-0100-000005000000}"/>
    <dataValidation allowBlank="1" showInputMessage="1" showErrorMessage="1" prompt="La unidad se actualiza automáticamente en esta columna." sqref="G4" xr:uid="{00000000-0002-0000-0100-000006000000}"/>
    <dataValidation allowBlank="1" showInputMessage="1" showErrorMessage="1" prompt="El número de contenedor se actualiza automáticamente en esta columna." sqref="H4" xr:uid="{00000000-0002-0000-0100-000007000000}"/>
    <dataValidation allowBlank="1" showInputMessage="1" showErrorMessage="1" prompt="La ubicación se actualiza automáticamente en esta columna." sqref="I4" xr:uid="{00000000-0002-0000-0100-000008000000}"/>
    <dataValidation type="custom" allowBlank="1" showInputMessage="1" showErrorMessage="1" errorTitle="¡Vaya!" error="La cantidad especificada supera la cantidad disponible. " sqref="D6:D9" xr:uid="{00000000-0002-0000-0100-000009000000}">
      <formula1>D6&lt;=E6</formula1>
    </dataValidation>
    <dataValidation type="custom" allowBlank="1" showInputMessage="1" showErrorMessage="1" error="La cantidad especificada supera la cantidad disponible. Escriba un VALOR DE PICK QTY menor que el VALOR DE QTY DISPONIBLE" sqref="D5" xr:uid="{00000000-0002-0000-0100-00000A000000}">
      <formula1>D5&lt;=E5</formula1>
    </dataValidation>
    <dataValidation allowBlank="1" showInputMessage="1" showErrorMessage="1" prompt="Para borrar la tabla de la lista de selección de esta hoja de cálculo, active el objeto de la celda B2, o bien pulse ALT+F8 y escriba &quot;ClearPickList&quot; sin espacios y, después, seleccione Ejecutar." sqref="B2" xr:uid="{00000000-0002-0000-0100-00000B000000}"/>
    <dataValidation allowBlank="1" showInputMessage="1" showErrorMessage="1" prompt="Vínculo de navegación a la hoja de cálculo de la lista de inventario" sqref="C2" xr:uid="{00000000-0002-0000-0100-00000C000000}"/>
    <dataValidation type="list" errorStyle="warning" allowBlank="1" showErrorMessage="1" error="La entrada no es de la Lista. Seleccione CANCELAR, luego presione ALT + FLECHA ABAJO para abrir la lista desplegable y ENTER para hacer la selección" sqref="C5:C9" xr:uid="{00000000-0002-0000-0100-00000D000000}">
      <formula1>SKULookup</formula1>
    </dataValidation>
  </dataValidations>
  <hyperlinks>
    <hyperlink ref="C2" location="'Lista de inventario'!A1" tooltip="Seleccione esta opción para ver la lista de inventario." display="INVENTORY LIST" xr:uid="{00000000-0004-0000-0100-000000000000}"/>
  </hyperlinks>
  <printOptions horizontalCentered="1"/>
  <pageMargins left="0.25" right="0.25" top="0.75" bottom="0.75" header="0.3" footer="0.3"/>
  <pageSetup paperSize="9" fitToHeight="0" orientation="landscape" r:id="rId1"/>
  <headerFooter differentFirst="1">
    <oddFooter>Page &amp;P of &amp;N</oddFooter>
  </headerFooter>
  <drawing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BinLookup">
    <tabColor theme="4" tint="-0.499984740745262"/>
    <pageSetUpPr autoPageBreaks="0"/>
  </sheetPr>
  <dimension ref="B1:G11"/>
  <sheetViews>
    <sheetView showGridLines="0" zoomScaleNormal="100" workbookViewId="0"/>
  </sheetViews>
  <sheetFormatPr baseColWidth="10" defaultColWidth="8.88671875" defaultRowHeight="30" customHeight="1" x14ac:dyDescent="0.3"/>
  <cols>
    <col min="1" max="1" width="1.88671875" customWidth="1"/>
    <col min="2" max="2" width="30.21875" customWidth="1"/>
    <col min="3" max="3" width="19.44140625" customWidth="1"/>
    <col min="4" max="4" width="18.44140625" customWidth="1"/>
    <col min="5" max="7" width="11.88671875" customWidth="1"/>
  </cols>
  <sheetData>
    <row r="1" spans="2:7" ht="54" customHeight="1" thickBot="1" x14ac:dyDescent="0.5">
      <c r="B1" s="3" t="s">
        <v>37</v>
      </c>
      <c r="C1" s="1"/>
      <c r="D1" s="1"/>
      <c r="E1" s="1"/>
      <c r="F1" s="1"/>
      <c r="G1" s="1"/>
    </row>
    <row r="2" spans="2:7" ht="24.95" customHeight="1" x14ac:dyDescent="0.3">
      <c r="B2" s="13" t="s">
        <v>0</v>
      </c>
    </row>
    <row r="3" spans="2:7" ht="30" customHeight="1" x14ac:dyDescent="0.3">
      <c r="B3" s="9"/>
      <c r="C3" s="9"/>
      <c r="D3" s="9"/>
      <c r="E3" s="9"/>
      <c r="F3" s="9"/>
      <c r="G3" s="9"/>
    </row>
    <row r="4" spans="2:7" ht="17.1" customHeight="1" x14ac:dyDescent="0.3">
      <c r="B4" s="6" t="s">
        <v>28</v>
      </c>
      <c r="C4" s="6" t="s">
        <v>15</v>
      </c>
      <c r="D4" s="6" t="s">
        <v>36</v>
      </c>
      <c r="E4" s="7" t="s">
        <v>62</v>
      </c>
      <c r="F4" s="7" t="s">
        <v>63</v>
      </c>
      <c r="G4" s="7" t="s">
        <v>64</v>
      </c>
    </row>
    <row r="5" spans="2:7" ht="30" customHeight="1" x14ac:dyDescent="0.3">
      <c r="B5" s="11" t="s">
        <v>29</v>
      </c>
      <c r="C5" s="11" t="s">
        <v>52</v>
      </c>
      <c r="D5" s="12" t="s">
        <v>55</v>
      </c>
      <c r="E5" s="16">
        <v>50</v>
      </c>
      <c r="F5" s="16">
        <v>10</v>
      </c>
      <c r="G5" s="16">
        <v>10</v>
      </c>
    </row>
    <row r="6" spans="2:7" ht="30" customHeight="1" x14ac:dyDescent="0.3">
      <c r="B6" s="11" t="s">
        <v>30</v>
      </c>
      <c r="C6" s="11" t="s">
        <v>53</v>
      </c>
      <c r="D6" s="11" t="s">
        <v>56</v>
      </c>
      <c r="E6" s="16">
        <v>25</v>
      </c>
      <c r="F6" s="16">
        <v>5</v>
      </c>
      <c r="G6" s="16">
        <v>5</v>
      </c>
    </row>
    <row r="7" spans="2:7" ht="30" customHeight="1" x14ac:dyDescent="0.3">
      <c r="B7" s="11" t="s">
        <v>31</v>
      </c>
      <c r="C7" s="11" t="s">
        <v>52</v>
      </c>
      <c r="D7" s="11" t="s">
        <v>57</v>
      </c>
      <c r="E7" s="16">
        <v>50</v>
      </c>
      <c r="F7" s="16">
        <v>10</v>
      </c>
      <c r="G7" s="16">
        <v>10</v>
      </c>
    </row>
    <row r="8" spans="2:7" ht="30" customHeight="1" x14ac:dyDescent="0.3">
      <c r="B8" s="11" t="s">
        <v>32</v>
      </c>
      <c r="C8" s="11" t="s">
        <v>54</v>
      </c>
      <c r="D8" s="11" t="s">
        <v>58</v>
      </c>
      <c r="E8" s="16">
        <v>30</v>
      </c>
      <c r="F8" s="16">
        <v>7</v>
      </c>
      <c r="G8" s="16">
        <v>10</v>
      </c>
    </row>
    <row r="9" spans="2:7" ht="30" customHeight="1" x14ac:dyDescent="0.3">
      <c r="B9" s="11" t="s">
        <v>33</v>
      </c>
      <c r="C9" s="11" t="s">
        <v>53</v>
      </c>
      <c r="D9" s="11" t="s">
        <v>59</v>
      </c>
      <c r="E9" s="16">
        <v>25</v>
      </c>
      <c r="F9" s="16">
        <v>5</v>
      </c>
      <c r="G9" s="16">
        <v>5</v>
      </c>
    </row>
    <row r="10" spans="2:7" ht="30" customHeight="1" x14ac:dyDescent="0.3">
      <c r="B10" s="11" t="s">
        <v>30</v>
      </c>
      <c r="C10" s="11" t="s">
        <v>52</v>
      </c>
      <c r="D10" s="11" t="s">
        <v>60</v>
      </c>
      <c r="E10" s="16">
        <v>50</v>
      </c>
      <c r="F10" s="16">
        <v>10</v>
      </c>
      <c r="G10" s="16">
        <v>10</v>
      </c>
    </row>
    <row r="11" spans="2:7" ht="30" customHeight="1" x14ac:dyDescent="0.3">
      <c r="B11" s="11" t="s">
        <v>34</v>
      </c>
      <c r="C11" s="11" t="s">
        <v>52</v>
      </c>
      <c r="D11" s="11" t="s">
        <v>61</v>
      </c>
      <c r="E11" s="16">
        <v>50</v>
      </c>
      <c r="F11" s="16">
        <v>10</v>
      </c>
      <c r="G11" s="16">
        <v>10</v>
      </c>
    </row>
  </sheetData>
  <dataValidations count="8">
    <dataValidation allowBlank="1" showInputMessage="1" showErrorMessage="1" prompt="Esta hoja de cálculo tiene una tabla que proporciona datos para las hojas de cálculo de lista de inventario y lista de selección de inventario. Un vínculo de navegación a la hoja de cálculo de la lista de inventario está en la celda B2" sqref="A1" xr:uid="{00000000-0002-0000-0200-000000000000}"/>
    <dataValidation allowBlank="1" showInputMessage="1" showErrorMessage="1" prompt="Especifique en esta columna el número de contenedor." sqref="B4" xr:uid="{00000000-0002-0000-0200-000001000000}"/>
    <dataValidation allowBlank="1" showInputMessage="1" showErrorMessage="1" prompt="Especifique en esta columna una descripción del contenedor." sqref="C4" xr:uid="{00000000-0002-0000-0200-000002000000}"/>
    <dataValidation allowBlank="1" showInputMessage="1" showErrorMessage="1" prompt="Especifique en esta columna la ubicación del contenedor." sqref="D4" xr:uid="{00000000-0002-0000-0200-000003000000}"/>
    <dataValidation allowBlank="1" showInputMessage="1" showErrorMessage="1" prompt="Especifique en esta columna el ancho del contenedor." sqref="E4" xr:uid="{00000000-0002-0000-0200-000004000000}"/>
    <dataValidation allowBlank="1" showInputMessage="1" showErrorMessage="1" prompt="Especifique en esta columna el alto del contenedor." sqref="F4" xr:uid="{00000000-0002-0000-0200-000005000000}"/>
    <dataValidation allowBlank="1" showInputMessage="1" showErrorMessage="1" prompt="Especifique en esta columna el largo del contenedor." sqref="G4" xr:uid="{00000000-0002-0000-0200-000006000000}"/>
    <dataValidation allowBlank="1" showInputMessage="1" showErrorMessage="1" prompt="Vínculo de navegación a la hoja de cálculo de la lista de inventario" sqref="B2" xr:uid="{00000000-0002-0000-0200-000007000000}"/>
  </dataValidations>
  <hyperlinks>
    <hyperlink ref="B2" location="'Lista de inventario'!A1" tooltip="Seleccione esta opción para ver la lista de inventario." display="INVENTORY LIST" xr:uid="{00000000-0004-0000-0200-000000000000}"/>
  </hyperlinks>
  <printOptions horizontalCentered="1"/>
  <pageMargins left="0.25" right="0.25" top="0.75" bottom="0.75" header="0.3" footer="0.3"/>
  <pageSetup paperSize="9" orientation="landscape" r:id="rId1"/>
  <headerFooter differentFirst="1">
    <oddFooter>Page &amp;P of &amp;N</oddFooter>
  </headerFooter>
  <drawing r:id="rId2"/>
  <tableParts count="1">
    <tablePart r:id="rId3"/>
  </tableParts>
</worksheet>
</file>

<file path=docProps/app.xml><?xml version="1.0" encoding="utf-8"?>
<ap:Properties xmlns:vt="http://schemas.openxmlformats.org/officeDocument/2006/docPropsVTypes" xmlns:ap="http://schemas.openxmlformats.org/officeDocument/2006/extended-properties">
  <ap:DocSecurity>0</ap:DocSecurity>
  <ap:Template>TM02930030</ap:Template>
  <ap:ScaleCrop>false</ap:ScaleCrop>
  <ap:HeadingPairs>
    <vt:vector baseType="variant" size="4">
      <vt:variant>
        <vt:lpstr>Hojas de cálculo</vt:lpstr>
      </vt:variant>
      <vt:variant>
        <vt:i4>3</vt:i4>
      </vt:variant>
      <vt:variant>
        <vt:lpstr>Rangos con nombre</vt:lpstr>
      </vt:variant>
      <vt:variant>
        <vt:i4>8</vt:i4>
      </vt:variant>
    </vt:vector>
  </ap:HeadingPairs>
  <ap:TitlesOfParts>
    <vt:vector baseType="lpstr" size="11">
      <vt:lpstr>Lista de inventario</vt:lpstr>
      <vt:lpstr>Lista De Selección De Invent...</vt:lpstr>
      <vt:lpstr>Búsqueda de contenedores</vt:lpstr>
      <vt:lpstr>NúmeroDeContenedor</vt:lpstr>
      <vt:lpstr>SKULookup</vt:lpstr>
      <vt:lpstr>TítuloDeColumna1</vt:lpstr>
      <vt:lpstr>TítuloDeColumna2</vt:lpstr>
      <vt:lpstr>TítuloDeColumna3</vt:lpstr>
      <vt:lpstr>'Búsqueda de contenedores'!Títulos_a_imprimir</vt:lpstr>
      <vt:lpstr>'Lista de inventario'!Títulos_a_imprimir</vt:lpstr>
      <vt:lpstr>'Lista De Selección De Invent...'!Títulos_a_imprimir</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2017-06-02T00:14:58Z</dcterms:created>
  <dcterms:modified xsi:type="dcterms:W3CDTF">2021-07-09T10:16:34Z</dcterms:modified>
</cp:coreProperties>
</file>