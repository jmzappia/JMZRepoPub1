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xl/calcChain.xml" ContentType="application/vnd.openxmlformats-officedocument.spreadsheetml.calcChain+xml"/>
  <Override PartName="/xl/worksheets/sheet31.xml" ContentType="application/vnd.openxmlformats-officedocument.spreadsheetml.worksheet+xml"/>
  <Override PartName="/xl/tables/table21.xml" ContentType="application/vnd.openxmlformats-officedocument.spreadsheetml.table+xml"/>
  <Override PartName="/xl/drawings/drawing31.xml" ContentType="application/vnd.openxmlformats-officedocument.drawing+xml"/>
  <Override PartName="/xl/sharedStrings.xml" ContentType="application/vnd.openxmlformats-officedocument.spreadsheetml.sharedStrings+xml"/>
  <Override PartName="/xl/worksheets/sheet22.xml" ContentType="application/vnd.openxmlformats-officedocument.spreadsheetml.worksheet+xml"/>
  <Override PartName="/xl/tables/table12.xml" ContentType="application/vnd.openxmlformats-officedocument.spreadsheetml.table+xml"/>
  <Override PartName="/xl/drawings/drawing2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charts/chart11.xml" ContentType="application/vnd.openxmlformats-officedocument.drawingml.chart+xml"/>
  <Override PartName="/xl/charts/colors1.xml" ContentType="application/vnd.ms-office.chartcolorstyle+xml"/>
  <Override PartName="/xl/charts/style1.xml" ContentType="application/vnd.ms-office.chartstyle+xml"/>
  <Override PartName="/xl/charts/chart22.xml" ContentType="application/vnd.openxmlformats-officedocument.drawingml.chart+xml"/>
  <Override PartName="/xl/charts/colors22.xml" ContentType="application/vnd.ms-office.chartcolorstyle+xml"/>
  <Override PartName="/xl/charts/style22.xml" ContentType="application/vnd.ms-office.chartstyle+xml"/>
  <Override PartName="/xl/styles.xml" ContentType="application/vnd.openxmlformats-officedocument.spreadsheetml.styles+xml"/>
  <Override PartName="/customXml/item3.xml" ContentType="application/xml"/>
  <Override PartName="/customXml/itemProps31.xml" ContentType="application/vnd.openxmlformats-officedocument.customXmlProperties+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xl/worksheets/sheet44.xml" ContentType="application/vnd.openxmlformats-officedocument.spreadsheetml.worksheet+xml"/>
  <Override PartName="/customXml/item13.xml" ContentType="application/xml"/>
  <Override PartName="/customXml/itemProps13.xml" ContentType="application/vnd.openxmlformats-officedocument.customXmlProperties+xml"/>
  <Override PartName="/docProps/custom.xml" ContentType="application/vnd.openxmlformats-officedocument.custom-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custom-properties" Target="/docProps/custom.xml" Id="rId5"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06"/>
  <workbookPr filterPrivacy="1" codeName="ThisWorkbook"/>
  <xr:revisionPtr revIDLastSave="50" documentId="13_ncr:1_{45A22BF7-8EC4-4579-8127-CA516500AAB3}" xr6:coauthVersionLast="47" xr6:coauthVersionMax="47" xr10:uidLastSave="{E0A34B62-4552-46D6-AC5D-8691F6ABDC42}"/>
  <bookViews>
    <workbookView xWindow="-120" yWindow="-120" windowWidth="29040" windowHeight="17640" xr2:uid="{00000000-000D-0000-FFFF-FFFF00000000}"/>
  </bookViews>
  <sheets>
    <sheet name="OBJETIVOS" sheetId="1" r:id="rId1"/>
    <sheet name="DIETA" sheetId="2" r:id="rId2"/>
    <sheet name="EJERCICIO" sheetId="3" r:id="rId3"/>
    <sheet name="Cálculos de gráfico" sheetId="4" state="hidden" r:id="rId4"/>
  </sheets>
  <definedNames>
    <definedName name="ColumnTitle3">Ejercicio[[#Headers],[FECHA]]</definedName>
    <definedName name="DietLastEnd">'Cálculos de gráfico'!$C$5</definedName>
    <definedName name="DietPeriod">Dieta[FECHA]</definedName>
    <definedName name="DietRowStart">'Cálculos de gráfico'!$C$4</definedName>
    <definedName name="EndDate">OBJETIVOS!$B$3</definedName>
    <definedName name="EndWeight">OBJETIVOS!$B$7</definedName>
    <definedName name="ExerciseDateRange">'Cálculos de gráfico'!$D$23:$D$36</definedName>
    <definedName name="ExerciseLastEnd">'Cálculos de gráfico'!$C$23</definedName>
    <definedName name="ExercisePeriod">Ejercicio[FECHA]</definedName>
    <definedName name="ExerciseRowStart">'Cálculos de gráfico'!$C$22</definedName>
    <definedName name="LossPerDay">OBJETIVOS!$B$13</definedName>
    <definedName name="PlanDays">OBJETIVOS!$B$11</definedName>
    <definedName name="StartDate">OBJETIVOS!$B$1</definedName>
    <definedName name="StartWeight">OBJETIVOS!$B$5</definedName>
    <definedName name="Subtítulo">OBJETIVOS!$C$2</definedName>
    <definedName name="TítuloDeColumna2">Dieta[[#Headers],[FECHA]]</definedName>
    <definedName name="_xlnm.Print_Titles" localSheetId="1">DIETA!$3:$3</definedName>
    <definedName name="_xlnm.Print_Titles" localSheetId="2">EJERCICIO!$3:$3</definedName>
    <definedName name="WeightGoal">OBJETIVOS!$B$9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 l="1"/>
  <c r="B3" i="1" s="1"/>
  <c r="B4" i="3" l="1"/>
  <c r="B5" i="3" s="1"/>
  <c r="B6" i="3" s="1"/>
  <c r="B7" i="3" s="1"/>
  <c r="B8" i="3" s="1"/>
  <c r="B9" i="3" s="1"/>
  <c r="B10" i="3" s="1"/>
  <c r="B11" i="3" s="1"/>
  <c r="B12" i="3" s="1"/>
  <c r="B13" i="3" s="1"/>
  <c r="B14" i="3" s="1"/>
  <c r="B15" i="3" s="1"/>
  <c r="B16" i="3" s="1"/>
  <c r="B17" i="3" s="1"/>
  <c r="B18" i="3" s="1"/>
  <c r="B19" i="3" s="1"/>
  <c r="B20" i="3" s="1"/>
  <c r="B7" i="2" l="1"/>
  <c r="B8" i="2"/>
  <c r="B9" i="2"/>
  <c r="B10" i="2"/>
  <c r="B11" i="2"/>
  <c r="B12" i="2"/>
  <c r="B13" i="2"/>
  <c r="B14" i="2"/>
  <c r="B15" i="2"/>
  <c r="B16" i="2"/>
  <c r="B17" i="2"/>
  <c r="B18" i="2"/>
  <c r="B19" i="2"/>
  <c r="B4" i="2" l="1"/>
  <c r="B5" i="2"/>
  <c r="B6" i="2"/>
  <c r="B2" i="3" l="1"/>
  <c r="B2" i="2"/>
  <c r="C22" i="4" l="1"/>
  <c r="C23" i="4" s="1"/>
  <c r="C4" i="4"/>
  <c r="G23" i="4" l="1"/>
  <c r="F23" i="4"/>
  <c r="G35" i="4"/>
  <c r="G33" i="4"/>
  <c r="G31" i="4"/>
  <c r="G29" i="4"/>
  <c r="G27" i="4"/>
  <c r="G25" i="4"/>
  <c r="G34" i="4"/>
  <c r="G30" i="4"/>
  <c r="G26" i="4"/>
  <c r="F36" i="4"/>
  <c r="F32" i="4"/>
  <c r="F28" i="4"/>
  <c r="F24" i="4"/>
  <c r="F35" i="4"/>
  <c r="F33" i="4"/>
  <c r="F31" i="4"/>
  <c r="F29" i="4"/>
  <c r="F27" i="4"/>
  <c r="F25" i="4"/>
  <c r="G36" i="4"/>
  <c r="G32" i="4"/>
  <c r="G28" i="4"/>
  <c r="G24" i="4"/>
  <c r="F34" i="4"/>
  <c r="F30" i="4"/>
  <c r="F26" i="4"/>
  <c r="D36" i="4"/>
  <c r="E36" i="4" s="1"/>
  <c r="D32" i="4"/>
  <c r="E32" i="4" s="1"/>
  <c r="D28" i="4"/>
  <c r="E28" i="4" s="1"/>
  <c r="D24" i="4"/>
  <c r="E24" i="4" s="1"/>
  <c r="D31" i="4"/>
  <c r="E31" i="4" s="1"/>
  <c r="D27" i="4"/>
  <c r="E27" i="4" s="1"/>
  <c r="D30" i="4"/>
  <c r="E30" i="4" s="1"/>
  <c r="D33" i="4"/>
  <c r="E33" i="4" s="1"/>
  <c r="D35" i="4"/>
  <c r="E35" i="4" s="1"/>
  <c r="D23" i="4"/>
  <c r="D29" i="4"/>
  <c r="E29" i="4" s="1"/>
  <c r="D34" i="4"/>
  <c r="E34" i="4" s="1"/>
  <c r="D26" i="4"/>
  <c r="E26" i="4" s="1"/>
  <c r="D25" i="4"/>
  <c r="E25" i="4" s="1"/>
  <c r="C5" i="4"/>
  <c r="D15" i="4" l="1"/>
  <c r="E15" i="4" s="1"/>
  <c r="D11" i="4"/>
  <c r="E11" i="4" s="1"/>
  <c r="D7" i="4"/>
  <c r="E7" i="4" s="1"/>
  <c r="D12" i="4"/>
  <c r="E12" i="4" s="1"/>
  <c r="D14" i="4"/>
  <c r="E14" i="4" s="1"/>
  <c r="D10" i="4"/>
  <c r="E10" i="4" s="1"/>
  <c r="D6" i="4"/>
  <c r="E6" i="4" s="1"/>
  <c r="D13" i="4"/>
  <c r="E13" i="4" s="1"/>
  <c r="D9" i="4"/>
  <c r="E9" i="4" s="1"/>
  <c r="D5" i="4"/>
  <c r="E5" i="4" s="1"/>
  <c r="D8" i="4"/>
  <c r="E8" i="4" s="1"/>
  <c r="I16" i="4"/>
  <c r="I15" i="4"/>
  <c r="I14" i="4"/>
  <c r="I13" i="4"/>
  <c r="I12" i="4"/>
  <c r="I11" i="4"/>
  <c r="I10" i="4"/>
  <c r="I9" i="4"/>
  <c r="I8" i="4"/>
  <c r="I7" i="4"/>
  <c r="I6" i="4"/>
  <c r="I5" i="4"/>
  <c r="I17" i="4"/>
  <c r="I18" i="4"/>
  <c r="D18" i="4"/>
  <c r="E18" i="4" s="1"/>
  <c r="F14" i="4"/>
  <c r="F11" i="4"/>
  <c r="F8" i="4"/>
  <c r="F17" i="4"/>
  <c r="H16" i="4"/>
  <c r="H15" i="4"/>
  <c r="H14" i="4"/>
  <c r="H13" i="4"/>
  <c r="H12" i="4"/>
  <c r="H11" i="4"/>
  <c r="H10" i="4"/>
  <c r="H9" i="4"/>
  <c r="H8" i="4"/>
  <c r="H7" i="4"/>
  <c r="H6" i="4"/>
  <c r="H5" i="4"/>
  <c r="H17" i="4"/>
  <c r="G18" i="4"/>
  <c r="F15" i="4"/>
  <c r="F13" i="4"/>
  <c r="F10" i="4"/>
  <c r="F7" i="4"/>
  <c r="F5" i="4"/>
  <c r="G16" i="4"/>
  <c r="G15" i="4"/>
  <c r="G14" i="4"/>
  <c r="G13" i="4"/>
  <c r="G12" i="4"/>
  <c r="G11" i="4"/>
  <c r="G10" i="4"/>
  <c r="G9" i="4"/>
  <c r="G8" i="4"/>
  <c r="G7" i="4"/>
  <c r="G6" i="4"/>
  <c r="G5" i="4"/>
  <c r="G17" i="4"/>
  <c r="H18" i="4"/>
  <c r="F16" i="4"/>
  <c r="F12" i="4"/>
  <c r="F9" i="4"/>
  <c r="F6" i="4"/>
  <c r="F18" i="4"/>
  <c r="D16" i="4"/>
  <c r="E16" i="4" s="1"/>
  <c r="D17" i="4"/>
  <c r="E17" i="4" s="1"/>
  <c r="B9" i="1"/>
  <c r="E23" i="4" l="1"/>
  <c r="B11" i="1"/>
  <c r="B13" i="1" s="1"/>
</calcChain>
</file>

<file path=xl/sharedStrings.xml><?xml version="1.0" encoding="utf-8"?>
<sst xmlns="http://schemas.openxmlformats.org/spreadsheetml/2006/main" count="98" uniqueCount="49">
  <si>
    <t>FECHA DE INICIO</t>
  </si>
  <si>
    <t>FECHA DE FINALIZACIÓN</t>
  </si>
  <si>
    <t>PESO INICIAL</t>
  </si>
  <si>
    <t>PESO FINAL</t>
  </si>
  <si>
    <t>PÉRDIDA OBJETIVO</t>
  </si>
  <si>
    <t>DÍAS PARA PERDER PESO</t>
  </si>
  <si>
    <t>PÉRDIDA DIARIA</t>
  </si>
  <si>
    <t>OBJETIVOS</t>
  </si>
  <si>
    <t>DIARIO DE DIETA Y EJERCICIOS</t>
  </si>
  <si>
    <t>ANÁLISIS DIETÉTICO</t>
  </si>
  <si>
    <t>ANÁLISIS DE EJERCICIOS</t>
  </si>
  <si>
    <t>Ejercicio</t>
  </si>
  <si>
    <t>Dieta</t>
  </si>
  <si>
    <t>DIETA</t>
  </si>
  <si>
    <t>FECHA</t>
  </si>
  <si>
    <t>TIEMPO</t>
  </si>
  <si>
    <t>DESCRIPCIÓN</t>
  </si>
  <si>
    <t>Café</t>
  </si>
  <si>
    <t>Bagel</t>
  </si>
  <si>
    <t>Comida</t>
  </si>
  <si>
    <t>Cena</t>
  </si>
  <si>
    <t>Tostada</t>
  </si>
  <si>
    <t>CALORÍAS</t>
  </si>
  <si>
    <t>CARBOHIDRATOS</t>
  </si>
  <si>
    <t>Objetivos</t>
  </si>
  <si>
    <t>PROTEÍNAS</t>
  </si>
  <si>
    <t>GRASAS</t>
  </si>
  <si>
    <t>NOTAS</t>
  </si>
  <si>
    <t>Café matutino</t>
  </si>
  <si>
    <t>Desayuno ligero</t>
  </si>
  <si>
    <t>Sándwich de pavo</t>
  </si>
  <si>
    <t>Croquetas de patata gratinadas</t>
  </si>
  <si>
    <t>Sándwich</t>
  </si>
  <si>
    <t>Ensalada</t>
  </si>
  <si>
    <t>Café con leche</t>
  </si>
  <si>
    <t>EJERCICIO</t>
  </si>
  <si>
    <t>DURACIÓN (MÍN.)</t>
  </si>
  <si>
    <t>CALORÍAS QUEMADAS</t>
  </si>
  <si>
    <t>Ejercicios de cinta</t>
  </si>
  <si>
    <t>Gimnasia aeróbica de bajo impacto</t>
  </si>
  <si>
    <t>Ejercicios extremos</t>
  </si>
  <si>
    <t>Correr</t>
  </si>
  <si>
    <t>DATOS DEL GRÁFICO ANÁLISIS DE DIETA</t>
  </si>
  <si>
    <t>Fila inicial</t>
  </si>
  <si>
    <t>Última entrada de la dieta</t>
  </si>
  <si>
    <t>DATOS DEL GRÁFICO ANÁLISIS DE EJERCICIOS</t>
  </si>
  <si>
    <t>Última entrada de ejercicio</t>
  </si>
  <si>
    <t>DÍA</t>
  </si>
  <si>
    <t>Núm.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</si>
</sst>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2" formatCode="_-* #,##0\ &quot;€&quot;_-;\-* #,##0\ &quot;€&quot;_-;_-* &quot;-&quot;\ &quot;€&quot;_-;_-@_-"/>
    <numFmt numFmtId="44" formatCode="_-* #,##0.00\ &quot;€&quot;_-;\-* #,##0.00\ &quot;€&quot;_-;_-* &quot;-&quot;??\ &quot;€&quot;_-;_-@_-"/>
    <numFmt numFmtId="164" formatCode="_(* #,##0_);_(* \(#,##0\);_(* &quot;-&quot;_);_(@_)"/>
    <numFmt numFmtId="165" formatCode="_(* #,##0.00_);_(* \(#,##0.00\);_(* &quot;-&quot;??_);_(@_)"/>
    <numFmt numFmtId="167" formatCode="#,#00;;;"/>
    <numFmt numFmtId="168" formatCode=";;;"/>
    <numFmt numFmtId="170" formatCode="h:mm;@"/>
  </numFmts>
  <fonts count="24" x14ac:knownFonts="1">
    <font>
      <sz val="11"/>
      <color theme="1"/>
      <name val="Arial"/>
      <family val="2"/>
      <scheme val="minor"/>
    </font>
    <font>
      <sz val="11"/>
      <color theme="0"/>
      <name val="Arial"/>
      <family val="2"/>
      <scheme val="minor"/>
    </font>
    <font>
      <sz val="24"/>
      <color theme="1" tint="0.249946592608417"/>
      <name val="Arial Black"/>
      <family val="2"/>
      <scheme val="major"/>
    </font>
    <font>
      <sz val="12"/>
      <color theme="1" tint="0.249946592608417"/>
      <name val="Arial"/>
      <family val="2"/>
      <scheme val="minor"/>
    </font>
    <font>
      <sz val="14"/>
      <color theme="0"/>
      <name val="Arial Black"/>
      <family val="2"/>
      <scheme val="major"/>
    </font>
    <font>
      <sz val="18"/>
      <color theme="0"/>
      <name val="Arial Black"/>
      <family val="2"/>
      <scheme val="major"/>
    </font>
    <font>
      <sz val="11"/>
      <name val="Arial"/>
      <family val="2"/>
      <scheme val="minor"/>
    </font>
    <font>
      <b/>
      <sz val="11"/>
      <name val="Arial"/>
      <family val="2"/>
      <scheme val="minor"/>
    </font>
    <font>
      <sz val="8"/>
      <name val="Arial"/>
      <family val="2"/>
      <scheme val="minor"/>
    </font>
    <font>
      <sz val="10"/>
      <color theme="0"/>
      <name val="Arial Black"/>
      <family val="2"/>
      <scheme val="major"/>
    </font>
    <font>
      <sz val="11"/>
      <color theme="1"/>
      <name val="Arial"/>
      <family val="2"/>
      <scheme val="minor"/>
    </font>
    <font>
      <sz val="18"/>
      <color theme="1"/>
      <name val="Arial Black"/>
      <family val="2"/>
      <scheme val="maj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11"/>
      <color theme="1"/>
      <name val="Arial"/>
      <family val="2"/>
      <scheme val="minor"/>
    </font>
    <font>
      <u/>
      <sz val="11"/>
      <color theme="1"/>
      <name val="Arial"/>
      <family val="2"/>
      <scheme val="minor"/>
    </font>
  </fonts>
  <fills count="35">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theme="6" tint="-0.499984740745262"/>
        <bgColor indexed="64"/>
      </patternFill>
    </fill>
    <fill>
      <patternFill patternType="solid">
        <fgColor theme="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3">
    <border>
      <left/>
      <right/>
      <top/>
      <bottom/>
      <diagonal/>
    </border>
    <border>
      <left/>
      <right/>
      <top/>
      <bottom style="thin">
        <color theme="0" tint="-0.3499862666707358"/>
      </bottom>
      <diagonal/>
    </border>
    <border>
      <left/>
      <right/>
      <top style="thin">
        <color theme="0"/>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ck">
        <color theme="0"/>
      </right>
      <top/>
      <bottom/>
      <diagonal/>
    </border>
    <border>
      <left/>
      <right style="thick">
        <color theme="0"/>
      </right>
      <top style="thin">
        <color theme="0"/>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7">
    <xf numFmtId="0" fontId="0" fillId="0" borderId="0">
      <alignment vertical="center"/>
    </xf>
    <xf numFmtId="0" fontId="11" fillId="0" borderId="0" applyNumberFormat="0" applyFill="0" applyBorder="0" applyAlignment="0" applyProtection="0"/>
    <xf numFmtId="0" fontId="3" fillId="0" borderId="0" applyNumberFormat="0" applyFill="0" applyProtection="0">
      <alignment vertical="center"/>
    </xf>
    <xf numFmtId="0" fontId="4" fillId="5" borderId="0" applyNumberFormat="0" applyProtection="0">
      <alignment horizontal="left" vertical="center" indent="1"/>
    </xf>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14" fontId="5" fillId="3" borderId="6">
      <alignment horizontal="center"/>
    </xf>
    <xf numFmtId="0" fontId="5" fillId="4" borderId="6" applyNumberFormat="0">
      <alignment horizontal="center"/>
    </xf>
    <xf numFmtId="1" fontId="5" fillId="5" borderId="6">
      <alignment horizontal="center"/>
    </xf>
    <xf numFmtId="0" fontId="9" fillId="5" borderId="0" applyNumberFormat="0" applyBorder="0" applyProtection="0">
      <alignment vertical="center"/>
    </xf>
    <xf numFmtId="0" fontId="1" fillId="0" borderId="1" applyNumberFormat="0" applyFill="0" applyProtection="0">
      <alignment horizontal="center" vertical="center"/>
    </xf>
    <xf numFmtId="0" fontId="1" fillId="0" borderId="1" applyNumberFormat="0" applyFill="0" applyProtection="0">
      <alignment horizontal="center" vertical="center"/>
    </xf>
    <xf numFmtId="14" fontId="6" fillId="0" borderId="5" applyNumberFormat="0" applyFont="0" applyFill="0" applyAlignment="0">
      <alignment horizontal="center"/>
    </xf>
    <xf numFmtId="14" fontId="10" fillId="0" borderId="2" applyFont="0" applyFill="0" applyBorder="0" applyAlignment="0">
      <alignment horizontal="center"/>
    </xf>
    <xf numFmtId="2" fontId="10" fillId="0" borderId="0" applyFont="0" applyFill="0" applyBorder="0" applyAlignment="0">
      <alignment vertical="center"/>
    </xf>
    <xf numFmtId="1" fontId="10" fillId="5" borderId="2" applyFont="0" applyFill="0" applyBorder="0" applyAlignment="0">
      <alignment horizontal="center"/>
    </xf>
    <xf numFmtId="170" fontId="10" fillId="0" borderId="0" applyFont="0" applyFill="0" applyBorder="0" applyAlignment="0">
      <alignment horizontal="left" vertical="center"/>
    </xf>
    <xf numFmtId="0" fontId="2" fillId="0" borderId="1" applyNumberFormat="0" applyFill="0" applyProtection="0"/>
    <xf numFmtId="165"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2" fontId="10" fillId="0" borderId="0" applyFont="0" applyFill="0" applyBorder="0" applyAlignment="0" applyProtection="0"/>
    <xf numFmtId="9" fontId="10" fillId="0" borderId="0" applyFon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7" applyNumberFormat="0" applyAlignment="0" applyProtection="0"/>
    <xf numFmtId="0" fontId="16" fillId="11" borderId="8" applyNumberFormat="0" applyAlignment="0" applyProtection="0"/>
    <xf numFmtId="0" fontId="17" fillId="11" borderId="7" applyNumberFormat="0" applyAlignment="0" applyProtection="0"/>
    <xf numFmtId="0" fontId="18" fillId="0" borderId="9" applyNumberFormat="0" applyFill="0" applyAlignment="0" applyProtection="0"/>
    <xf numFmtId="0" fontId="19" fillId="12" borderId="10" applyNumberFormat="0" applyAlignment="0" applyProtection="0"/>
    <xf numFmtId="0" fontId="20" fillId="0" borderId="0" applyNumberFormat="0" applyFill="0" applyBorder="0" applyAlignment="0" applyProtection="0"/>
    <xf numFmtId="0" fontId="10" fillId="13" borderId="11" applyNumberFormat="0" applyFont="0" applyAlignment="0" applyProtection="0"/>
    <xf numFmtId="0" fontId="21" fillId="0" borderId="0" applyNumberFormat="0" applyFill="0" applyBorder="0" applyAlignment="0" applyProtection="0"/>
    <xf numFmtId="0" fontId="22" fillId="0" borderId="12" applyNumberFormat="0" applyFill="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1"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1"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1"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cellStyleXfs>
  <cellXfs count="39">
    <xf numFmtId="0" fontId="0" fillId="0" borderId="0" xfId="0">
      <alignment vertical="center"/>
    </xf>
    <xf numFmtId="0" fontId="3" fillId="0" borderId="0" xfId="2">
      <alignment vertical="center"/>
    </xf>
    <xf numFmtId="0" fontId="6" fillId="2" borderId="0" xfId="0" applyFont="1" applyFill="1">
      <alignment vertical="center"/>
    </xf>
    <xf numFmtId="0" fontId="6" fillId="0" borderId="0" xfId="0" applyFont="1">
      <alignment vertical="center"/>
    </xf>
    <xf numFmtId="0" fontId="7" fillId="0" borderId="3" xfId="0" applyFont="1" applyBorder="1">
      <alignment vertical="center"/>
    </xf>
    <xf numFmtId="14" fontId="8" fillId="0" borderId="3" xfId="0" applyNumberFormat="1" applyFont="1" applyBorder="1">
      <alignment vertical="center"/>
    </xf>
    <xf numFmtId="0" fontId="8" fillId="0" borderId="3" xfId="0" applyFont="1" applyBorder="1">
      <alignment vertical="center"/>
    </xf>
    <xf numFmtId="14" fontId="8" fillId="0" borderId="4" xfId="0" applyNumberFormat="1" applyFont="1" applyBorder="1">
      <alignment vertical="center"/>
    </xf>
    <xf numFmtId="0" fontId="6" fillId="0" borderId="3" xfId="0" applyFont="1" applyBorder="1">
      <alignment vertical="center"/>
    </xf>
    <xf numFmtId="0" fontId="0" fillId="0" borderId="0" xfId="0" applyAlignment="1">
      <alignment horizontal="left" vertical="center" wrapText="1"/>
    </xf>
    <xf numFmtId="0" fontId="0" fillId="0" borderId="0" xfId="0" applyAlignment="1">
      <alignment horizontal="left" vertical="center"/>
    </xf>
    <xf numFmtId="14" fontId="9" fillId="5" borderId="0" xfId="10" applyNumberFormat="1" applyBorder="1">
      <alignment vertical="center"/>
    </xf>
    <xf numFmtId="0" fontId="9" fillId="5" borderId="0" xfId="10" applyBorder="1">
      <alignment vertical="center"/>
    </xf>
    <xf numFmtId="1" fontId="9" fillId="5" borderId="0" xfId="10" applyNumberFormat="1" applyBorder="1">
      <alignment vertical="center"/>
    </xf>
    <xf numFmtId="0" fontId="3" fillId="0" borderId="0" xfId="2" applyAlignment="1">
      <alignment vertical="top"/>
    </xf>
    <xf numFmtId="167" fontId="8" fillId="0" borderId="3" xfId="0" applyNumberFormat="1" applyFont="1" applyBorder="1">
      <alignment vertical="center"/>
    </xf>
    <xf numFmtId="0" fontId="4" fillId="5" borderId="0" xfId="3">
      <alignment horizontal="left" vertical="center" indent="1"/>
    </xf>
    <xf numFmtId="14" fontId="0" fillId="0" borderId="0" xfId="14" applyFont="1" applyFill="1" applyBorder="1" applyAlignment="1">
      <alignment horizontal="left" vertical="center"/>
    </xf>
    <xf numFmtId="14" fontId="0" fillId="0" borderId="0" xfId="14" applyFont="1" applyBorder="1" applyAlignment="1">
      <alignment horizontal="left" vertical="center"/>
    </xf>
    <xf numFmtId="0" fontId="1" fillId="4" borderId="5" xfId="5" applyNumberFormat="1" applyBorder="1" applyAlignment="1">
      <alignment horizontal="center" vertical="top"/>
    </xf>
    <xf numFmtId="0" fontId="1" fillId="5" borderId="5" xfId="6" applyNumberFormat="1" applyBorder="1" applyAlignment="1">
      <alignment horizontal="center" vertical="top"/>
    </xf>
    <xf numFmtId="1" fontId="0" fillId="0" borderId="0" xfId="16" applyFont="1" applyFill="1" applyBorder="1" applyAlignment="1">
      <alignment horizontal="left" vertical="center"/>
    </xf>
    <xf numFmtId="2" fontId="5" fillId="5" borderId="6" xfId="15" applyFont="1" applyFill="1" applyBorder="1" applyAlignment="1">
      <alignment horizontal="center"/>
    </xf>
    <xf numFmtId="0" fontId="2" fillId="0" borderId="1" xfId="18"/>
    <xf numFmtId="2" fontId="5" fillId="4" borderId="6" xfId="15" applyFont="1" applyFill="1" applyBorder="1" applyAlignment="1">
      <alignment horizontal="center"/>
    </xf>
    <xf numFmtId="168" fontId="10" fillId="0" borderId="1" xfId="11" applyNumberFormat="1" applyFont="1">
      <alignment horizontal="center" vertical="center"/>
    </xf>
    <xf numFmtId="14" fontId="9" fillId="6" borderId="0" xfId="10" applyNumberFormat="1" applyFill="1" applyBorder="1">
      <alignment vertical="center"/>
    </xf>
    <xf numFmtId="1" fontId="9" fillId="6" borderId="0" xfId="10" applyNumberFormat="1" applyFill="1" applyBorder="1">
      <alignment vertical="center"/>
    </xf>
    <xf numFmtId="0" fontId="9" fillId="6" borderId="0" xfId="10" applyFill="1" applyBorder="1">
      <alignment vertical="center"/>
    </xf>
    <xf numFmtId="0" fontId="1" fillId="3" borderId="5" xfId="4" applyBorder="1" applyAlignment="1">
      <alignment horizontal="center" vertical="top"/>
    </xf>
    <xf numFmtId="14" fontId="5" fillId="3" borderId="5" xfId="14" applyFont="1" applyFill="1" applyBorder="1" applyAlignment="1">
      <alignment horizontal="center"/>
    </xf>
    <xf numFmtId="14" fontId="5" fillId="3" borderId="6" xfId="14" applyFont="1" applyFill="1" applyBorder="1" applyAlignment="1">
      <alignment horizontal="center"/>
    </xf>
    <xf numFmtId="1" fontId="5" fillId="5" borderId="6" xfId="16" applyFont="1" applyBorder="1" applyAlignment="1">
      <alignment horizontal="center"/>
    </xf>
    <xf numFmtId="0" fontId="0" fillId="0" borderId="0" xfId="0" applyAlignment="1">
      <alignment horizontal="center" vertical="center"/>
    </xf>
    <xf numFmtId="0" fontId="23" fillId="0" borderId="0" xfId="0" applyFont="1">
      <alignment vertical="center"/>
    </xf>
    <xf numFmtId="170" fontId="0" fillId="0" borderId="0" xfId="17" applyNumberFormat="1" applyFont="1" applyFill="1" applyBorder="1" applyAlignment="1">
      <alignment horizontal="left" vertical="center"/>
    </xf>
    <xf numFmtId="170" fontId="0" fillId="0" borderId="0" xfId="17" applyNumberFormat="1" applyFont="1" applyAlignment="1">
      <alignment horizontal="left" vertical="center"/>
    </xf>
    <xf numFmtId="0" fontId="11" fillId="0" borderId="1" xfId="1" applyFill="1" applyBorder="1"/>
    <xf numFmtId="170" fontId="9" fillId="5" borderId="0" xfId="10" applyNumberFormat="1" applyBorder="1">
      <alignment vertical="center"/>
    </xf>
  </cellXfs>
  <cellStyles count="57">
    <cellStyle name="20% - Énfasis1" xfId="36" builtinId="30" customBuiltin="1"/>
    <cellStyle name="20% - Énfasis2" xfId="39" builtinId="34" customBuiltin="1"/>
    <cellStyle name="20% - Énfasis3" xfId="42" builtinId="38" customBuiltin="1"/>
    <cellStyle name="20% - Énfasis4" xfId="46" builtinId="42" customBuiltin="1"/>
    <cellStyle name="20% - Énfasis5" xfId="50" builtinId="46" customBuiltin="1"/>
    <cellStyle name="20% - Énfasis6" xfId="54" builtinId="50" customBuiltin="1"/>
    <cellStyle name="40% - Énfasis1" xfId="37" builtinId="31" customBuiltin="1"/>
    <cellStyle name="40% - Énfasis2" xfId="40" builtinId="35" customBuiltin="1"/>
    <cellStyle name="40% - Énfasis3" xfId="43" builtinId="39" customBuiltin="1"/>
    <cellStyle name="40% - Énfasis4" xfId="47" builtinId="43" customBuiltin="1"/>
    <cellStyle name="40% - Énfasis5" xfId="51" builtinId="47" customBuiltin="1"/>
    <cellStyle name="40% - Énfasis6" xfId="55" builtinId="51" customBuiltin="1"/>
    <cellStyle name="60% - Énfasis1" xfId="38" builtinId="32" customBuiltin="1"/>
    <cellStyle name="60% - Énfasis2" xfId="41" builtinId="36" customBuiltin="1"/>
    <cellStyle name="60% - Énfasis3" xfId="44" builtinId="40" customBuiltin="1"/>
    <cellStyle name="60% - Énfasis4" xfId="48" builtinId="44" customBuiltin="1"/>
    <cellStyle name="60% - Énfasis5" xfId="52" builtinId="48" customBuiltin="1"/>
    <cellStyle name="60% - Énfasis6" xfId="56" builtinId="52" customBuiltin="1"/>
    <cellStyle name="Borde blanco" xfId="13" xr:uid="{00000000-0005-0000-0000-000012000000}"/>
    <cellStyle name="Bueno" xfId="24" builtinId="26" customBuiltin="1"/>
    <cellStyle name="Cálculo" xfId="29" builtinId="22" customBuiltin="1"/>
    <cellStyle name="Celda de comprobación" xfId="31" builtinId="23" customBuiltin="1"/>
    <cellStyle name="Celda vinculada" xfId="30" builtinId="24" customBuiltin="1"/>
    <cellStyle name="Encabezado 1" xfId="1" builtinId="16" customBuiltin="1"/>
    <cellStyle name="Encabezado 4" xfId="10" builtinId="19" customBuiltin="1"/>
    <cellStyle name="Énfasis1" xfId="4" builtinId="29" customBuiltin="1"/>
    <cellStyle name="Énfasis2" xfId="5" builtinId="33" customBuiltin="1"/>
    <cellStyle name="Énfasis3" xfId="6" builtinId="37" customBuiltin="1"/>
    <cellStyle name="Énfasis4" xfId="45" builtinId="41" customBuiltin="1"/>
    <cellStyle name="Énfasis5" xfId="49" builtinId="45" customBuiltin="1"/>
    <cellStyle name="Énfasis6" xfId="53" builtinId="49" customBuiltin="1"/>
    <cellStyle name="Entrada" xfId="27" builtinId="20" customBuiltin="1"/>
    <cellStyle name="Fecha" xfId="14" xr:uid="{00000000-0005-0000-0000-000003000000}"/>
    <cellStyle name="Hipervínculo" xfId="11" builtinId="8" customBuiltin="1"/>
    <cellStyle name="Hipervínculo visitado" xfId="12" builtinId="9" customBuiltin="1"/>
    <cellStyle name="Hora" xfId="17" xr:uid="{00000000-0005-0000-0000-00000F000000}"/>
    <cellStyle name="Incorrecto" xfId="25" builtinId="27" customBuiltin="1"/>
    <cellStyle name="Millares" xfId="19" builtinId="3" customBuiltin="1"/>
    <cellStyle name="Millares [0]" xfId="20" builtinId="6" customBuiltin="1"/>
    <cellStyle name="Moneda" xfId="21" builtinId="4" customBuiltin="1"/>
    <cellStyle name="Moneda [0]" xfId="22" builtinId="7" customBuiltin="1"/>
    <cellStyle name="Neutral" xfId="26" builtinId="28" customBuiltin="1"/>
    <cellStyle name="Normal" xfId="0" builtinId="0" customBuiltin="1"/>
    <cellStyle name="Notas" xfId="33" builtinId="10" customBuiltin="1"/>
    <cellStyle name="Número" xfId="16" xr:uid="{00000000-0005-0000-0000-00000B000000}"/>
    <cellStyle name="Peso" xfId="15" xr:uid="{00000000-0005-0000-0000-000011000000}"/>
    <cellStyle name="Porcentaje" xfId="23" builtinId="5" customBuiltin="1"/>
    <cellStyle name="Salida" xfId="28" builtinId="21" customBuiltin="1"/>
    <cellStyle name="Texto de advertencia" xfId="32" builtinId="11" customBuiltin="1"/>
    <cellStyle name="Texto explicativo" xfId="34" builtinId="53" customBuiltin="1"/>
    <cellStyle name="Título" xfId="18" builtinId="15" customBuiltin="1"/>
    <cellStyle name="Título 1 de barra lateral" xfId="7" xr:uid="{00000000-0005-0000-0000-00000C000000}"/>
    <cellStyle name="Título 2" xfId="2" builtinId="17" customBuiltin="1"/>
    <cellStyle name="Título 2 de barra lateral" xfId="8" xr:uid="{00000000-0005-0000-0000-00000D000000}"/>
    <cellStyle name="Título 3" xfId="3" builtinId="18" customBuiltin="1"/>
    <cellStyle name="Título 3 de barra lateral" xfId="9" xr:uid="{00000000-0005-0000-0000-00000E000000}"/>
    <cellStyle name="Total" xfId="35" builtinId="25" customBuiltin="1"/>
  </cellStyles>
  <dxfs count="22">
    <dxf>
      <numFmt numFmtId="170" formatCode="h:mm;@"/>
      <alignment horizontal="left" vertical="center"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solid">
          <fgColor indexed="64"/>
          <bgColor theme="1"/>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1"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solid">
          <fgColor theme="0" tint="-0.1499984740745262"/>
          <bgColor theme="0" tint="-0.1499984740745262"/>
        </patternFill>
      </fill>
    </dxf>
    <dxf>
      <fill>
        <patternFill patternType="solid">
          <fgColor theme="0" tint="-0.14996795556505021"/>
          <bgColor theme="0" tint="-4.99893185216834E-2"/>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s>
  <tableStyles count="1" defaultTableStyle="TableStyleMedium2" defaultPivotStyle="PivotStyleMedium11">
    <tableStyle name="Dieta" pivot="0" count="7" xr9:uid="{74D60C63-CCC8-43D7-9DB6-8681D17490F5}">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alcChain" Target="/xl/calcChain.xml" Id="rId8" /><Relationship Type="http://schemas.openxmlformats.org/officeDocument/2006/relationships/worksheet" Target="/xl/worksheets/sheet31.xml" Id="rId3" /><Relationship Type="http://schemas.openxmlformats.org/officeDocument/2006/relationships/sharedStrings" Target="/xl/sharedStrings.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tyles" Target="/xl/styles.xml" Id="rId6" /><Relationship Type="http://schemas.openxmlformats.org/officeDocument/2006/relationships/customXml" Target="/customXml/item3.xml" Id="rId11" /><Relationship Type="http://schemas.openxmlformats.org/officeDocument/2006/relationships/theme" Target="/xl/theme/theme11.xml" Id="rId5" /><Relationship Type="http://schemas.openxmlformats.org/officeDocument/2006/relationships/customXml" Target="/customXml/item22.xml" Id="rId10" /><Relationship Type="http://schemas.openxmlformats.org/officeDocument/2006/relationships/worksheet" Target="/xl/worksheets/sheet44.xml" Id="rId4" /><Relationship Type="http://schemas.openxmlformats.org/officeDocument/2006/relationships/customXml" Target="/customXml/item13.xml" Id="rId9" /></Relationships>
</file>

<file path=xl/charts/_rels/chart1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_rels/chart22.xml.rels>&#65279;<?xml version="1.0" encoding="utf-8"?><Relationships xmlns="http://schemas.openxmlformats.org/package/2006/relationships"><Relationship Type="http://schemas.microsoft.com/office/2011/relationships/chartColorStyle" Target="/xl/charts/colors22.xml" Id="rId2" /><Relationship Type="http://schemas.microsoft.com/office/2011/relationships/chartStyle" Target="/xl/charts/style22.xml" Id="rId1"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268016215664378E-2"/>
          <c:y val="4.5576902887139108E-2"/>
          <c:w val="0.7283557434868948"/>
          <c:h val="0.7841917760279965"/>
        </c:manualLayout>
      </c:layout>
      <c:barChart>
        <c:barDir val="col"/>
        <c:grouping val="percentStacked"/>
        <c:varyColors val="0"/>
        <c:ser>
          <c:idx val="0"/>
          <c:order val="0"/>
          <c:tx>
            <c:strRef>
              <c:f>'Cálculos de gráfico'!$I$4</c:f>
              <c:strCache>
                <c:ptCount val="1"/>
                <c:pt idx="0">
                  <c:v>CALORÍAS</c:v>
                </c:pt>
              </c:strCache>
            </c:strRef>
          </c:tx>
          <c:spPr>
            <a:solidFill>
              <a:schemeClr val="accent3">
                <a:lumMod val="75000"/>
              </a:schemeClr>
            </a:solidFill>
            <a:ln>
              <a:noFill/>
            </a:ln>
            <a:effectLst/>
          </c:spPr>
          <c:invertIfNegative val="0"/>
          <c:cat>
            <c:strRef>
              <c:f>'Cálculos de gráfico'!$E$5:$E$18</c:f>
              <c:strCache>
                <c:ptCount val="14"/>
                <c:pt idx="0">
                  <c:v>MI</c:v>
                </c:pt>
                <c:pt idx="1">
                  <c:v>MI</c:v>
                </c:pt>
                <c:pt idx="2">
                  <c:v>JU</c:v>
                </c:pt>
                <c:pt idx="3">
                  <c:v>JU</c:v>
                </c:pt>
                <c:pt idx="4">
                  <c:v>JU</c:v>
                </c:pt>
                <c:pt idx="5">
                  <c:v>JU</c:v>
                </c:pt>
                <c:pt idx="6">
                  <c:v>VI</c:v>
                </c:pt>
                <c:pt idx="7">
                  <c:v>VI</c:v>
                </c:pt>
                <c:pt idx="8">
                  <c:v>VI</c:v>
                </c:pt>
                <c:pt idx="9">
                  <c:v>VI</c:v>
                </c:pt>
                <c:pt idx="10">
                  <c:v>SÁ</c:v>
                </c:pt>
                <c:pt idx="11">
                  <c:v>SÁ</c:v>
                </c:pt>
                <c:pt idx="12">
                  <c:v>SÁ</c:v>
                </c:pt>
                <c:pt idx="13">
                  <c:v>LU</c:v>
                </c:pt>
              </c:strCache>
            </c:strRef>
          </c:cat>
          <c:val>
            <c:numRef>
              <c:f>'Cálculos de gráfico'!$I$5:$I$18</c:f>
              <c:numCache>
                <c:formatCode>General</c:formatCode>
                <c:ptCount val="14"/>
                <c:pt idx="0">
                  <c:v>283</c:v>
                </c:pt>
                <c:pt idx="1">
                  <c:v>500</c:v>
                </c:pt>
                <c:pt idx="2">
                  <c:v>1</c:v>
                </c:pt>
                <c:pt idx="3">
                  <c:v>10</c:v>
                </c:pt>
                <c:pt idx="4">
                  <c:v>189</c:v>
                </c:pt>
                <c:pt idx="5">
                  <c:v>477</c:v>
                </c:pt>
                <c:pt idx="6">
                  <c:v>1</c:v>
                </c:pt>
                <c:pt idx="7">
                  <c:v>245</c:v>
                </c:pt>
                <c:pt idx="8">
                  <c:v>247</c:v>
                </c:pt>
                <c:pt idx="9">
                  <c:v>456</c:v>
                </c:pt>
                <c:pt idx="10">
                  <c:v>10</c:v>
                </c:pt>
                <c:pt idx="11">
                  <c:v>135</c:v>
                </c:pt>
                <c:pt idx="12">
                  <c:v>184</c:v>
                </c:pt>
                <c:pt idx="13">
                  <c:v>477</c:v>
                </c:pt>
              </c:numCache>
            </c:numRef>
          </c:val>
          <c:extLst>
            <c:ext xmlns:c16="http://schemas.microsoft.com/office/drawing/2014/chart" uri="{C3380CC4-5D6E-409C-BE32-E72D297353CC}">
              <c16:uniqueId val="{00000000-0591-4B2A-858B-F364BF799365}"/>
            </c:ext>
          </c:extLst>
        </c:ser>
        <c:ser>
          <c:idx val="1"/>
          <c:order val="1"/>
          <c:tx>
            <c:strRef>
              <c:f>'Cálculos de gráfico'!$H$4</c:f>
              <c:strCache>
                <c:ptCount val="1"/>
                <c:pt idx="0">
                  <c:v>CARBOHIDRATOS</c:v>
                </c:pt>
              </c:strCache>
            </c:strRef>
          </c:tx>
          <c:spPr>
            <a:solidFill>
              <a:schemeClr val="accent2"/>
            </a:solidFill>
            <a:ln>
              <a:noFill/>
            </a:ln>
            <a:effectLst/>
          </c:spPr>
          <c:invertIfNegative val="0"/>
          <c:cat>
            <c:strRef>
              <c:f>'Cálculos de gráfico'!$E$5:$E$18</c:f>
              <c:strCache>
                <c:ptCount val="14"/>
                <c:pt idx="0">
                  <c:v>MI</c:v>
                </c:pt>
                <c:pt idx="1">
                  <c:v>MI</c:v>
                </c:pt>
                <c:pt idx="2">
                  <c:v>JU</c:v>
                </c:pt>
                <c:pt idx="3">
                  <c:v>JU</c:v>
                </c:pt>
                <c:pt idx="4">
                  <c:v>JU</c:v>
                </c:pt>
                <c:pt idx="5">
                  <c:v>JU</c:v>
                </c:pt>
                <c:pt idx="6">
                  <c:v>VI</c:v>
                </c:pt>
                <c:pt idx="7">
                  <c:v>VI</c:v>
                </c:pt>
                <c:pt idx="8">
                  <c:v>VI</c:v>
                </c:pt>
                <c:pt idx="9">
                  <c:v>VI</c:v>
                </c:pt>
                <c:pt idx="10">
                  <c:v>SÁ</c:v>
                </c:pt>
                <c:pt idx="11">
                  <c:v>SÁ</c:v>
                </c:pt>
                <c:pt idx="12">
                  <c:v>SÁ</c:v>
                </c:pt>
                <c:pt idx="13">
                  <c:v>LU</c:v>
                </c:pt>
              </c:strCache>
            </c:strRef>
          </c:cat>
          <c:val>
            <c:numRef>
              <c:f>'Cálculos de gráfico'!$H$5:$H$18</c:f>
              <c:numCache>
                <c:formatCode>General</c:formatCode>
                <c:ptCount val="14"/>
                <c:pt idx="0">
                  <c:v>46</c:v>
                </c:pt>
                <c:pt idx="1">
                  <c:v>42</c:v>
                </c:pt>
                <c:pt idx="2">
                  <c:v>0</c:v>
                </c:pt>
                <c:pt idx="3">
                  <c:v>10</c:v>
                </c:pt>
                <c:pt idx="4">
                  <c:v>26</c:v>
                </c:pt>
                <c:pt idx="5">
                  <c:v>62</c:v>
                </c:pt>
                <c:pt idx="6">
                  <c:v>0</c:v>
                </c:pt>
                <c:pt idx="7">
                  <c:v>48</c:v>
                </c:pt>
                <c:pt idx="8">
                  <c:v>11</c:v>
                </c:pt>
                <c:pt idx="9">
                  <c:v>64</c:v>
                </c:pt>
                <c:pt idx="10">
                  <c:v>10</c:v>
                </c:pt>
                <c:pt idx="11">
                  <c:v>12.36</c:v>
                </c:pt>
                <c:pt idx="12">
                  <c:v>7</c:v>
                </c:pt>
                <c:pt idx="13">
                  <c:v>62</c:v>
                </c:pt>
              </c:numCache>
            </c:numRef>
          </c:val>
          <c:extLst>
            <c:ext xmlns:c16="http://schemas.microsoft.com/office/drawing/2014/chart" uri="{C3380CC4-5D6E-409C-BE32-E72D297353CC}">
              <c16:uniqueId val="{00000001-0591-4B2A-858B-F364BF799365}"/>
            </c:ext>
          </c:extLst>
        </c:ser>
        <c:ser>
          <c:idx val="2"/>
          <c:order val="2"/>
          <c:tx>
            <c:strRef>
              <c:f>'Cálculos de gráfico'!$G$4</c:f>
              <c:strCache>
                <c:ptCount val="1"/>
                <c:pt idx="0">
                  <c:v>PROTEÍNAS</c:v>
                </c:pt>
              </c:strCache>
            </c:strRef>
          </c:tx>
          <c:spPr>
            <a:solidFill>
              <a:schemeClr val="bg1">
                <a:lumMod val="65000"/>
              </a:schemeClr>
            </a:solidFill>
            <a:ln>
              <a:noFill/>
            </a:ln>
            <a:effectLst/>
          </c:spPr>
          <c:invertIfNegative val="0"/>
          <c:cat>
            <c:strRef>
              <c:f>'Cálculos de gráfico'!$E$5:$E$18</c:f>
              <c:strCache>
                <c:ptCount val="14"/>
                <c:pt idx="0">
                  <c:v>MI</c:v>
                </c:pt>
                <c:pt idx="1">
                  <c:v>MI</c:v>
                </c:pt>
                <c:pt idx="2">
                  <c:v>JU</c:v>
                </c:pt>
                <c:pt idx="3">
                  <c:v>JU</c:v>
                </c:pt>
                <c:pt idx="4">
                  <c:v>JU</c:v>
                </c:pt>
                <c:pt idx="5">
                  <c:v>JU</c:v>
                </c:pt>
                <c:pt idx="6">
                  <c:v>VI</c:v>
                </c:pt>
                <c:pt idx="7">
                  <c:v>VI</c:v>
                </c:pt>
                <c:pt idx="8">
                  <c:v>VI</c:v>
                </c:pt>
                <c:pt idx="9">
                  <c:v>VI</c:v>
                </c:pt>
                <c:pt idx="10">
                  <c:v>SÁ</c:v>
                </c:pt>
                <c:pt idx="11">
                  <c:v>SÁ</c:v>
                </c:pt>
                <c:pt idx="12">
                  <c:v>SÁ</c:v>
                </c:pt>
                <c:pt idx="13">
                  <c:v>LU</c:v>
                </c:pt>
              </c:strCache>
            </c:strRef>
          </c:cat>
          <c:val>
            <c:numRef>
              <c:f>'Cálculos de gráfico'!$G$5:$G$18</c:f>
              <c:numCache>
                <c:formatCode>General</c:formatCode>
                <c:ptCount val="14"/>
                <c:pt idx="0">
                  <c:v>18</c:v>
                </c:pt>
                <c:pt idx="1">
                  <c:v>35</c:v>
                </c:pt>
                <c:pt idx="2">
                  <c:v>0</c:v>
                </c:pt>
                <c:pt idx="3">
                  <c:v>2</c:v>
                </c:pt>
                <c:pt idx="4">
                  <c:v>3</c:v>
                </c:pt>
                <c:pt idx="5">
                  <c:v>13.5</c:v>
                </c:pt>
                <c:pt idx="6">
                  <c:v>0</c:v>
                </c:pt>
                <c:pt idx="7">
                  <c:v>10</c:v>
                </c:pt>
                <c:pt idx="8">
                  <c:v>43</c:v>
                </c:pt>
                <c:pt idx="9">
                  <c:v>32</c:v>
                </c:pt>
                <c:pt idx="10">
                  <c:v>2</c:v>
                </c:pt>
                <c:pt idx="11">
                  <c:v>8.81</c:v>
                </c:pt>
                <c:pt idx="12">
                  <c:v>5.43</c:v>
                </c:pt>
                <c:pt idx="13">
                  <c:v>13.5</c:v>
                </c:pt>
              </c:numCache>
            </c:numRef>
          </c:val>
          <c:extLst>
            <c:ext xmlns:c16="http://schemas.microsoft.com/office/drawing/2014/chart" uri="{C3380CC4-5D6E-409C-BE32-E72D297353CC}">
              <c16:uniqueId val="{00000002-0591-4B2A-858B-F364BF799365}"/>
            </c:ext>
          </c:extLst>
        </c:ser>
        <c:ser>
          <c:idx val="3"/>
          <c:order val="3"/>
          <c:tx>
            <c:strRef>
              <c:f>'Cálculos de gráfico'!$F$4</c:f>
              <c:strCache>
                <c:ptCount val="1"/>
                <c:pt idx="0">
                  <c:v>GRASAS</c:v>
                </c:pt>
              </c:strCache>
            </c:strRef>
          </c:tx>
          <c:spPr>
            <a:solidFill>
              <a:schemeClr val="accent1"/>
            </a:solidFill>
            <a:ln>
              <a:noFill/>
            </a:ln>
            <a:effectLst/>
          </c:spPr>
          <c:invertIfNegative val="0"/>
          <c:cat>
            <c:strRef>
              <c:f>'Cálculos de gráfico'!$E$5:$E$18</c:f>
              <c:strCache>
                <c:ptCount val="14"/>
                <c:pt idx="0">
                  <c:v>MI</c:v>
                </c:pt>
                <c:pt idx="1">
                  <c:v>MI</c:v>
                </c:pt>
                <c:pt idx="2">
                  <c:v>JU</c:v>
                </c:pt>
                <c:pt idx="3">
                  <c:v>JU</c:v>
                </c:pt>
                <c:pt idx="4">
                  <c:v>JU</c:v>
                </c:pt>
                <c:pt idx="5">
                  <c:v>JU</c:v>
                </c:pt>
                <c:pt idx="6">
                  <c:v>VI</c:v>
                </c:pt>
                <c:pt idx="7">
                  <c:v>VI</c:v>
                </c:pt>
                <c:pt idx="8">
                  <c:v>VI</c:v>
                </c:pt>
                <c:pt idx="9">
                  <c:v>VI</c:v>
                </c:pt>
                <c:pt idx="10">
                  <c:v>SÁ</c:v>
                </c:pt>
                <c:pt idx="11">
                  <c:v>SÁ</c:v>
                </c:pt>
                <c:pt idx="12">
                  <c:v>SÁ</c:v>
                </c:pt>
                <c:pt idx="13">
                  <c:v>LU</c:v>
                </c:pt>
              </c:strCache>
            </c:strRef>
          </c:cat>
          <c:val>
            <c:numRef>
              <c:f>'Cálculos de gráfico'!$F$5:$F$18</c:f>
              <c:numCache>
                <c:formatCode>General</c:formatCode>
                <c:ptCount val="14"/>
                <c:pt idx="0">
                  <c:v>3.5</c:v>
                </c:pt>
                <c:pt idx="1">
                  <c:v>25</c:v>
                </c:pt>
                <c:pt idx="2">
                  <c:v>0</c:v>
                </c:pt>
                <c:pt idx="3">
                  <c:v>10</c:v>
                </c:pt>
                <c:pt idx="4">
                  <c:v>8</c:v>
                </c:pt>
                <c:pt idx="5">
                  <c:v>21</c:v>
                </c:pt>
                <c:pt idx="6">
                  <c:v>0</c:v>
                </c:pt>
                <c:pt idx="7">
                  <c:v>1.5</c:v>
                </c:pt>
                <c:pt idx="8">
                  <c:v>5</c:v>
                </c:pt>
                <c:pt idx="9">
                  <c:v>22</c:v>
                </c:pt>
                <c:pt idx="10">
                  <c:v>10</c:v>
                </c:pt>
                <c:pt idx="11">
                  <c:v>5.51</c:v>
                </c:pt>
                <c:pt idx="12">
                  <c:v>15</c:v>
                </c:pt>
                <c:pt idx="13">
                  <c:v>21</c:v>
                </c:pt>
              </c:numCache>
            </c:numRef>
          </c:val>
          <c:extLst>
            <c:ext xmlns:c16="http://schemas.microsoft.com/office/drawing/2014/chart" uri="{C3380CC4-5D6E-409C-BE32-E72D297353CC}">
              <c16:uniqueId val="{00000003-0591-4B2A-858B-F364BF799365}"/>
            </c:ext>
          </c:extLst>
        </c:ser>
        <c:dLbls>
          <c:showLegendKey val="0"/>
          <c:showVal val="0"/>
          <c:showCatName val="0"/>
          <c:showSerName val="0"/>
          <c:showPercent val="0"/>
          <c:showBubbleSize val="0"/>
        </c:dLbls>
        <c:gapWidth val="90"/>
        <c:overlap val="100"/>
        <c:axId val="492222544"/>
        <c:axId val="492218624"/>
      </c:barChart>
      <c:catAx>
        <c:axId val="49222254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85000"/>
                    <a:lumOff val="15000"/>
                  </a:schemeClr>
                </a:solidFill>
                <a:latin typeface="+mn-lt"/>
                <a:ea typeface="+mn-ea"/>
                <a:cs typeface="+mn-cs"/>
              </a:defRPr>
            </a:pPr>
            <a:endParaRPr lang="es-ES"/>
          </a:p>
        </c:txPr>
        <c:crossAx val="492218624"/>
        <c:crosses val="autoZero"/>
        <c:auto val="1"/>
        <c:lblAlgn val="ctr"/>
        <c:lblOffset val="100"/>
        <c:noMultiLvlLbl val="0"/>
      </c:catAx>
      <c:valAx>
        <c:axId val="49221862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high"/>
        <c:spPr>
          <a:noFill/>
          <a:ln>
            <a:noFill/>
          </a:ln>
          <a:effectLst/>
        </c:spPr>
        <c:txPr>
          <a:bodyPr rot="-60000000" spcFirstLastPara="1" vertOverflow="ellipsis" vert="horz" wrap="square" anchor="ctr" anchorCtr="1"/>
          <a:lstStyle/>
          <a:p>
            <a:pPr>
              <a:defRPr sz="1100" b="0" i="0" u="none" strike="noStrike" kern="1200" baseline="0">
                <a:solidFill>
                  <a:schemeClr val="tx1">
                    <a:lumMod val="85000"/>
                    <a:lumOff val="15000"/>
                  </a:schemeClr>
                </a:solidFill>
                <a:latin typeface="+mn-lt"/>
                <a:ea typeface="+mn-ea"/>
                <a:cs typeface="+mn-cs"/>
              </a:defRPr>
            </a:pPr>
            <a:endParaRPr lang="es-ES"/>
          </a:p>
        </c:txPr>
        <c:crossAx val="492222544"/>
        <c:crosses val="autoZero"/>
        <c:crossBetween val="between"/>
        <c:majorUnit val="0.5"/>
      </c:valAx>
      <c:spPr>
        <a:noFill/>
        <a:ln>
          <a:noFill/>
        </a:ln>
        <a:effectLst/>
      </c:spPr>
    </c:plotArea>
    <c:legend>
      <c:legendPos val="r"/>
      <c:layout>
        <c:manualLayout>
          <c:xMode val="edge"/>
          <c:yMode val="edge"/>
          <c:x val="0.81157543201172988"/>
          <c:y val="0"/>
          <c:w val="0.17838686935885853"/>
          <c:h val="0.9848720909886263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85000"/>
                  <a:lumOff val="15000"/>
                </a:schemeClr>
              </a:solidFill>
              <a:latin typeface="Arial"/>
              <a:ea typeface="Arial"/>
              <a:cs typeface="Arial"/>
            </a:defRPr>
          </a:pPr>
          <a:endParaRPr lang="es-ES"/>
        </a:p>
      </c:txPr>
    </c:legend>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586106384943088E-2"/>
          <c:y val="7.8232908052268874E-2"/>
          <c:w val="0.72206135665202653"/>
          <c:h val="0.75696071413533206"/>
        </c:manualLayout>
      </c:layout>
      <c:barChart>
        <c:barDir val="col"/>
        <c:grouping val="clustered"/>
        <c:varyColors val="0"/>
        <c:ser>
          <c:idx val="0"/>
          <c:order val="0"/>
          <c:tx>
            <c:strRef>
              <c:f>'Cálculos de gráfico'!$G$22</c:f>
              <c:strCache>
                <c:ptCount val="1"/>
                <c:pt idx="0">
                  <c:v>CALORÍAS QUEMADAS</c:v>
                </c:pt>
              </c:strCache>
            </c:strRef>
          </c:tx>
          <c:spPr>
            <a:solidFill>
              <a:schemeClr val="accent3">
                <a:lumMod val="75000"/>
              </a:schemeClr>
            </a:solidFill>
            <a:ln>
              <a:noFill/>
            </a:ln>
            <a:effectLst/>
          </c:spPr>
          <c:invertIfNegative val="0"/>
          <c:dLbls>
            <c:dLbl>
              <c:idx val="2"/>
              <c:layout>
                <c:manualLayout>
                  <c:x val="0"/>
                  <c:y val="-4.432132963988921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5C-425B-96CA-1DB742A3984B}"/>
                </c:ext>
              </c:extLst>
            </c:dLbl>
            <c:spPr>
              <a:noFill/>
              <a:ln>
                <a:noFill/>
              </a:ln>
              <a:effectLst/>
            </c:spPr>
            <c:txPr>
              <a:bodyPr rot="0" spcFirstLastPara="1" vertOverflow="ellipsis" vert="horz" wrap="square" anchor="ctr" anchorCtr="1"/>
              <a:lstStyle/>
              <a:p>
                <a:pPr>
                  <a:defRPr sz="11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'Cálculos de gráfico'!$D$23:$D$36</c:f>
              <c:numCache>
                <c:formatCode>m/d/yyyy</c:formatCode>
                <c:ptCount val="14"/>
                <c:pt idx="0">
                  <c:v>44922</c:v>
                </c:pt>
                <c:pt idx="1">
                  <c:v>44921</c:v>
                </c:pt>
                <c:pt idx="2">
                  <c:v>44920</c:v>
                </c:pt>
                <c:pt idx="3">
                  <c:v>44919</c:v>
                </c:pt>
                <c:pt idx="4">
                  <c:v>44918</c:v>
                </c:pt>
                <c:pt idx="5">
                  <c:v>44917</c:v>
                </c:pt>
                <c:pt idx="6">
                  <c:v>44916</c:v>
                </c:pt>
                <c:pt idx="7">
                  <c:v>44915</c:v>
                </c:pt>
                <c:pt idx="8">
                  <c:v>44914</c:v>
                </c:pt>
                <c:pt idx="9">
                  <c:v>44913</c:v>
                </c:pt>
                <c:pt idx="10">
                  <c:v>44912</c:v>
                </c:pt>
                <c:pt idx="11">
                  <c:v>44911</c:v>
                </c:pt>
                <c:pt idx="12">
                  <c:v>44910</c:v>
                </c:pt>
                <c:pt idx="13">
                  <c:v>44909</c:v>
                </c:pt>
              </c:numCache>
            </c:numRef>
          </c:cat>
          <c:val>
            <c:numRef>
              <c:f>'Cálculos de gráfico'!$G$23:$G$36</c:f>
              <c:numCache>
                <c:formatCode>#,#00;;;</c:formatCode>
                <c:ptCount val="14"/>
                <c:pt idx="0">
                  <c:v>195</c:v>
                </c:pt>
                <c:pt idx="1">
                  <c:v>265</c:v>
                </c:pt>
                <c:pt idx="2">
                  <c:v>290</c:v>
                </c:pt>
                <c:pt idx="3">
                  <c:v>320</c:v>
                </c:pt>
                <c:pt idx="4">
                  <c:v>350</c:v>
                </c:pt>
                <c:pt idx="5">
                  <c:v>295</c:v>
                </c:pt>
                <c:pt idx="6">
                  <c:v>270</c:v>
                </c:pt>
                <c:pt idx="7">
                  <c:v>325</c:v>
                </c:pt>
                <c:pt idx="8">
                  <c:v>175</c:v>
                </c:pt>
                <c:pt idx="9">
                  <c:v>335</c:v>
                </c:pt>
                <c:pt idx="10">
                  <c:v>205</c:v>
                </c:pt>
                <c:pt idx="11">
                  <c:v>285</c:v>
                </c:pt>
                <c:pt idx="12">
                  <c:v>125</c:v>
                </c:pt>
                <c:pt idx="13">
                  <c:v>150</c:v>
                </c:pt>
              </c:numCache>
            </c:numRef>
          </c:val>
          <c:extLst>
            <c:ext xmlns:c16="http://schemas.microsoft.com/office/drawing/2014/chart" uri="{C3380CC4-5D6E-409C-BE32-E72D297353CC}">
              <c16:uniqueId val="{00000001-245C-425B-96CA-1DB742A3984B}"/>
            </c:ext>
          </c:extLst>
        </c:ser>
        <c:dLbls>
          <c:showLegendKey val="0"/>
          <c:showVal val="0"/>
          <c:showCatName val="0"/>
          <c:showSerName val="0"/>
          <c:showPercent val="0"/>
          <c:showBubbleSize val="0"/>
        </c:dLbls>
        <c:gapWidth val="90"/>
        <c:axId val="492224112"/>
        <c:axId val="492219016"/>
      </c:barChart>
      <c:lineChart>
        <c:grouping val="standard"/>
        <c:varyColors val="0"/>
        <c:ser>
          <c:idx val="1"/>
          <c:order val="1"/>
          <c:tx>
            <c:strRef>
              <c:f>'Cálculos de gráfico'!$F$22</c:f>
              <c:strCache>
                <c:ptCount val="1"/>
                <c:pt idx="0">
                  <c:v>DURACIÓN (MÍN.)</c:v>
                </c:pt>
              </c:strCache>
            </c:strRef>
          </c:tx>
          <c:spPr>
            <a:ln w="28575" cap="rnd">
              <a:solidFill>
                <a:schemeClr val="accent1"/>
              </a:solidFill>
              <a:round/>
            </a:ln>
            <a:effectLst/>
          </c:spPr>
          <c:marker>
            <c:symbol val="none"/>
          </c:marker>
          <c:cat>
            <c:multiLvlStrRef>
              <c:f>'Cálculos de gráfico'!$D$23:$E$36</c:f>
              <c:multiLvlStrCache>
                <c:ptCount val="14"/>
                <c:lvl>
                  <c:pt idx="0">
                    <c:v>MA</c:v>
                  </c:pt>
                  <c:pt idx="1">
                    <c:v>LU</c:v>
                  </c:pt>
                  <c:pt idx="2">
                    <c:v>DO</c:v>
                  </c:pt>
                  <c:pt idx="3">
                    <c:v>SÁ</c:v>
                  </c:pt>
                  <c:pt idx="4">
                    <c:v>VI</c:v>
                  </c:pt>
                  <c:pt idx="5">
                    <c:v>JU</c:v>
                  </c:pt>
                  <c:pt idx="6">
                    <c:v>MI</c:v>
                  </c:pt>
                  <c:pt idx="7">
                    <c:v>MA</c:v>
                  </c:pt>
                  <c:pt idx="8">
                    <c:v>LU</c:v>
                  </c:pt>
                  <c:pt idx="9">
                    <c:v>DO</c:v>
                  </c:pt>
                  <c:pt idx="10">
                    <c:v>SÁ</c:v>
                  </c:pt>
                  <c:pt idx="11">
                    <c:v>VI</c:v>
                  </c:pt>
                  <c:pt idx="12">
                    <c:v>JU</c:v>
                  </c:pt>
                  <c:pt idx="13">
                    <c:v>MI</c:v>
                  </c:pt>
                </c:lvl>
                <c:lvl>
                  <c:pt idx="0">
                    <c:v>27/12/2022</c:v>
                  </c:pt>
                  <c:pt idx="1">
                    <c:v>26/12/2022</c:v>
                  </c:pt>
                  <c:pt idx="2">
                    <c:v>25/12/2022</c:v>
                  </c:pt>
                  <c:pt idx="3">
                    <c:v>24/12/2022</c:v>
                  </c:pt>
                  <c:pt idx="4">
                    <c:v>23/12/2022</c:v>
                  </c:pt>
                  <c:pt idx="5">
                    <c:v>22/12/2022</c:v>
                  </c:pt>
                  <c:pt idx="6">
                    <c:v>21/12/2022</c:v>
                  </c:pt>
                  <c:pt idx="7">
                    <c:v>20/12/2022</c:v>
                  </c:pt>
                  <c:pt idx="8">
                    <c:v>19/12/2022</c:v>
                  </c:pt>
                  <c:pt idx="9">
                    <c:v>18/12/2022</c:v>
                  </c:pt>
                  <c:pt idx="10">
                    <c:v>17/12/2022</c:v>
                  </c:pt>
                  <c:pt idx="11">
                    <c:v>16/12/2022</c:v>
                  </c:pt>
                  <c:pt idx="12">
                    <c:v>15/12/2022</c:v>
                  </c:pt>
                  <c:pt idx="13">
                    <c:v>14/12/2022</c:v>
                  </c:pt>
                </c:lvl>
              </c:multiLvlStrCache>
            </c:multiLvlStrRef>
          </c:cat>
          <c:val>
            <c:numRef>
              <c:f>'Cálculos de gráfico'!$F$23:$F$36</c:f>
              <c:numCache>
                <c:formatCode>#,#00;;;</c:formatCode>
                <c:ptCount val="14"/>
                <c:pt idx="0">
                  <c:v>20</c:v>
                </c:pt>
                <c:pt idx="1">
                  <c:v>25</c:v>
                </c:pt>
                <c:pt idx="2">
                  <c:v>40</c:v>
                </c:pt>
                <c:pt idx="3">
                  <c:v>35</c:v>
                </c:pt>
                <c:pt idx="4">
                  <c:v>45</c:v>
                </c:pt>
                <c:pt idx="5">
                  <c:v>20</c:v>
                </c:pt>
                <c:pt idx="6">
                  <c:v>40</c:v>
                </c:pt>
                <c:pt idx="7">
                  <c:v>45</c:v>
                </c:pt>
                <c:pt idx="8">
                  <c:v>40</c:v>
                </c:pt>
                <c:pt idx="9">
                  <c:v>30</c:v>
                </c:pt>
                <c:pt idx="10">
                  <c:v>40</c:v>
                </c:pt>
                <c:pt idx="11">
                  <c:v>20</c:v>
                </c:pt>
                <c:pt idx="12">
                  <c:v>25</c:v>
                </c:pt>
                <c:pt idx="13">
                  <c:v>30</c:v>
                </c:pt>
              </c:numCache>
            </c:numRef>
          </c:val>
          <c:smooth val="0"/>
          <c:extLst>
            <c:ext xmlns:c16="http://schemas.microsoft.com/office/drawing/2014/chart" uri="{C3380CC4-5D6E-409C-BE32-E72D297353CC}">
              <c16:uniqueId val="{00000002-245C-425B-96CA-1DB742A3984B}"/>
            </c:ext>
          </c:extLst>
        </c:ser>
        <c:dLbls>
          <c:showLegendKey val="0"/>
          <c:showVal val="0"/>
          <c:showCatName val="0"/>
          <c:showSerName val="0"/>
          <c:showPercent val="0"/>
          <c:showBubbleSize val="0"/>
        </c:dLbls>
        <c:marker val="1"/>
        <c:smooth val="0"/>
        <c:axId val="492224112"/>
        <c:axId val="492219016"/>
      </c:lineChart>
      <c:catAx>
        <c:axId val="492224112"/>
        <c:scaling>
          <c:orientation val="minMax"/>
        </c:scaling>
        <c:delete val="0"/>
        <c:axPos val="b"/>
        <c:numFmt formatCode="m/d/yyyy" sourceLinked="0"/>
        <c:majorTickMark val="out"/>
        <c:minorTickMark val="none"/>
        <c:tickLblPos val="nextTo"/>
        <c:spPr>
          <a:noFill/>
          <a:ln w="9525" cap="flat" cmpd="sng" algn="ctr">
            <a:solidFill>
              <a:schemeClr val="tx1">
                <a:lumMod val="15000"/>
                <a:lumOff val="85000"/>
              </a:schemeClr>
            </a:solidFill>
            <a:round/>
          </a:ln>
          <a:effectLst/>
        </c:spPr>
        <c:txPr>
          <a:bodyPr rot="-2100000" spcFirstLastPara="1" vertOverflow="ellipsis"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ES"/>
          </a:p>
        </c:txPr>
        <c:crossAx val="492219016"/>
        <c:crosses val="autoZero"/>
        <c:auto val="0"/>
        <c:lblAlgn val="ctr"/>
        <c:lblOffset val="100"/>
        <c:noMultiLvlLbl val="1"/>
      </c:catAx>
      <c:valAx>
        <c:axId val="492219016"/>
        <c:scaling>
          <c:orientation val="minMax"/>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bg1">
                  <a:lumMod val="85000"/>
                </a:schemeClr>
              </a:solidFill>
              <a:round/>
            </a:ln>
            <a:effectLst/>
          </c:spPr>
        </c:minorGridlines>
        <c:numFmt formatCode="#,#0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ES"/>
          </a:p>
        </c:txPr>
        <c:crossAx val="492224112"/>
        <c:crosses val="autoZero"/>
        <c:crossBetween val="between"/>
      </c:valAx>
      <c:spPr>
        <a:noFill/>
        <a:ln>
          <a:noFill/>
        </a:ln>
        <a:effectLst/>
      </c:spPr>
    </c:plotArea>
    <c:legend>
      <c:legendPos val="tr"/>
      <c:layout>
        <c:manualLayout>
          <c:xMode val="edge"/>
          <c:yMode val="edge"/>
          <c:x val="0.78222327472223863"/>
          <c:y val="7.6196618938165192E-2"/>
          <c:w val="0.21273472394898005"/>
          <c:h val="0.1960893865610058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a:ea typeface="Arial"/>
              <a:cs typeface="Arial"/>
            </a:defRPr>
          </a:pPr>
          <a:endParaRPr lang="es-ES"/>
        </a:p>
      </c:txPr>
    </c:legend>
    <c:plotVisOnly val="0"/>
    <c:dispBlanksAs val="gap"/>
    <c:showDLblsOverMax val="0"/>
  </c:chart>
  <c:spPr>
    <a:noFill/>
    <a:ln w="9525" cap="flat" cmpd="sng" algn="ctr">
      <a:noFill/>
      <a:round/>
    </a:ln>
    <a:effectLst/>
  </c:spPr>
  <c:txPr>
    <a:bodyPr/>
    <a:lstStyle/>
    <a:p>
      <a:pPr>
        <a:defRPr sz="1100"/>
      </a:pPr>
      <a:endParaRPr lang="es-E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&#65279;<?xml version="1.0" encoding="utf-8"?><Relationships xmlns="http://schemas.openxmlformats.org/package/2006/relationships"><Relationship Type="http://schemas.openxmlformats.org/officeDocument/2006/relationships/chart" Target="/xl/charts/chart11.xml" Id="rId3" /><Relationship Type="http://schemas.openxmlformats.org/officeDocument/2006/relationships/chart" Target="/xl/charts/chart22.xml" Id="rId4" /><Relationship Type="http://schemas.openxmlformats.org/officeDocument/2006/relationships/hyperlink" Target="#'DIETA'!A1" TargetMode="External" Id="rId2" /><Relationship Type="http://schemas.openxmlformats.org/officeDocument/2006/relationships/hyperlink" Target="#'EJERCICIO'!A1" TargetMode="External" Id="rId1" /></Relationships>
</file>

<file path=xl/drawings/_rels/drawing22.xml.rels>&#65279;<?xml version="1.0" encoding="utf-8"?><Relationships xmlns="http://schemas.openxmlformats.org/package/2006/relationships"><Relationship Type="http://schemas.openxmlformats.org/officeDocument/2006/relationships/hyperlink" Target="#'EJERCICIO'!A1" TargetMode="External" Id="rId2" /><Relationship Type="http://schemas.openxmlformats.org/officeDocument/2006/relationships/hyperlink" Target="#'OBJETIVOS'!A1" TargetMode="External" Id="rId1" /></Relationships>
</file>

<file path=xl/drawings/_rels/drawing31.xml.rels>&#65279;<?xml version="1.0" encoding="utf-8"?><Relationships xmlns="http://schemas.openxmlformats.org/package/2006/relationships"><Relationship Type="http://schemas.openxmlformats.org/officeDocument/2006/relationships/hyperlink" Target="#'OBJETIVOS'!A1" TargetMode="External" Id="rId2" /><Relationship Type="http://schemas.openxmlformats.org/officeDocument/2006/relationships/hyperlink" Target="#'DIETA'!A1" TargetMode="External" Id="rId1" /></Relationships>
</file>

<file path=xl/drawings/drawing13.xml><?xml version="1.0" encoding="utf-8"?>
<xdr:wsDr xmlns:xdr="http://schemas.openxmlformats.org/drawingml/2006/spreadsheetDrawing" xmlns:a="http://schemas.openxmlformats.org/drawingml/2006/main">
  <xdr:twoCellAnchor editAs="oneCell">
    <xdr:from>
      <xdr:col>9</xdr:col>
      <xdr:colOff>200025</xdr:colOff>
      <xdr:row>0</xdr:row>
      <xdr:rowOff>85725</xdr:rowOff>
    </xdr:from>
    <xdr:to>
      <xdr:col>9</xdr:col>
      <xdr:colOff>657225</xdr:colOff>
      <xdr:row>0</xdr:row>
      <xdr:rowOff>390524</xdr:rowOff>
    </xdr:to>
    <xdr:sp macro="" textlink="">
      <xdr:nvSpPr>
        <xdr:cNvPr id="2" name="Ejercicio" descr="Botón de navegación de Ejercicio">
          <a:hlinkClick xmlns:r="http://schemas.openxmlformats.org/officeDocument/2006/relationships" r:id="rId1" tooltip="Seleccionar para ver la hoja de cálculo Ejercicio"/>
          <a:extLst>
            <a:ext uri="{FF2B5EF4-FFF2-40B4-BE49-F238E27FC236}">
              <a16:creationId xmlns:a16="http://schemas.microsoft.com/office/drawing/2014/main" id="{00000000-0008-0000-0000-000002000000}"/>
            </a:ext>
          </a:extLst>
        </xdr:cNvPr>
        <xdr:cNvSpPr/>
      </xdr:nvSpPr>
      <xdr:spPr>
        <a:xfrm>
          <a:off x="8077200" y="8572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a:solidFill>
                <a:schemeClr val="bg1"/>
              </a:solidFill>
              <a:latin typeface="Arial Black" panose="020B0A04020102020204" pitchFamily="34" charset="0"/>
            </a:rPr>
            <a:t>&lt;</a:t>
          </a:r>
        </a:p>
      </xdr:txBody>
    </xdr:sp>
    <xdr:clientData fPrintsWithSheet="0"/>
  </xdr:twoCellAnchor>
  <xdr:twoCellAnchor editAs="oneCell">
    <xdr:from>
      <xdr:col>10</xdr:col>
      <xdr:colOff>180975</xdr:colOff>
      <xdr:row>0</xdr:row>
      <xdr:rowOff>85725</xdr:rowOff>
    </xdr:from>
    <xdr:to>
      <xdr:col>10</xdr:col>
      <xdr:colOff>638175</xdr:colOff>
      <xdr:row>0</xdr:row>
      <xdr:rowOff>390524</xdr:rowOff>
    </xdr:to>
    <xdr:sp macro="" textlink="">
      <xdr:nvSpPr>
        <xdr:cNvPr id="3" name="Dieta" descr="Botón de navegación de Dieta">
          <a:hlinkClick xmlns:r="http://schemas.openxmlformats.org/officeDocument/2006/relationships" r:id="rId2" tooltip="Seleccionar para ver la hoja de cálculo Dieta"/>
          <a:extLst>
            <a:ext uri="{FF2B5EF4-FFF2-40B4-BE49-F238E27FC236}">
              <a16:creationId xmlns:a16="http://schemas.microsoft.com/office/drawing/2014/main" id="{00000000-0008-0000-0000-000003000000}"/>
            </a:ext>
          </a:extLst>
        </xdr:cNvPr>
        <xdr:cNvSpPr/>
      </xdr:nvSpPr>
      <xdr:spPr>
        <a:xfrm>
          <a:off x="8867775" y="8572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sz="1100" b="0">
              <a:solidFill>
                <a:schemeClr val="bg1"/>
              </a:solidFill>
              <a:latin typeface="Arial Black" panose="020B0A04020102020204" pitchFamily="34" charset="0"/>
            </a:rPr>
            <a:t>&gt;</a:t>
          </a:r>
        </a:p>
      </xdr:txBody>
    </xdr:sp>
    <xdr:clientData fPrintsWithSheet="0"/>
  </xdr:twoCellAnchor>
  <xdr:twoCellAnchor editAs="oneCell">
    <xdr:from>
      <xdr:col>2</xdr:col>
      <xdr:colOff>38100</xdr:colOff>
      <xdr:row>3</xdr:row>
      <xdr:rowOff>38101</xdr:rowOff>
    </xdr:from>
    <xdr:to>
      <xdr:col>10</xdr:col>
      <xdr:colOff>790575</xdr:colOff>
      <xdr:row>5</xdr:row>
      <xdr:rowOff>542926</xdr:rowOff>
    </xdr:to>
    <xdr:graphicFrame macro="">
      <xdr:nvGraphicFramePr>
        <xdr:cNvPr id="19" name="chtDietAnalysis" descr="Gráfico de barras 100 % apiladas que muestra los últimos 14 días de entradas de la dieta, como grasas, proteínas, carbohidratos y calorías">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28575</xdr:colOff>
      <xdr:row>7</xdr:row>
      <xdr:rowOff>1</xdr:rowOff>
    </xdr:from>
    <xdr:to>
      <xdr:col>10</xdr:col>
      <xdr:colOff>809624</xdr:colOff>
      <xdr:row>13</xdr:row>
      <xdr:rowOff>561976</xdr:rowOff>
    </xdr:to>
    <xdr:graphicFrame macro="">
      <xdr:nvGraphicFramePr>
        <xdr:cNvPr id="21" name="chtExerciseAnalysis" descr="Gráfico de líneas y de columnas agrupadas que muestra las calorías quemadas y la duración en minutos de las últimas 14 entradas de ejercicio">
          <a:extLst>
            <a:ext uri="{FF2B5EF4-FFF2-40B4-BE49-F238E27FC236}">
              <a16:creationId xmlns:a16="http://schemas.microsoft.com/office/drawing/2014/main" id="{00000000-0008-0000-00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editAs="oneCell">
    <xdr:from>
      <xdr:col>6</xdr:col>
      <xdr:colOff>295275</xdr:colOff>
      <xdr:row>0</xdr:row>
      <xdr:rowOff>66675</xdr:rowOff>
    </xdr:from>
    <xdr:to>
      <xdr:col>6</xdr:col>
      <xdr:colOff>752475</xdr:colOff>
      <xdr:row>0</xdr:row>
      <xdr:rowOff>371474</xdr:rowOff>
    </xdr:to>
    <xdr:sp macro="" textlink="">
      <xdr:nvSpPr>
        <xdr:cNvPr id="2" name="Objetivos" descr="Botón de navegación de Objetivos">
          <a:hlinkClick xmlns:r="http://schemas.openxmlformats.org/officeDocument/2006/relationships" r:id="rId1" tooltip="Seleccionar para ver la hoja de cálculo Objetivos"/>
          <a:extLst>
            <a:ext uri="{FF2B5EF4-FFF2-40B4-BE49-F238E27FC236}">
              <a16:creationId xmlns:a16="http://schemas.microsoft.com/office/drawing/2014/main" id="{00000000-0008-0000-0100-000002000000}"/>
            </a:ext>
          </a:extLst>
        </xdr:cNvPr>
        <xdr:cNvSpPr/>
      </xdr:nvSpPr>
      <xdr:spPr>
        <a:xfrm>
          <a:off x="5953125" y="6667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sz="1100" b="0">
              <a:solidFill>
                <a:schemeClr val="bg1"/>
              </a:solidFill>
              <a:latin typeface="Arial Black" panose="020B0A04020102020204" pitchFamily="34" charset="0"/>
            </a:rPr>
            <a:t>&lt;</a:t>
          </a:r>
        </a:p>
      </xdr:txBody>
    </xdr:sp>
    <xdr:clientData fPrintsWithSheet="0"/>
  </xdr:twoCellAnchor>
  <xdr:twoCellAnchor editAs="oneCell">
    <xdr:from>
      <xdr:col>7</xdr:col>
      <xdr:colOff>276225</xdr:colOff>
      <xdr:row>0</xdr:row>
      <xdr:rowOff>66675</xdr:rowOff>
    </xdr:from>
    <xdr:to>
      <xdr:col>7</xdr:col>
      <xdr:colOff>733425</xdr:colOff>
      <xdr:row>0</xdr:row>
      <xdr:rowOff>371474</xdr:rowOff>
    </xdr:to>
    <xdr:sp macro="" textlink="">
      <xdr:nvSpPr>
        <xdr:cNvPr id="3" name="Ejercicio" descr="Botón de navegación de Ejercicio">
          <a:hlinkClick xmlns:r="http://schemas.openxmlformats.org/officeDocument/2006/relationships" r:id="rId2" tooltip="Seleccionar para ver la hoja de cálculo Ejercicio"/>
          <a:extLst>
            <a:ext uri="{FF2B5EF4-FFF2-40B4-BE49-F238E27FC236}">
              <a16:creationId xmlns:a16="http://schemas.microsoft.com/office/drawing/2014/main" id="{00000000-0008-0000-0100-000003000000}"/>
            </a:ext>
          </a:extLst>
        </xdr:cNvPr>
        <xdr:cNvSpPr/>
      </xdr:nvSpPr>
      <xdr:spPr>
        <a:xfrm>
          <a:off x="6896100" y="66675"/>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sz="1100" b="0">
              <a:solidFill>
                <a:schemeClr val="bg1"/>
              </a:solidFill>
              <a:latin typeface="Arial Black" panose="020B0A04020102020204" pitchFamily="34" charset="0"/>
            </a:rPr>
            <a:t>&gt;</a:t>
          </a:r>
        </a:p>
      </xdr:txBody>
    </xdr:sp>
    <xdr:clientData fPrintsWithSheet="0"/>
  </xdr:twoCellAnchor>
</xdr:wsDr>
</file>

<file path=xl/drawings/drawing31.xml><?xml version="1.0" encoding="utf-8"?>
<xdr:wsDr xmlns:xdr="http://schemas.openxmlformats.org/drawingml/2006/spreadsheetDrawing" xmlns:a="http://schemas.openxmlformats.org/drawingml/2006/main">
  <xdr:twoCellAnchor editAs="oneCell">
    <xdr:from>
      <xdr:col>5</xdr:col>
      <xdr:colOff>257175</xdr:colOff>
      <xdr:row>0</xdr:row>
      <xdr:rowOff>109538</xdr:rowOff>
    </xdr:from>
    <xdr:to>
      <xdr:col>5</xdr:col>
      <xdr:colOff>714375</xdr:colOff>
      <xdr:row>0</xdr:row>
      <xdr:rowOff>414337</xdr:rowOff>
    </xdr:to>
    <xdr:sp macro="" textlink="">
      <xdr:nvSpPr>
        <xdr:cNvPr id="2" name="Dieta" descr="Botón de navegación de Dieta">
          <a:hlinkClick xmlns:r="http://schemas.openxmlformats.org/officeDocument/2006/relationships" r:id="rId1" tooltip="Seleccionar para ver la hoja de cálculo Dieta"/>
          <a:extLst>
            <a:ext uri="{FF2B5EF4-FFF2-40B4-BE49-F238E27FC236}">
              <a16:creationId xmlns:a16="http://schemas.microsoft.com/office/drawing/2014/main" id="{00000000-0008-0000-0200-000002000000}"/>
            </a:ext>
          </a:extLst>
        </xdr:cNvPr>
        <xdr:cNvSpPr/>
      </xdr:nvSpPr>
      <xdr:spPr>
        <a:xfrm>
          <a:off x="7648575" y="109538"/>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sz="1100" b="0">
              <a:solidFill>
                <a:schemeClr val="bg1"/>
              </a:solidFill>
              <a:latin typeface="Arial Black" panose="020B0A04020102020204" pitchFamily="34" charset="0"/>
            </a:rPr>
            <a:t>&lt;</a:t>
          </a:r>
        </a:p>
      </xdr:txBody>
    </xdr:sp>
    <xdr:clientData fPrintsWithSheet="0"/>
  </xdr:twoCellAnchor>
  <xdr:twoCellAnchor editAs="oneCell">
    <xdr:from>
      <xdr:col>6</xdr:col>
      <xdr:colOff>276225</xdr:colOff>
      <xdr:row>0</xdr:row>
      <xdr:rowOff>109538</xdr:rowOff>
    </xdr:from>
    <xdr:to>
      <xdr:col>6</xdr:col>
      <xdr:colOff>733425</xdr:colOff>
      <xdr:row>0</xdr:row>
      <xdr:rowOff>414337</xdr:rowOff>
    </xdr:to>
    <xdr:sp macro="" textlink="">
      <xdr:nvSpPr>
        <xdr:cNvPr id="3" name="Objetivos" descr="Botón de navegación de Objetivos">
          <a:hlinkClick xmlns:r="http://schemas.openxmlformats.org/officeDocument/2006/relationships" r:id="rId2" tooltip="Seleccionar para ver la hoja de cálculo Objetivos"/>
          <a:extLst>
            <a:ext uri="{FF2B5EF4-FFF2-40B4-BE49-F238E27FC236}">
              <a16:creationId xmlns:a16="http://schemas.microsoft.com/office/drawing/2014/main" id="{00000000-0008-0000-0200-000003000000}"/>
            </a:ext>
          </a:extLst>
        </xdr:cNvPr>
        <xdr:cNvSpPr/>
      </xdr:nvSpPr>
      <xdr:spPr>
        <a:xfrm>
          <a:off x="8629650" y="109538"/>
          <a:ext cx="457200" cy="304799"/>
        </a:xfrm>
        <a:prstGeom prst="rect">
          <a:avLst/>
        </a:prstGeom>
        <a:solidFill>
          <a:schemeClr val="tx1">
            <a:lumMod val="75000"/>
            <a:lumOff val="25000"/>
          </a:schemeClr>
        </a:solidFill>
        <a:ln>
          <a:no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rtl="0"/>
          <a:r>
            <a:rPr lang="es" sz="1100" b="0">
              <a:solidFill>
                <a:schemeClr val="bg1"/>
              </a:solidFill>
              <a:latin typeface="Arial Black" panose="020B0A04020102020204" pitchFamily="34" charset="0"/>
            </a:rPr>
            <a:t>&gt;</a:t>
          </a:r>
        </a:p>
      </xdr:txBody>
    </xdr:sp>
    <xdr:clientData fPrintsWithSheet="0"/>
  </xdr:twoCellAnchor>
</xdr:wsDr>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ieta" displayName="Dieta" ref="B3:I19" totalsRowShown="0" dataDxfId="14">
  <autoFilter ref="B3:I19" xr:uid="{00000000-0009-0000-0100-000001000000}"/>
  <tableColumns count="8">
    <tableColumn id="1" xr3:uid="{00000000-0010-0000-0000-000001000000}" name="FECHA" dataDxfId="13" dataCellStyle="Fecha"/>
    <tableColumn id="2" xr3:uid="{00000000-0010-0000-0000-000002000000}" name="TIEMPO" dataDxfId="0" dataCellStyle="Hora"/>
    <tableColumn id="3" xr3:uid="{00000000-0010-0000-0000-000003000000}" name="DESCRIPCIÓN" dataDxfId="12"/>
    <tableColumn id="4" xr3:uid="{00000000-0010-0000-0000-000004000000}" name="CALORÍAS" dataDxfId="11" dataCellStyle="Número"/>
    <tableColumn id="5" xr3:uid="{00000000-0010-0000-0000-000005000000}" name="CARBOHIDRATOS" dataDxfId="10" dataCellStyle="Número"/>
    <tableColumn id="6" xr3:uid="{00000000-0010-0000-0000-000006000000}" name="PROTEÍNAS" dataDxfId="9" dataCellStyle="Número"/>
    <tableColumn id="7" xr3:uid="{00000000-0010-0000-0000-000007000000}" name="GRASAS" dataDxfId="8" dataCellStyle="Número"/>
    <tableColumn id="8" xr3:uid="{00000000-0010-0000-0000-000008000000}" name="NOTAS" dataDxfId="7"/>
  </tableColumns>
  <tableStyleInfo name="Dieta" showFirstColumn="0" showLastColumn="0" showRowStripes="1" showColumnStripes="0"/>
  <extLst>
    <ext xmlns:x14="http://schemas.microsoft.com/office/spreadsheetml/2009/9/main" uri="{504A1905-F514-4f6f-8877-14C23A59335A}">
      <x14:table altTextSummary="Escriba la información de la dieta, como fecha, hora, descripción, calorías, carbohidratos, proteínas, grasas y cualquier otra nota"/>
    </ext>
  </extLst>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jercicio" displayName="Ejercicio" ref="B3:E20" totalsRowShown="0" headerRowDxfId="6" dataDxfId="5">
  <autoFilter ref="B3:E20" xr:uid="{00000000-0009-0000-0100-000002000000}"/>
  <tableColumns count="4">
    <tableColumn id="1" xr3:uid="{00000000-0010-0000-0100-000001000000}" name="FECHA" dataDxfId="4" dataCellStyle="Fecha"/>
    <tableColumn id="2" xr3:uid="{00000000-0010-0000-0100-000002000000}" name="DURACIÓN (MÍN.)" dataDxfId="3" dataCellStyle="Número"/>
    <tableColumn id="3" xr3:uid="{00000000-0010-0000-0100-000003000000}" name="CALORÍAS QUEMADAS" dataDxfId="2" dataCellStyle="Número"/>
    <tableColumn id="4" xr3:uid="{00000000-0010-0000-0100-000004000000}" name="NOTAS" dataDxfId="1"/>
  </tableColumns>
  <tableStyleInfo name="Dieta" showFirstColumn="0" showLastColumn="0" showRowStripes="1" showColumnStripes="0"/>
  <extLst>
    <ext xmlns:x14="http://schemas.microsoft.com/office/spreadsheetml/2009/9/main" uri="{504A1905-F514-4f6f-8877-14C23A59335A}">
      <x14:table altTextSummary="Escriba información de los ejercicios, como fecha, duración, calorías quemadas y cualquier otra nota"/>
    </ext>
  </extLst>
</table>
</file>

<file path=xl/theme/theme11.xml><?xml version="1.0" encoding="utf-8"?>
<a:theme xmlns:a="http://schemas.openxmlformats.org/drawingml/2006/main" name="Office Theme">
  <a:themeElements>
    <a:clrScheme name="Diet and exercise journal">
      <a:dk1>
        <a:srgbClr val="000000"/>
      </a:dk1>
      <a:lt1>
        <a:srgbClr val="FFFFFF"/>
      </a:lt1>
      <a:dk2>
        <a:srgbClr val="284C5F"/>
      </a:dk2>
      <a:lt2>
        <a:srgbClr val="F0F0F0"/>
      </a:lt2>
      <a:accent1>
        <a:srgbClr val="90CF47"/>
      </a:accent1>
      <a:accent2>
        <a:srgbClr val="1EAA91"/>
      </a:accent2>
      <a:accent3>
        <a:srgbClr val="1E8496"/>
      </a:accent3>
      <a:accent4>
        <a:srgbClr val="AD639E"/>
      </a:accent4>
      <a:accent5>
        <a:srgbClr val="CF5539"/>
      </a:accent5>
      <a:accent6>
        <a:srgbClr val="E9A339"/>
      </a:accent6>
      <a:hlink>
        <a:srgbClr val="1E8496"/>
      </a:hlink>
      <a:folHlink>
        <a:srgbClr val="AD639E"/>
      </a:folHlink>
    </a:clrScheme>
    <a:fontScheme name="Arial Black-Arial">
      <a:majorFont>
        <a:latin typeface="Arial Black" panose="020B0A04020102020204"/>
        <a:ea typeface=""/>
        <a:cs typeface=""/>
        <a:font script="Jpan" typeface="ＭＳ ゴシック"/>
        <a:font script="Hang" typeface="굴림"/>
        <a:font script="Hans" typeface="微软雅黑"/>
        <a:font script="Hant" typeface="微軟正黑體"/>
        <a:font script="Arab" typeface="Tahoma"/>
        <a:font script="Hebr" typeface="Tahoma"/>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3.xml.rels>&#65279;<?xml version="1.0" encoding="utf-8"?><Relationships xmlns="http://schemas.openxmlformats.org/package/2006/relationships"><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12.x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21.x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s>
</file>

<file path=xl/worksheets/_rels/sheet44.xml.rels>&#65279;<?xml version="1.0" encoding="utf-8"?><Relationships xmlns="http://schemas.openxmlformats.org/package/2006/relationships"><Relationship Type="http://schemas.openxmlformats.org/officeDocument/2006/relationships/printerSettings" Target="/xl/printerSettings/printerSettings44.bin" Id="rId2" /><Relationship Type="http://schemas.openxmlformats.org/officeDocument/2006/relationships/externalLinkPath" Target="file:///C:\Users\ABC%20Work\Dropbox\Development\AccessibilityTask_Excel\21-30\TF04036851_Diet%20and%20exercise%20journal_MZM_v2.xltx" TargetMode="External"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pageSetUpPr autoPageBreaks="0" fitToPage="1"/>
  </sheetPr>
  <dimension ref="B1:K14"/>
  <sheetViews>
    <sheetView showGridLines="0" tabSelected="1" zoomScaleNormal="100" workbookViewId="0"/>
  </sheetViews>
  <sheetFormatPr baseColWidth="10" defaultColWidth="9" defaultRowHeight="14.25" x14ac:dyDescent="0.2"/>
  <cols>
    <col min="1" max="1" width="2.625" customWidth="1"/>
    <col min="2" max="2" width="25.875" style="33" customWidth="1"/>
    <col min="3" max="3" width="16.375" customWidth="1"/>
    <col min="4" max="9" width="10.375" customWidth="1"/>
    <col min="10" max="11" width="10.625" customWidth="1"/>
    <col min="12" max="12" width="2.625" customWidth="1"/>
  </cols>
  <sheetData>
    <row r="1" spans="2:11" ht="36.75" x14ac:dyDescent="0.7">
      <c r="B1" s="30">
        <f ca="1">TODAY()</f>
        <v>44902</v>
      </c>
      <c r="C1" s="23" t="s">
        <v>7</v>
      </c>
      <c r="D1" s="23"/>
      <c r="E1" s="23"/>
      <c r="F1" s="23"/>
      <c r="G1" s="23"/>
      <c r="H1" s="23"/>
      <c r="I1" s="23"/>
      <c r="J1" s="25" t="s">
        <v>11</v>
      </c>
      <c r="K1" s="25" t="s">
        <v>12</v>
      </c>
    </row>
    <row r="2" spans="2:11" ht="45" customHeight="1" x14ac:dyDescent="0.2">
      <c r="B2" s="29" t="s">
        <v>0</v>
      </c>
      <c r="C2" s="1" t="s">
        <v>8</v>
      </c>
    </row>
    <row r="3" spans="2:11" ht="30" customHeight="1" x14ac:dyDescent="0.5">
      <c r="B3" s="31">
        <f ca="1">StartDate+121</f>
        <v>45023</v>
      </c>
      <c r="C3" s="16" t="s">
        <v>9</v>
      </c>
      <c r="D3" s="16"/>
      <c r="E3" s="16"/>
      <c r="F3" s="16"/>
      <c r="G3" s="16"/>
      <c r="H3" s="16"/>
      <c r="I3" s="16"/>
      <c r="J3" s="16"/>
      <c r="K3" s="16"/>
    </row>
    <row r="4" spans="2:11" ht="45" customHeight="1" x14ac:dyDescent="0.2">
      <c r="B4" s="29" t="s">
        <v>1</v>
      </c>
    </row>
    <row r="5" spans="2:11" ht="36.75" customHeight="1" x14ac:dyDescent="0.5">
      <c r="B5" s="24">
        <v>220</v>
      </c>
    </row>
    <row r="6" spans="2:11" ht="45" customHeight="1" x14ac:dyDescent="0.2">
      <c r="B6" s="19" t="s">
        <v>2</v>
      </c>
    </row>
    <row r="7" spans="2:11" ht="36.75" customHeight="1" x14ac:dyDescent="0.5">
      <c r="B7" s="24">
        <v>180</v>
      </c>
      <c r="C7" s="16" t="s">
        <v>10</v>
      </c>
      <c r="D7" s="16"/>
      <c r="E7" s="16"/>
      <c r="F7" s="16"/>
      <c r="G7" s="16"/>
      <c r="H7" s="16"/>
      <c r="I7" s="16"/>
      <c r="J7" s="16"/>
      <c r="K7" s="16"/>
    </row>
    <row r="8" spans="2:11" ht="45" customHeight="1" x14ac:dyDescent="0.2">
      <c r="B8" s="19" t="s">
        <v>3</v>
      </c>
    </row>
    <row r="9" spans="2:11" ht="36.75" customHeight="1" x14ac:dyDescent="0.5">
      <c r="B9" s="32">
        <f>StartWeight-EndWeight</f>
        <v>40</v>
      </c>
    </row>
    <row r="10" spans="2:11" ht="45" customHeight="1" x14ac:dyDescent="0.2">
      <c r="B10" s="20" t="s">
        <v>4</v>
      </c>
    </row>
    <row r="11" spans="2:11" ht="36.75" customHeight="1" x14ac:dyDescent="0.5">
      <c r="B11" s="32">
        <f ca="1">EndDate-StartDate</f>
        <v>121</v>
      </c>
      <c r="J11" s="2"/>
      <c r="K11" s="2"/>
    </row>
    <row r="12" spans="2:11" ht="45" customHeight="1" x14ac:dyDescent="0.2">
      <c r="B12" s="20" t="s">
        <v>5</v>
      </c>
      <c r="J12" s="2"/>
      <c r="K12" s="2"/>
    </row>
    <row r="13" spans="2:11" ht="36.75" customHeight="1" x14ac:dyDescent="0.5">
      <c r="B13" s="22">
        <f ca="1">WeightGoal/B11</f>
        <v>0.3305785123966942</v>
      </c>
      <c r="J13" s="2"/>
      <c r="K13" s="2"/>
    </row>
    <row r="14" spans="2:11" ht="45" customHeight="1" x14ac:dyDescent="0.2">
      <c r="B14" s="20" t="s">
        <v>6</v>
      </c>
    </row>
  </sheetData>
  <dataValidations count="15">
    <dataValidation allowBlank="1" showInputMessage="1" showErrorMessage="1" prompt="Escriba la fecha de inicio en esta celda. Actualice la fecha de finalización, el peso inicial y el peso final deseado en las siguientes celdas. La pérdida de objetivo, los días para perder peso y la pérdida diaria se calculan automáticamente." sqref="B1" xr:uid="{00000000-0002-0000-0000-000000000000}"/>
    <dataValidation allowBlank="1" showInputMessage="1" showErrorMessage="1" prompt="Cree un diario de dieta y ejercicios en este libro. Escriba el peso inicial y el peso final deseado para calcular la pérdida de objetivo en esta hoja de cálculo. Los gráficos muestran los resultados de la dieta y los ejercicios." sqref="A1" xr:uid="{00000000-0002-0000-0000-000001000000}"/>
    <dataValidation allowBlank="1" showInputMessage="1" showErrorMessage="1" prompt="Escriba la fecha de finalización en esta celda" sqref="B3" xr:uid="{00000000-0002-0000-0000-000002000000}"/>
    <dataValidation allowBlank="1" showInputMessage="1" showErrorMessage="1" prompt="Escriba el peso inicial en esta celda." sqref="B5" xr:uid="{00000000-0002-0000-0000-000003000000}"/>
    <dataValidation allowBlank="1" showInputMessage="1" showErrorMessage="1" prompt="Escriba el peso final en esta celda." sqref="B7" xr:uid="{00000000-0002-0000-0000-000004000000}"/>
    <dataValidation allowBlank="1" showInputMessage="1" showErrorMessage="1" prompt="La pérdida objetivo se calcula automáticamente en esta celda." sqref="B9" xr:uid="{00000000-0002-0000-0000-000005000000}"/>
    <dataValidation allowBlank="1" showInputMessage="1" showErrorMessage="1" prompt="Los días para perder peso se calculan automáticamente en esta celda." sqref="B11" xr:uid="{00000000-0002-0000-0000-000006000000}"/>
    <dataValidation allowBlank="1" showInputMessage="1" showErrorMessage="1" prompt="La pérdida diaria se calcula automáticamente en esta celda" sqref="B13" xr:uid="{00000000-0002-0000-0000-000007000000}"/>
    <dataValidation allowBlank="1" showInputMessage="1" showErrorMessage="1" prompt="El título de esta hoja de cálculo se encuentra en esta celda. Seleccione la celda J1 para ir a la hoja de cálculo Ejercicio y la celda K1 para ir a la hoja de cálculo Dieta." sqref="C1" xr:uid="{00000000-0002-0000-0000-000008000000}"/>
    <dataValidation allowBlank="1" showInputMessage="1" showErrorMessage="1" prompt="Vínculo de navegación a la hoja de cálculo Ejercicio" sqref="J1" xr:uid="{00000000-0002-0000-0000-000009000000}"/>
    <dataValidation allowBlank="1" showInputMessage="1" showErrorMessage="1" prompt="Vínculo de navegación a la hoja de cálculo Dieta" sqref="K1" xr:uid="{00000000-0002-0000-0000-00000A000000}"/>
    <dataValidation allowBlank="1" showInputMessage="1" showErrorMessage="1" prompt="El análisis de dieta se basa en las entradas de la hoja de cálculo Dieta." sqref="C3" xr:uid="{00000000-0002-0000-0000-00000B000000}"/>
    <dataValidation allowBlank="1" showInputMessage="1" showErrorMessage="1" prompt="El análisis de ejercicios se basa en las entradas de la hoja de cálculo Ejercicio." sqref="C7" xr:uid="{00000000-0002-0000-0000-00000C000000}"/>
    <dataValidation allowBlank="1" showInputMessage="1" showErrorMessage="1" prompt="Un gráfico de barras apiladas denominado Análisis dietético se encuentra desde la celda C4 a la K7" sqref="C4" xr:uid="{00000000-0002-0000-0000-00000D000000}"/>
    <dataValidation allowBlank="1" showInputMessage="1" showErrorMessage="1" prompt="El subtítulo de esta hoja de cálculo se encuentra en esta celda. Un gráfico de Análisis dietético comienza en la celda C4. Un gráfico de Análisis de ejercicios comienza en la celda C9" sqref="C2" xr:uid="{00000000-0002-0000-0000-00000F000000}"/>
  </dataValidations>
  <hyperlinks>
    <hyperlink ref="J1" location="EJERCICIO!A1" tooltip="Seleccionar para ver la hoja de cálculo Ejercicio" display="Exercise" xr:uid="{00000000-0004-0000-0000-000000000000}"/>
    <hyperlink ref="K1" location="DIETA!A1" tooltip="Seleccionar para ver la hoja de cálculo Dieta" display="Diet" xr:uid="{00000000-0004-0000-0000-000001000000}"/>
  </hyperlinks>
  <printOptions horizontalCentered="1"/>
  <pageMargins left="0.4" right="0.4" top="0.4" bottom="0.4" header="0.3" footer="0.3"/>
  <pageSetup paperSize="9" scale="68"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499984740745262"/>
    <pageSetUpPr autoPageBreaks="0" fitToPage="1"/>
  </sheetPr>
  <dimension ref="B1:I19"/>
  <sheetViews>
    <sheetView showGridLines="0" workbookViewId="0"/>
  </sheetViews>
  <sheetFormatPr baseColWidth="10" defaultColWidth="9" defaultRowHeight="32.25" customHeight="1" x14ac:dyDescent="0.2"/>
  <cols>
    <col min="1" max="1" width="2.625" customWidth="1"/>
    <col min="2" max="2" width="15.625" customWidth="1"/>
    <col min="3" max="3" width="12.5" customWidth="1"/>
    <col min="4" max="4" width="17.25" customWidth="1"/>
    <col min="5" max="5" width="13.625" customWidth="1"/>
    <col min="6" max="6" width="19.375" customWidth="1"/>
    <col min="7" max="7" width="14.875" customWidth="1"/>
    <col min="8" max="8" width="12.625" customWidth="1"/>
    <col min="9" max="9" width="27.625" customWidth="1"/>
    <col min="10" max="10" width="2.625" customWidth="1"/>
  </cols>
  <sheetData>
    <row r="1" spans="2:9" ht="37.5" customHeight="1" x14ac:dyDescent="0.7">
      <c r="B1" s="23" t="s">
        <v>13</v>
      </c>
      <c r="C1" s="23"/>
      <c r="D1" s="23"/>
      <c r="E1" s="23"/>
      <c r="F1" s="23"/>
      <c r="G1" s="25" t="s">
        <v>24</v>
      </c>
      <c r="H1" s="25" t="s">
        <v>11</v>
      </c>
      <c r="I1" s="23"/>
    </row>
    <row r="2" spans="2:9" ht="35.25" customHeight="1" x14ac:dyDescent="0.2">
      <c r="B2" s="14" t="str">
        <f>Subtítulo</f>
        <v>DIARIO DE DIETA Y EJERCICIOS</v>
      </c>
      <c r="C2" s="1"/>
      <c r="D2" s="1"/>
      <c r="E2" s="1"/>
      <c r="F2" s="1"/>
      <c r="G2" s="1"/>
      <c r="H2" s="1"/>
      <c r="I2" s="1"/>
    </row>
    <row r="3" spans="2:9" ht="21" customHeight="1" x14ac:dyDescent="0.2">
      <c r="B3" s="11" t="s">
        <v>14</v>
      </c>
      <c r="C3" s="38" t="s">
        <v>15</v>
      </c>
      <c r="D3" s="12" t="s">
        <v>16</v>
      </c>
      <c r="E3" s="13" t="s">
        <v>22</v>
      </c>
      <c r="F3" s="13" t="s">
        <v>23</v>
      </c>
      <c r="G3" s="13" t="s">
        <v>25</v>
      </c>
      <c r="H3" s="13" t="s">
        <v>26</v>
      </c>
      <c r="I3" s="12" t="s">
        <v>27</v>
      </c>
    </row>
    <row r="4" spans="2:9" ht="32.25" customHeight="1" x14ac:dyDescent="0.2">
      <c r="B4" s="17">
        <f ca="1">StartDate</f>
        <v>44902</v>
      </c>
      <c r="C4" s="35">
        <v>0.2916666666666667</v>
      </c>
      <c r="D4" s="9" t="s">
        <v>17</v>
      </c>
      <c r="E4" s="21">
        <v>1</v>
      </c>
      <c r="F4" s="21">
        <v>0</v>
      </c>
      <c r="G4" s="21">
        <v>0</v>
      </c>
      <c r="H4" s="21">
        <v>0</v>
      </c>
      <c r="I4" s="9" t="s">
        <v>28</v>
      </c>
    </row>
    <row r="5" spans="2:9" ht="32.25" customHeight="1" x14ac:dyDescent="0.2">
      <c r="B5" s="17">
        <f ca="1">StartDate</f>
        <v>44902</v>
      </c>
      <c r="C5" s="35">
        <v>0.3333333333333333</v>
      </c>
      <c r="D5" s="9" t="s">
        <v>18</v>
      </c>
      <c r="E5" s="21">
        <v>10</v>
      </c>
      <c r="F5" s="21">
        <v>10</v>
      </c>
      <c r="G5" s="21">
        <v>2</v>
      </c>
      <c r="H5" s="21">
        <v>10</v>
      </c>
      <c r="I5" s="9" t="s">
        <v>29</v>
      </c>
    </row>
    <row r="6" spans="2:9" ht="32.25" customHeight="1" x14ac:dyDescent="0.2">
      <c r="B6" s="17">
        <f ca="1">StartDate</f>
        <v>44902</v>
      </c>
      <c r="C6" s="35">
        <v>0.5</v>
      </c>
      <c r="D6" s="9" t="s">
        <v>19</v>
      </c>
      <c r="E6" s="21">
        <v>283</v>
      </c>
      <c r="F6" s="21">
        <v>46</v>
      </c>
      <c r="G6" s="21">
        <v>18</v>
      </c>
      <c r="H6" s="21">
        <v>3.5</v>
      </c>
      <c r="I6" s="9" t="s">
        <v>30</v>
      </c>
    </row>
    <row r="7" spans="2:9" ht="32.25" customHeight="1" x14ac:dyDescent="0.2">
      <c r="B7" s="17">
        <f ca="1">StartDate</f>
        <v>44902</v>
      </c>
      <c r="C7" s="35">
        <v>0.7916666666666666</v>
      </c>
      <c r="D7" s="9" t="s">
        <v>20</v>
      </c>
      <c r="E7" s="21">
        <v>500</v>
      </c>
      <c r="F7" s="21">
        <v>42</v>
      </c>
      <c r="G7" s="21">
        <v>35</v>
      </c>
      <c r="H7" s="21">
        <v>25</v>
      </c>
      <c r="I7" s="9" t="s">
        <v>31</v>
      </c>
    </row>
    <row r="8" spans="2:9" ht="32.25" customHeight="1" x14ac:dyDescent="0.2">
      <c r="B8" s="17">
        <f ca="1">StartDate+1</f>
        <v>44903</v>
      </c>
      <c r="C8" s="35">
        <v>0.2916666666666667</v>
      </c>
      <c r="D8" s="9" t="s">
        <v>17</v>
      </c>
      <c r="E8" s="21">
        <v>1</v>
      </c>
      <c r="F8" s="21">
        <v>0</v>
      </c>
      <c r="G8" s="21">
        <v>0</v>
      </c>
      <c r="H8" s="21">
        <v>0</v>
      </c>
      <c r="I8" s="9" t="s">
        <v>28</v>
      </c>
    </row>
    <row r="9" spans="2:9" ht="32.25" customHeight="1" x14ac:dyDescent="0.2">
      <c r="B9" s="17">
        <f ca="1">StartDate+1</f>
        <v>44903</v>
      </c>
      <c r="C9" s="35">
        <v>0.3333333333333333</v>
      </c>
      <c r="D9" s="9" t="s">
        <v>21</v>
      </c>
      <c r="E9" s="21">
        <v>10</v>
      </c>
      <c r="F9" s="21">
        <v>10</v>
      </c>
      <c r="G9" s="21">
        <v>2</v>
      </c>
      <c r="H9" s="21">
        <v>10</v>
      </c>
      <c r="I9" s="9" t="s">
        <v>29</v>
      </c>
    </row>
    <row r="10" spans="2:9" ht="32.25" customHeight="1" x14ac:dyDescent="0.2">
      <c r="B10" s="17">
        <f ca="1">StartDate+1</f>
        <v>44903</v>
      </c>
      <c r="C10" s="35">
        <v>0.5</v>
      </c>
      <c r="D10" s="9" t="s">
        <v>19</v>
      </c>
      <c r="E10" s="21">
        <v>189</v>
      </c>
      <c r="F10" s="21">
        <v>26</v>
      </c>
      <c r="G10" s="21">
        <v>3</v>
      </c>
      <c r="H10" s="21">
        <v>8</v>
      </c>
      <c r="I10" s="9" t="s">
        <v>32</v>
      </c>
    </row>
    <row r="11" spans="2:9" ht="32.25" customHeight="1" x14ac:dyDescent="0.2">
      <c r="B11" s="17">
        <f ca="1">StartDate+1</f>
        <v>44903</v>
      </c>
      <c r="C11" s="35">
        <v>0.7916666666666666</v>
      </c>
      <c r="D11" s="9" t="s">
        <v>20</v>
      </c>
      <c r="E11" s="21">
        <v>477</v>
      </c>
      <c r="F11" s="21">
        <v>62</v>
      </c>
      <c r="G11" s="21">
        <v>13.5</v>
      </c>
      <c r="H11" s="21">
        <v>21</v>
      </c>
      <c r="I11" s="9" t="s">
        <v>20</v>
      </c>
    </row>
    <row r="12" spans="2:9" ht="32.25" customHeight="1" x14ac:dyDescent="0.2">
      <c r="B12" s="17">
        <f ca="1">StartDate+2</f>
        <v>44904</v>
      </c>
      <c r="C12" s="35">
        <v>0.2916666666666667</v>
      </c>
      <c r="D12" s="9" t="s">
        <v>17</v>
      </c>
      <c r="E12" s="21">
        <v>1</v>
      </c>
      <c r="F12" s="21">
        <v>0</v>
      </c>
      <c r="G12" s="21">
        <v>0</v>
      </c>
      <c r="H12" s="21">
        <v>0</v>
      </c>
      <c r="I12" s="9" t="s">
        <v>28</v>
      </c>
    </row>
    <row r="13" spans="2:9" ht="32.25" customHeight="1" x14ac:dyDescent="0.2">
      <c r="B13" s="17">
        <f ca="1">StartDate+2</f>
        <v>44904</v>
      </c>
      <c r="C13" s="35">
        <v>0.3333333333333333</v>
      </c>
      <c r="D13" s="9" t="s">
        <v>18</v>
      </c>
      <c r="E13" s="21">
        <v>245</v>
      </c>
      <c r="F13" s="21">
        <v>48</v>
      </c>
      <c r="G13" s="21">
        <v>10</v>
      </c>
      <c r="H13" s="21">
        <v>1.5</v>
      </c>
      <c r="I13" s="9" t="s">
        <v>29</v>
      </c>
    </row>
    <row r="14" spans="2:9" ht="32.25" customHeight="1" x14ac:dyDescent="0.2">
      <c r="B14" s="17">
        <f ca="1">StartDate+2</f>
        <v>44904</v>
      </c>
      <c r="C14" s="35">
        <v>0.5</v>
      </c>
      <c r="D14" s="9" t="s">
        <v>19</v>
      </c>
      <c r="E14" s="21">
        <v>247</v>
      </c>
      <c r="F14" s="21">
        <v>11</v>
      </c>
      <c r="G14" s="21">
        <v>43</v>
      </c>
      <c r="H14" s="21">
        <v>5</v>
      </c>
      <c r="I14" s="9" t="s">
        <v>33</v>
      </c>
    </row>
    <row r="15" spans="2:9" ht="32.25" customHeight="1" x14ac:dyDescent="0.2">
      <c r="B15" s="17">
        <f ca="1">StartDate+2</f>
        <v>44904</v>
      </c>
      <c r="C15" s="35">
        <v>0.7916666666666666</v>
      </c>
      <c r="D15" s="9" t="s">
        <v>20</v>
      </c>
      <c r="E15" s="21">
        <v>456</v>
      </c>
      <c r="F15" s="21">
        <v>64</v>
      </c>
      <c r="G15" s="21">
        <v>32</v>
      </c>
      <c r="H15" s="21">
        <v>22</v>
      </c>
      <c r="I15" s="9" t="s">
        <v>20</v>
      </c>
    </row>
    <row r="16" spans="2:9" ht="32.25" customHeight="1" x14ac:dyDescent="0.2">
      <c r="B16" s="18">
        <f ca="1">StartDate+3</f>
        <v>44905</v>
      </c>
      <c r="C16" s="36">
        <v>0.2916666666666667</v>
      </c>
      <c r="D16" s="9" t="s">
        <v>21</v>
      </c>
      <c r="E16" s="21">
        <v>10</v>
      </c>
      <c r="F16" s="21">
        <v>10</v>
      </c>
      <c r="G16" s="21">
        <v>2</v>
      </c>
      <c r="H16" s="21">
        <v>10</v>
      </c>
      <c r="I16" s="9" t="s">
        <v>29</v>
      </c>
    </row>
    <row r="17" spans="2:9" ht="32.25" customHeight="1" x14ac:dyDescent="0.2">
      <c r="B17" s="18">
        <f ca="1">StartDate+3</f>
        <v>44905</v>
      </c>
      <c r="C17" s="36">
        <v>0.4166666666666667</v>
      </c>
      <c r="D17" t="s">
        <v>17</v>
      </c>
      <c r="E17" s="21">
        <v>135</v>
      </c>
      <c r="F17" s="21">
        <v>12.36</v>
      </c>
      <c r="G17" s="21">
        <v>8.81</v>
      </c>
      <c r="H17" s="21">
        <v>5.51</v>
      </c>
      <c r="I17" t="s">
        <v>34</v>
      </c>
    </row>
    <row r="18" spans="2:9" ht="32.25" customHeight="1" x14ac:dyDescent="0.2">
      <c r="B18" s="18">
        <f ca="1">StartDate+3</f>
        <v>44905</v>
      </c>
      <c r="C18" s="36">
        <v>0.5104166666666666</v>
      </c>
      <c r="D18" t="s">
        <v>19</v>
      </c>
      <c r="E18" s="21">
        <v>184</v>
      </c>
      <c r="F18" s="21">
        <v>7</v>
      </c>
      <c r="G18" s="21">
        <v>5.43</v>
      </c>
      <c r="H18" s="21">
        <v>15</v>
      </c>
      <c r="I18" t="s">
        <v>33</v>
      </c>
    </row>
    <row r="19" spans="2:9" ht="32.25" customHeight="1" x14ac:dyDescent="0.2">
      <c r="B19" s="17">
        <f ca="1">StartDate+5</f>
        <v>44907</v>
      </c>
      <c r="C19" s="36">
        <v>0.7916666666666666</v>
      </c>
      <c r="D19" s="9" t="s">
        <v>20</v>
      </c>
      <c r="E19" s="21">
        <v>477</v>
      </c>
      <c r="F19" s="21">
        <v>62</v>
      </c>
      <c r="G19" s="21">
        <v>13.5</v>
      </c>
      <c r="H19" s="21">
        <v>21</v>
      </c>
      <c r="I19" s="9" t="s">
        <v>20</v>
      </c>
    </row>
  </sheetData>
  <dataValidations count="13">
    <dataValidation allowBlank="1" showInputMessage="1" showErrorMessage="1" prompt="Vínculo de navegación a la hoja de cálculo Objetivos" sqref="G1" xr:uid="{00000000-0002-0000-0100-000000000000}"/>
    <dataValidation allowBlank="1" showInputMessage="1" showErrorMessage="1" prompt="Vínculo de navegación a la hoja de cálculo Ejercicio" sqref="H1" xr:uid="{00000000-0002-0000-0100-000001000000}"/>
    <dataValidation allowBlank="1" showInputMessage="1" showErrorMessage="1" prompt="Escriba la fecha en esta columna, debajo de este encabezado. Use los filtros de encabezado para buscar entradas específicas" sqref="B3" xr:uid="{00000000-0002-0000-0100-000002000000}"/>
    <dataValidation allowBlank="1" showInputMessage="1" showErrorMessage="1" prompt="Escriba la hora en esta columna, debajo de este encabezado" sqref="C3" xr:uid="{00000000-0002-0000-0100-000003000000}"/>
    <dataValidation allowBlank="1" showInputMessage="1" showErrorMessage="1" prompt="Escriba la descripción, como desayuno, comida y cena, en la columna con este encabezado." sqref="D3" xr:uid="{00000000-0002-0000-0100-000004000000}"/>
    <dataValidation allowBlank="1" showInputMessage="1" showErrorMessage="1" prompt="Escriba el total de calorías en la columna con este encabezado." sqref="E3" xr:uid="{00000000-0002-0000-0100-000005000000}"/>
    <dataValidation allowBlank="1" showInputMessage="1" showErrorMessage="1" prompt="Escriba el total de carbohidratos en la columna con este encabezado." sqref="F3" xr:uid="{00000000-0002-0000-0100-000006000000}"/>
    <dataValidation allowBlank="1" showInputMessage="1" showErrorMessage="1" prompt="Escriba el total de proteínas en la columna con este encabezado." sqref="G3" xr:uid="{00000000-0002-0000-0100-000007000000}"/>
    <dataValidation allowBlank="1" showInputMessage="1" showErrorMessage="1" prompt="Escriba el total de grasas en la columna con este encabezado." sqref="H3" xr:uid="{00000000-0002-0000-0100-000008000000}"/>
    <dataValidation allowBlank="1" showInputMessage="1" showErrorMessage="1" prompt="Escriba notas en esta columna, debajo de este encabezado" sqref="I3" xr:uid="{00000000-0002-0000-0100-000009000000}"/>
    <dataValidation allowBlank="1" showInputMessage="1" showErrorMessage="1" prompt="Realice el seguimiento de la dieta en esta hoja de cálculo. Escriba la información de la dieta en la tabla Dieta. La información de las dos últimas semanas se mostrará en el gráfico Análisis dietético de la hoja de cálculo Objetivos" sqref="A1" xr:uid="{00000000-0002-0000-0100-00000A000000}"/>
    <dataValidation allowBlank="1" showInputMessage="1" showErrorMessage="1" prompt="El título de esta hoja de cálculo ocupa esta celda. Seleccione la celda G1 para ir a la hoja de cálculo Objetivos y la celda H1 para ir a la hoja de cálculo Ejercicio." sqref="B1" xr:uid="{00000000-0002-0000-0100-00000B000000}"/>
    <dataValidation allowBlank="1" showInputMessage="1" showErrorMessage="1" prompt="El subtítulo de esta hoja de cálculo se encuentra en esta celda. Escriba los detalles de la dieta en la siguiente tabla" sqref="B2" xr:uid="{00000000-0002-0000-0100-00000C000000}"/>
  </dataValidations>
  <hyperlinks>
    <hyperlink ref="G1" location="OBJETIVOS!A1" tooltip="Seleccionar para ver la hoja de cálculo Objetivos" display="Goals" xr:uid="{00000000-0004-0000-0100-000000000000}"/>
    <hyperlink ref="H1" location="EJERCICIO!A1" tooltip="Seleccionar para ver la hoja de cálculo Ejercicio" display="Exercise" xr:uid="{00000000-0004-0000-0100-000001000000}"/>
  </hyperlinks>
  <printOptions horizontalCentered="1"/>
  <pageMargins left="0.4" right="0.4" top="0.4" bottom="0.4" header="0.3" footer="0.3"/>
  <pageSetup paperSize="9" fitToHeight="0" orientation="portrait" r:id="rId1"/>
  <headerFooter differentFirst="1">
    <oddFooter>Page &amp;P of &amp;N</oddFooter>
  </headerFooter>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6" tint="-0.499984740745262"/>
    <pageSetUpPr autoPageBreaks="0" fitToPage="1"/>
  </sheetPr>
  <dimension ref="A1:G20"/>
  <sheetViews>
    <sheetView showGridLines="0" workbookViewId="0"/>
  </sheetViews>
  <sheetFormatPr baseColWidth="10" defaultColWidth="9" defaultRowHeight="32.25" customHeight="1" x14ac:dyDescent="0.2"/>
  <cols>
    <col min="1" max="1" width="2.625" style="10" customWidth="1"/>
    <col min="2" max="2" width="13.75" style="10" customWidth="1"/>
    <col min="3" max="3" width="20.875" style="10" customWidth="1"/>
    <col min="4" max="4" width="23" style="10" customWidth="1"/>
    <col min="5" max="5" width="36.75" style="10" customWidth="1"/>
    <col min="6" max="7" width="12.625" style="10" customWidth="1"/>
    <col min="8" max="16384" width="9" style="10"/>
  </cols>
  <sheetData>
    <row r="1" spans="1:7" customFormat="1" ht="37.5" customHeight="1" x14ac:dyDescent="0.7">
      <c r="A1" s="34"/>
      <c r="B1" s="23" t="s">
        <v>35</v>
      </c>
      <c r="C1" s="23"/>
      <c r="D1" s="23"/>
      <c r="E1" s="23"/>
      <c r="F1" s="25" t="s">
        <v>12</v>
      </c>
      <c r="G1" s="25" t="s">
        <v>24</v>
      </c>
    </row>
    <row r="2" spans="1:7" customFormat="1" ht="35.25" customHeight="1" x14ac:dyDescent="0.2">
      <c r="B2" s="14" t="str">
        <f>Subtítulo</f>
        <v>DIARIO DE DIETA Y EJERCICIOS</v>
      </c>
      <c r="F2" s="10"/>
      <c r="G2" s="10"/>
    </row>
    <row r="3" spans="1:7" ht="21" customHeight="1" x14ac:dyDescent="0.2">
      <c r="B3" s="26" t="s">
        <v>14</v>
      </c>
      <c r="C3" s="27" t="s">
        <v>36</v>
      </c>
      <c r="D3" s="27" t="s">
        <v>37</v>
      </c>
      <c r="E3" s="28" t="s">
        <v>27</v>
      </c>
    </row>
    <row r="4" spans="1:7" ht="32.25" customHeight="1" x14ac:dyDescent="0.2">
      <c r="B4" s="17">
        <f ca="1">StartDate+4</f>
        <v>44906</v>
      </c>
      <c r="C4" s="21">
        <v>30</v>
      </c>
      <c r="D4" s="21">
        <v>120</v>
      </c>
      <c r="E4" s="9" t="s">
        <v>38</v>
      </c>
    </row>
    <row r="5" spans="1:7" ht="32.25" customHeight="1" x14ac:dyDescent="0.2">
      <c r="B5" s="17">
        <f ca="1">B4+1</f>
        <v>44907</v>
      </c>
      <c r="C5" s="21">
        <v>60</v>
      </c>
      <c r="D5" s="21">
        <v>180</v>
      </c>
      <c r="E5" s="9" t="s">
        <v>39</v>
      </c>
    </row>
    <row r="6" spans="1:7" ht="32.25" customHeight="1" x14ac:dyDescent="0.2">
      <c r="B6" s="17">
        <f t="shared" ref="B6:B20" ca="1" si="0">B5+1</f>
        <v>44908</v>
      </c>
      <c r="C6" s="21">
        <v>60</v>
      </c>
      <c r="D6" s="21">
        <v>350</v>
      </c>
      <c r="E6" s="9" t="s">
        <v>40</v>
      </c>
    </row>
    <row r="7" spans="1:7" ht="32.25" customHeight="1" x14ac:dyDescent="0.2">
      <c r="B7" s="17">
        <f t="shared" ca="1" si="0"/>
        <v>44909</v>
      </c>
      <c r="C7" s="21">
        <v>30</v>
      </c>
      <c r="D7" s="21">
        <v>150</v>
      </c>
      <c r="E7" s="9" t="s">
        <v>38</v>
      </c>
    </row>
    <row r="8" spans="1:7" ht="32.25" customHeight="1" x14ac:dyDescent="0.2">
      <c r="B8" s="17">
        <f t="shared" ca="1" si="0"/>
        <v>44910</v>
      </c>
      <c r="C8" s="21">
        <v>25</v>
      </c>
      <c r="D8" s="21">
        <v>125</v>
      </c>
      <c r="E8" s="9" t="s">
        <v>41</v>
      </c>
    </row>
    <row r="9" spans="1:7" ht="32.25" customHeight="1" x14ac:dyDescent="0.2">
      <c r="B9" s="17">
        <f t="shared" ca="1" si="0"/>
        <v>44911</v>
      </c>
      <c r="C9" s="21">
        <v>20</v>
      </c>
      <c r="D9" s="21">
        <v>285</v>
      </c>
      <c r="E9" s="9" t="s">
        <v>38</v>
      </c>
    </row>
    <row r="10" spans="1:7" ht="32.25" customHeight="1" x14ac:dyDescent="0.2">
      <c r="B10" s="17">
        <f t="shared" ca="1" si="0"/>
        <v>44912</v>
      </c>
      <c r="C10" s="21">
        <v>40</v>
      </c>
      <c r="D10" s="21">
        <v>205</v>
      </c>
      <c r="E10" s="9" t="s">
        <v>41</v>
      </c>
    </row>
    <row r="11" spans="1:7" ht="32.25" customHeight="1" x14ac:dyDescent="0.2">
      <c r="B11" s="17">
        <f t="shared" ca="1" si="0"/>
        <v>44913</v>
      </c>
      <c r="C11" s="21">
        <v>30</v>
      </c>
      <c r="D11" s="21">
        <v>335</v>
      </c>
      <c r="E11" s="9" t="s">
        <v>41</v>
      </c>
    </row>
    <row r="12" spans="1:7" ht="32.25" customHeight="1" x14ac:dyDescent="0.2">
      <c r="B12" s="17">
        <f t="shared" ca="1" si="0"/>
        <v>44914</v>
      </c>
      <c r="C12" s="21">
        <v>40</v>
      </c>
      <c r="D12" s="21">
        <v>175</v>
      </c>
      <c r="E12" s="9" t="s">
        <v>41</v>
      </c>
    </row>
    <row r="13" spans="1:7" ht="32.25" customHeight="1" x14ac:dyDescent="0.2">
      <c r="B13" s="17">
        <f t="shared" ca="1" si="0"/>
        <v>44915</v>
      </c>
      <c r="C13" s="21">
        <v>45</v>
      </c>
      <c r="D13" s="21">
        <v>325</v>
      </c>
      <c r="E13" s="9" t="s">
        <v>38</v>
      </c>
    </row>
    <row r="14" spans="1:7" ht="32.25" customHeight="1" x14ac:dyDescent="0.2">
      <c r="B14" s="17">
        <f t="shared" ca="1" si="0"/>
        <v>44916</v>
      </c>
      <c r="C14" s="21">
        <v>40</v>
      </c>
      <c r="D14" s="21">
        <v>270</v>
      </c>
      <c r="E14" s="9" t="s">
        <v>41</v>
      </c>
    </row>
    <row r="15" spans="1:7" ht="32.25" customHeight="1" x14ac:dyDescent="0.2">
      <c r="B15" s="17">
        <f t="shared" ca="1" si="0"/>
        <v>44917</v>
      </c>
      <c r="C15" s="21">
        <v>20</v>
      </c>
      <c r="D15" s="21">
        <v>295</v>
      </c>
      <c r="E15" s="9" t="s">
        <v>38</v>
      </c>
    </row>
    <row r="16" spans="1:7" ht="32.25" customHeight="1" x14ac:dyDescent="0.2">
      <c r="B16" s="17">
        <f t="shared" ca="1" si="0"/>
        <v>44918</v>
      </c>
      <c r="C16" s="21">
        <v>45</v>
      </c>
      <c r="D16" s="21">
        <v>350</v>
      </c>
      <c r="E16" s="9" t="s">
        <v>41</v>
      </c>
    </row>
    <row r="17" spans="2:5" ht="32.25" customHeight="1" x14ac:dyDescent="0.2">
      <c r="B17" s="17">
        <f t="shared" ca="1" si="0"/>
        <v>44919</v>
      </c>
      <c r="C17" s="21">
        <v>35</v>
      </c>
      <c r="D17" s="21">
        <v>320</v>
      </c>
      <c r="E17" s="9" t="s">
        <v>41</v>
      </c>
    </row>
    <row r="18" spans="2:5" ht="32.25" customHeight="1" x14ac:dyDescent="0.2">
      <c r="B18" s="17">
        <f t="shared" ca="1" si="0"/>
        <v>44920</v>
      </c>
      <c r="C18" s="21">
        <v>40</v>
      </c>
      <c r="D18" s="21">
        <v>290</v>
      </c>
      <c r="E18" s="9" t="s">
        <v>41</v>
      </c>
    </row>
    <row r="19" spans="2:5" ht="32.25" customHeight="1" x14ac:dyDescent="0.2">
      <c r="B19" s="17">
        <f ca="1">B18+1</f>
        <v>44921</v>
      </c>
      <c r="C19" s="21">
        <v>25</v>
      </c>
      <c r="D19" s="21">
        <v>265</v>
      </c>
      <c r="E19" s="9" t="s">
        <v>38</v>
      </c>
    </row>
    <row r="20" spans="2:5" ht="32.25" customHeight="1" x14ac:dyDescent="0.2">
      <c r="B20" s="17">
        <f t="shared" ca="1" si="0"/>
        <v>44922</v>
      </c>
      <c r="C20" s="21">
        <v>20</v>
      </c>
      <c r="D20" s="21">
        <v>195</v>
      </c>
      <c r="E20" s="9" t="s">
        <v>41</v>
      </c>
    </row>
  </sheetData>
  <dataValidations count="9">
    <dataValidation allowBlank="1" showInputMessage="1" showErrorMessage="1" prompt="Realice el seguimiento de los ejercicios con esta hoja de cálculo. Escriba la información de los ejercicios en la tabla Ejercicio. La información de las dos últimas semanas se mostrará en el gráfico Análisis de ejercicios de la hoja de cálculo Objetivos" sqref="A1" xr:uid="{00000000-0002-0000-0200-000000000000}"/>
    <dataValidation allowBlank="1" showInputMessage="1" showErrorMessage="1" prompt="El título de esta hoja de cálculo se encuentra en esta celda. Seleccione la celda F1 para ir a la hoja de cálculo Dieta y la celda G1 para ir a la hoja de cálculo Objetivos" sqref="B1" xr:uid="{00000000-0002-0000-0200-000001000000}"/>
    <dataValidation allowBlank="1" showInputMessage="1" showErrorMessage="1" prompt="El subtítulo de esta hoja de cálculo se encuentra en esta celda. Escriba los detalles del ejercicio en la siguiente tabla" sqref="B2" xr:uid="{00000000-0002-0000-0200-000002000000}"/>
    <dataValidation allowBlank="1" showInputMessage="1" showErrorMessage="1" prompt="Vínculo de navegación a la hoja de cálculo Dieta" sqref="F1" xr:uid="{00000000-0002-0000-0200-000003000000}"/>
    <dataValidation allowBlank="1" showInputMessage="1" showErrorMessage="1" prompt="Vínculo de navegación a la hoja de cálculo Objetivos" sqref="G1" xr:uid="{00000000-0002-0000-0200-000004000000}"/>
    <dataValidation allowBlank="1" showInputMessage="1" showErrorMessage="1" prompt="Escriba la fecha en esta columna, debajo de este encabezado. Use los filtros de encabezado para buscar entradas específicas. " sqref="B3" xr:uid="{00000000-0002-0000-0200-000005000000}"/>
    <dataValidation allowBlank="1" showInputMessage="1" showErrorMessage="1" prompt="Escriba la duración en minutos en esta columna debajo de este encabezado" sqref="C3" xr:uid="{00000000-0002-0000-0200-000006000000}"/>
    <dataValidation allowBlank="1" showInputMessage="1" showErrorMessage="1" prompt="Escriba las calorías quemadas en la columna con este encabezado." sqref="D3" xr:uid="{00000000-0002-0000-0200-000007000000}"/>
    <dataValidation allowBlank="1" showInputMessage="1" showErrorMessage="1" prompt="Escriba notas en esta columna, debajo de este encabezado" sqref="E3" xr:uid="{00000000-0002-0000-0200-000008000000}"/>
  </dataValidations>
  <hyperlinks>
    <hyperlink ref="F1" location="DIETA!A1" tooltip="Seleccionar para ver la hoja de cálculo Dieta" display="Diet" xr:uid="{00000000-0004-0000-0200-000000000000}"/>
    <hyperlink ref="G1" location="OBJETIVOS!A1" tooltip="Seleccionar para ver la hoja de cálculo Objetivos" display="Goals" xr:uid="{00000000-0004-0000-0200-000001000000}"/>
  </hyperlinks>
  <printOptions horizontalCentered="1"/>
  <pageMargins left="0.4" right="0.4" top="0.4" bottom="0.4" header="0.3" footer="0.3"/>
  <pageSetup paperSize="9" fitToHeight="0" orientation="portrait" r:id="rId1"/>
  <headerFooter differentFirst="1">
    <oddFooter>Page &amp;P of &amp;N</oddFooter>
  </headerFooter>
  <drawing r:id="rId2"/>
  <tableParts count="1">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B2:J36"/>
  <sheetViews>
    <sheetView showGridLines="0" workbookViewId="0">
      <selection activeCell="K20" sqref="K20"/>
    </sheetView>
  </sheetViews>
  <sheetFormatPr baseColWidth="10" defaultColWidth="9" defaultRowHeight="14.25" x14ac:dyDescent="0.2"/>
  <cols>
    <col min="1" max="1" width="1.625" customWidth="1"/>
    <col min="2" max="2" width="23.125" customWidth="1"/>
    <col min="3" max="3" width="2.875" customWidth="1"/>
    <col min="4" max="4" width="8.625" customWidth="1"/>
    <col min="5" max="5" width="4.625" customWidth="1"/>
    <col min="6" max="6" width="17.125" customWidth="1"/>
    <col min="7" max="7" width="21.875" customWidth="1"/>
    <col min="8" max="8" width="18.125" customWidth="1"/>
    <col min="9" max="9" width="10.375" customWidth="1"/>
    <col min="10" max="10" width="4.875" customWidth="1"/>
  </cols>
  <sheetData>
    <row r="2" spans="2:10" ht="27" x14ac:dyDescent="0.5">
      <c r="B2" s="37" t="s">
        <v>42</v>
      </c>
      <c r="C2" s="37"/>
      <c r="D2" s="37"/>
      <c r="E2" s="37"/>
      <c r="F2" s="37"/>
      <c r="G2" s="37"/>
      <c r="H2" s="37"/>
      <c r="I2" s="37"/>
      <c r="J2" s="37"/>
    </row>
    <row r="4" spans="2:10" ht="15" x14ac:dyDescent="0.2">
      <c r="B4" s="8" t="s">
        <v>43</v>
      </c>
      <c r="C4" s="8">
        <f>ROW(Dieta[[#Headers],[FECHA]])+1</f>
        <v>4</v>
      </c>
      <c r="D4" s="4" t="s">
        <v>14</v>
      </c>
      <c r="E4" s="4" t="s">
        <v>47</v>
      </c>
      <c r="F4" s="4" t="s">
        <v>26</v>
      </c>
      <c r="G4" s="4" t="s">
        <v>25</v>
      </c>
      <c r="H4" s="4" t="s">
        <v>23</v>
      </c>
      <c r="I4" s="4" t="s">
        <v>22</v>
      </c>
      <c r="J4" s="4" t="s">
        <v>48</v>
      </c>
    </row>
    <row r="5" spans="2:10" x14ac:dyDescent="0.2">
      <c r="B5" s="8" t="s">
        <v>44</v>
      </c>
      <c r="C5" s="8">
        <f ca="1">MATCH(9.99E+307,Dieta[FECHA])+DietRowStart-1</f>
        <v>19</v>
      </c>
      <c r="D5" s="5">
        <f ca="1">IFERROR(IF(INDEX(Dieta[],DietLastEnd-DietRowStart-J5,1)&lt;&gt;"",INDEX(Dieta[],DietLastEnd-DietRowStart-J5,1),""),"")</f>
        <v>44902</v>
      </c>
      <c r="E5" s="6" t="str">
        <f t="shared" ref="E5:E18" ca="1" si="0">UPPER(TEXT(D5,"DDD"))</f>
        <v>MI</v>
      </c>
      <c r="F5" s="6">
        <f ca="1">IFERROR((IF(INDEX(Dieta[],DietLastEnd-DietRowStart-J5,1)&lt;&gt;"",INDEX(Dieta[],DietLastEnd-DietRowStart-J5,7),NA())),NA())</f>
        <v>3.5</v>
      </c>
      <c r="G5" s="6">
        <f ca="1">IFERROR((IF(INDEX(Dieta[],DietLastEnd-DietRowStart-J5,1)&lt;&gt;"",INDEX(Dieta[],DietLastEnd-DietRowStart-J5,6),NA())),NA())</f>
        <v>18</v>
      </c>
      <c r="H5" s="6">
        <f ca="1">IFERROR((IF(INDEX(Dieta[],DietLastEnd-DietRowStart-J5,1)&lt;&gt;"",INDEX(Dieta[],DietLastEnd-DietRowStart-J5,5),NA())),NA())</f>
        <v>46</v>
      </c>
      <c r="I5" s="6">
        <f ca="1">IFERROR((IF(INDEX(Dieta[],DietLastEnd-DietRowStart-J5,1)&lt;&gt;"",INDEX(Dieta[],DietLastEnd-DietRowStart-J5,4),NA())),NA())</f>
        <v>283</v>
      </c>
      <c r="J5" s="6">
        <v>12</v>
      </c>
    </row>
    <row r="6" spans="2:10" x14ac:dyDescent="0.2">
      <c r="B6" s="3"/>
      <c r="C6" s="3"/>
      <c r="D6" s="5">
        <f ca="1">IFERROR(IF(INDEX(Dieta[],DietLastEnd-DietRowStart-J6,1)&lt;&gt;"",INDEX(Dieta[],DietLastEnd-DietRowStart-J6,1),""),"")</f>
        <v>44902</v>
      </c>
      <c r="E6" s="6" t="str">
        <f t="shared" ca="1" si="0"/>
        <v>MI</v>
      </c>
      <c r="F6" s="6">
        <f ca="1">IFERROR((IF(INDEX(Dieta[],DietLastEnd-DietRowStart-J6,1)&lt;&gt;"",INDEX(Dieta[],DietLastEnd-DietRowStart-J6,7),NA())),NA())</f>
        <v>25</v>
      </c>
      <c r="G6" s="6">
        <f ca="1">IFERROR((IF(INDEX(Dieta[],DietLastEnd-DietRowStart-J6,1)&lt;&gt;"",INDEX(Dieta[],DietLastEnd-DietRowStart-J6,6),NA())),NA())</f>
        <v>35</v>
      </c>
      <c r="H6" s="6">
        <f ca="1">IFERROR((IF(INDEX(Dieta[],DietLastEnd-DietRowStart-J6,1)&lt;&gt;"",INDEX(Dieta[],DietLastEnd-DietRowStart-J6,5),NA())),NA())</f>
        <v>42</v>
      </c>
      <c r="I6" s="6">
        <f ca="1">IFERROR((IF(INDEX(Dieta[],DietLastEnd-DietRowStart-J6,1)&lt;&gt;"",INDEX(Dieta[],DietLastEnd-DietRowStart-J6,4),NA())),NA())</f>
        <v>500</v>
      </c>
      <c r="J6" s="6">
        <v>11</v>
      </c>
    </row>
    <row r="7" spans="2:10" x14ac:dyDescent="0.2">
      <c r="B7" s="3"/>
      <c r="C7" s="3"/>
      <c r="D7" s="5">
        <f ca="1">IFERROR(IF(INDEX(Dieta[],DietLastEnd-DietRowStart-J7,1)&lt;&gt;"",INDEX(Dieta[],DietLastEnd-DietRowStart-J7,1),""),"")</f>
        <v>44903</v>
      </c>
      <c r="E7" s="6" t="str">
        <f t="shared" ca="1" si="0"/>
        <v>JU</v>
      </c>
      <c r="F7" s="6">
        <f ca="1">IFERROR((IF(INDEX(Dieta[],DietLastEnd-DietRowStart-J7,1)&lt;&gt;"",INDEX(Dieta[],DietLastEnd-DietRowStart-J7,7),NA())),NA())</f>
        <v>0</v>
      </c>
      <c r="G7" s="6">
        <f ca="1">IFERROR((IF(INDEX(Dieta[],DietLastEnd-DietRowStart-J7,1)&lt;&gt;"",INDEX(Dieta[],DietLastEnd-DietRowStart-J7,6),NA())),NA())</f>
        <v>0</v>
      </c>
      <c r="H7" s="6">
        <f ca="1">IFERROR((IF(INDEX(Dieta[],DietLastEnd-DietRowStart-J7,1)&lt;&gt;"",INDEX(Dieta[],DietLastEnd-DietRowStart-J7,5),NA())),NA())</f>
        <v>0</v>
      </c>
      <c r="I7" s="6">
        <f ca="1">IFERROR((IF(INDEX(Dieta[],DietLastEnd-DietRowStart-J7,1)&lt;&gt;"",INDEX(Dieta[],DietLastEnd-DietRowStart-J7,4),NA())),NA())</f>
        <v>1</v>
      </c>
      <c r="J7" s="6">
        <v>10</v>
      </c>
    </row>
    <row r="8" spans="2:10" x14ac:dyDescent="0.2">
      <c r="B8" s="3"/>
      <c r="C8" s="3"/>
      <c r="D8" s="5">
        <f ca="1">IFERROR(IF(INDEX(Dieta[],DietLastEnd-DietRowStart-J8,1)&lt;&gt;"",INDEX(Dieta[],DietLastEnd-DietRowStart-J8,1),""),"")</f>
        <v>44903</v>
      </c>
      <c r="E8" s="6" t="str">
        <f t="shared" ca="1" si="0"/>
        <v>JU</v>
      </c>
      <c r="F8" s="6">
        <f ca="1">IFERROR((IF(INDEX(Dieta[],DietLastEnd-DietRowStart-J8,1)&lt;&gt;"",INDEX(Dieta[],DietLastEnd-DietRowStart-J8,7),NA())),NA())</f>
        <v>10</v>
      </c>
      <c r="G8" s="6">
        <f ca="1">IFERROR((IF(INDEX(Dieta[],DietLastEnd-DietRowStart-J8,1)&lt;&gt;"",INDEX(Dieta[],DietLastEnd-DietRowStart-J8,6),NA())),NA())</f>
        <v>2</v>
      </c>
      <c r="H8" s="6">
        <f ca="1">IFERROR((IF(INDEX(Dieta[],DietLastEnd-DietRowStart-J8,1)&lt;&gt;"",INDEX(Dieta[],DietLastEnd-DietRowStart-J8,5),NA())),NA())</f>
        <v>10</v>
      </c>
      <c r="I8" s="6">
        <f ca="1">IFERROR((IF(INDEX(Dieta[],DietLastEnd-DietRowStart-J8,1)&lt;&gt;"",INDEX(Dieta[],DietLastEnd-DietRowStart-J8,4),NA())),NA())</f>
        <v>10</v>
      </c>
      <c r="J8" s="6">
        <v>9</v>
      </c>
    </row>
    <row r="9" spans="2:10" x14ac:dyDescent="0.2">
      <c r="B9" s="3"/>
      <c r="C9" s="3"/>
      <c r="D9" s="5">
        <f ca="1">IFERROR(IF(INDEX(Dieta[],DietLastEnd-DietRowStart-J9,1)&lt;&gt;"",INDEX(Dieta[],DietLastEnd-DietRowStart-J9,1),""),"")</f>
        <v>44903</v>
      </c>
      <c r="E9" s="6" t="str">
        <f t="shared" ca="1" si="0"/>
        <v>JU</v>
      </c>
      <c r="F9" s="6">
        <f ca="1">IFERROR((IF(INDEX(Dieta[],DietLastEnd-DietRowStart-J9,1)&lt;&gt;"",INDEX(Dieta[],DietLastEnd-DietRowStart-J9,7),NA())),NA())</f>
        <v>8</v>
      </c>
      <c r="G9" s="6">
        <f ca="1">IFERROR((IF(INDEX(Dieta[],DietLastEnd-DietRowStart-J9,1)&lt;&gt;"",INDEX(Dieta[],DietLastEnd-DietRowStart-J9,6),NA())),NA())</f>
        <v>3</v>
      </c>
      <c r="H9" s="6">
        <f ca="1">IFERROR((IF(INDEX(Dieta[],DietLastEnd-DietRowStart-J9,1)&lt;&gt;"",INDEX(Dieta[],DietLastEnd-DietRowStart-J9,5),NA())),NA())</f>
        <v>26</v>
      </c>
      <c r="I9" s="6">
        <f ca="1">IFERROR((IF(INDEX(Dieta[],DietLastEnd-DietRowStart-J9,1)&lt;&gt;"",INDEX(Dieta[],DietLastEnd-DietRowStart-J9,4),NA())),NA())</f>
        <v>189</v>
      </c>
      <c r="J9" s="6">
        <v>8</v>
      </c>
    </row>
    <row r="10" spans="2:10" x14ac:dyDescent="0.2">
      <c r="B10" s="3"/>
      <c r="C10" s="3"/>
      <c r="D10" s="5">
        <f ca="1">IFERROR(IF(INDEX(Dieta[],DietLastEnd-DietRowStart-J10,1)&lt;&gt;"",INDEX(Dieta[],DietLastEnd-DietRowStart-J10,1),""),"")</f>
        <v>44903</v>
      </c>
      <c r="E10" s="6" t="str">
        <f t="shared" ca="1" si="0"/>
        <v>JU</v>
      </c>
      <c r="F10" s="6">
        <f ca="1">IFERROR((IF(INDEX(Dieta[],DietLastEnd-DietRowStart-J10,1)&lt;&gt;"",INDEX(Dieta[],DietLastEnd-DietRowStart-J10,7),NA())),NA())</f>
        <v>21</v>
      </c>
      <c r="G10" s="6">
        <f ca="1">IFERROR((IF(INDEX(Dieta[],DietLastEnd-DietRowStart-J10,1)&lt;&gt;"",INDEX(Dieta[],DietLastEnd-DietRowStart-J10,6),NA())),NA())</f>
        <v>13.5</v>
      </c>
      <c r="H10" s="6">
        <f ca="1">IFERROR((IF(INDEX(Dieta[],DietLastEnd-DietRowStart-J10,1)&lt;&gt;"",INDEX(Dieta[],DietLastEnd-DietRowStart-J10,5),NA())),NA())</f>
        <v>62</v>
      </c>
      <c r="I10" s="6">
        <f ca="1">IFERROR((IF(INDEX(Dieta[],DietLastEnd-DietRowStart-J10,1)&lt;&gt;"",INDEX(Dieta[],DietLastEnd-DietRowStart-J10,4),NA())),NA())</f>
        <v>477</v>
      </c>
      <c r="J10" s="6">
        <v>7</v>
      </c>
    </row>
    <row r="11" spans="2:10" x14ac:dyDescent="0.2">
      <c r="B11" s="3"/>
      <c r="C11" s="3"/>
      <c r="D11" s="5">
        <f ca="1">IFERROR(IF(INDEX(Dieta[],DietLastEnd-DietRowStart-J11,1)&lt;&gt;"",INDEX(Dieta[],DietLastEnd-DietRowStart-J11,1),""),"")</f>
        <v>44904</v>
      </c>
      <c r="E11" s="6" t="str">
        <f t="shared" ca="1" si="0"/>
        <v>VI</v>
      </c>
      <c r="F11" s="6">
        <f ca="1">IFERROR((IF(INDEX(Dieta[],DietLastEnd-DietRowStart-J11,1)&lt;&gt;"",INDEX(Dieta[],DietLastEnd-DietRowStart-J11,7),NA())),NA())</f>
        <v>0</v>
      </c>
      <c r="G11" s="6">
        <f ca="1">IFERROR((IF(INDEX(Dieta[],DietLastEnd-DietRowStart-J11,1)&lt;&gt;"",INDEX(Dieta[],DietLastEnd-DietRowStart-J11,6),NA())),NA())</f>
        <v>0</v>
      </c>
      <c r="H11" s="6">
        <f ca="1">IFERROR((IF(INDEX(Dieta[],DietLastEnd-DietRowStart-J11,1)&lt;&gt;"",INDEX(Dieta[],DietLastEnd-DietRowStart-J11,5),NA())),NA())</f>
        <v>0</v>
      </c>
      <c r="I11" s="6">
        <f ca="1">IFERROR((IF(INDEX(Dieta[],DietLastEnd-DietRowStart-J11,1)&lt;&gt;"",INDEX(Dieta[],DietLastEnd-DietRowStart-J11,4),NA())),NA())</f>
        <v>1</v>
      </c>
      <c r="J11" s="6">
        <v>6</v>
      </c>
    </row>
    <row r="12" spans="2:10" x14ac:dyDescent="0.2">
      <c r="B12" s="3"/>
      <c r="C12" s="3"/>
      <c r="D12" s="5">
        <f ca="1">IFERROR(IF(INDEX(Dieta[],DietLastEnd-DietRowStart-J12,1)&lt;&gt;"",INDEX(Dieta[],DietLastEnd-DietRowStart-J12,1),""),"")</f>
        <v>44904</v>
      </c>
      <c r="E12" s="6" t="str">
        <f t="shared" ca="1" si="0"/>
        <v>VI</v>
      </c>
      <c r="F12" s="6">
        <f ca="1">IFERROR((IF(INDEX(Dieta[],DietLastEnd-DietRowStart-J12,1)&lt;&gt;"",INDEX(Dieta[],DietLastEnd-DietRowStart-J12,7),NA())),NA())</f>
        <v>1.5</v>
      </c>
      <c r="G12" s="6">
        <f ca="1">IFERROR((IF(INDEX(Dieta[],DietLastEnd-DietRowStart-J12,1)&lt;&gt;"",INDEX(Dieta[],DietLastEnd-DietRowStart-J12,6),NA())),NA())</f>
        <v>10</v>
      </c>
      <c r="H12" s="6">
        <f ca="1">IFERROR((IF(INDEX(Dieta[],DietLastEnd-DietRowStart-J12,1)&lt;&gt;"",INDEX(Dieta[],DietLastEnd-DietRowStart-J12,5),NA())),NA())</f>
        <v>48</v>
      </c>
      <c r="I12" s="6">
        <f ca="1">IFERROR((IF(INDEX(Dieta[],DietLastEnd-DietRowStart-J12,1)&lt;&gt;"",INDEX(Dieta[],DietLastEnd-DietRowStart-J12,4),NA())),NA())</f>
        <v>245</v>
      </c>
      <c r="J12" s="6">
        <v>5</v>
      </c>
    </row>
    <row r="13" spans="2:10" x14ac:dyDescent="0.2">
      <c r="B13" s="3"/>
      <c r="C13" s="3"/>
      <c r="D13" s="5">
        <f ca="1">IFERROR(IF(INDEX(Dieta[],DietLastEnd-DietRowStart-J13,1)&lt;&gt;"",INDEX(Dieta[],DietLastEnd-DietRowStart-J13,1),""),"")</f>
        <v>44904</v>
      </c>
      <c r="E13" s="6" t="str">
        <f t="shared" ca="1" si="0"/>
        <v>VI</v>
      </c>
      <c r="F13" s="6">
        <f ca="1">IFERROR((IF(INDEX(Dieta[],DietLastEnd-DietRowStart-J13,1)&lt;&gt;"",INDEX(Dieta[],DietLastEnd-DietRowStart-J13,7),NA())),NA())</f>
        <v>5</v>
      </c>
      <c r="G13" s="6">
        <f ca="1">IFERROR((IF(INDEX(Dieta[],DietLastEnd-DietRowStart-J13,1)&lt;&gt;"",INDEX(Dieta[],DietLastEnd-DietRowStart-J13,6),NA())),NA())</f>
        <v>43</v>
      </c>
      <c r="H13" s="6">
        <f ca="1">IFERROR((IF(INDEX(Dieta[],DietLastEnd-DietRowStart-J13,1)&lt;&gt;"",INDEX(Dieta[],DietLastEnd-DietRowStart-J13,5),NA())),NA())</f>
        <v>11</v>
      </c>
      <c r="I13" s="6">
        <f ca="1">IFERROR((IF(INDEX(Dieta[],DietLastEnd-DietRowStart-J13,1)&lt;&gt;"",INDEX(Dieta[],DietLastEnd-DietRowStart-J13,4),NA())),NA())</f>
        <v>247</v>
      </c>
      <c r="J13" s="6">
        <v>4</v>
      </c>
    </row>
    <row r="14" spans="2:10" x14ac:dyDescent="0.2">
      <c r="B14" s="3"/>
      <c r="C14" s="3"/>
      <c r="D14" s="5">
        <f ca="1">IFERROR(IF(INDEX(Dieta[],DietLastEnd-DietRowStart-J14,1)&lt;&gt;"",INDEX(Dieta[],DietLastEnd-DietRowStart-J14,1),""),"")</f>
        <v>44904</v>
      </c>
      <c r="E14" s="6" t="str">
        <f t="shared" ca="1" si="0"/>
        <v>VI</v>
      </c>
      <c r="F14" s="6">
        <f ca="1">IFERROR((IF(INDEX(Dieta[],DietLastEnd-DietRowStart-J14,1)&lt;&gt;"",INDEX(Dieta[],DietLastEnd-DietRowStart-J14,7),NA())),NA())</f>
        <v>22</v>
      </c>
      <c r="G14" s="6">
        <f ca="1">IFERROR((IF(INDEX(Dieta[],DietLastEnd-DietRowStart-J14,1)&lt;&gt;"",INDEX(Dieta[],DietLastEnd-DietRowStart-J14,6),NA())),NA())</f>
        <v>32</v>
      </c>
      <c r="H14" s="6">
        <f ca="1">IFERROR((IF(INDEX(Dieta[],DietLastEnd-DietRowStart-J14,1)&lt;&gt;"",INDEX(Dieta[],DietLastEnd-DietRowStart-J14,5),NA())),NA())</f>
        <v>64</v>
      </c>
      <c r="I14" s="6">
        <f ca="1">IFERROR((IF(INDEX(Dieta[],DietLastEnd-DietRowStart-J14,1)&lt;&gt;"",INDEX(Dieta[],DietLastEnd-DietRowStart-J14,4),NA())),NA())</f>
        <v>456</v>
      </c>
      <c r="J14" s="6">
        <v>3</v>
      </c>
    </row>
    <row r="15" spans="2:10" x14ac:dyDescent="0.2">
      <c r="B15" s="3"/>
      <c r="C15" s="3"/>
      <c r="D15" s="5">
        <f ca="1">IFERROR(IF(INDEX(Dieta[],DietLastEnd-DietRowStart-J15,1)&lt;&gt;"",INDEX(Dieta[],DietLastEnd-DietRowStart-J15,1),""),"")</f>
        <v>44905</v>
      </c>
      <c r="E15" s="6" t="str">
        <f t="shared" ca="1" si="0"/>
        <v>SÁ</v>
      </c>
      <c r="F15" s="6">
        <f ca="1">IFERROR((IF(INDEX(Dieta[],DietLastEnd-DietRowStart-J15,1)&lt;&gt;"",INDEX(Dieta[],DietLastEnd-DietRowStart-J15,7),NA())),NA())</f>
        <v>10</v>
      </c>
      <c r="G15" s="6">
        <f ca="1">IFERROR((IF(INDEX(Dieta[],DietLastEnd-DietRowStart-J15,1)&lt;&gt;"",INDEX(Dieta[],DietLastEnd-DietRowStart-J15,6),NA())),NA())</f>
        <v>2</v>
      </c>
      <c r="H15" s="6">
        <f ca="1">IFERROR((IF(INDEX(Dieta[],DietLastEnd-DietRowStart-J15,1)&lt;&gt;"",INDEX(Dieta[],DietLastEnd-DietRowStart-J15,5),NA())),NA())</f>
        <v>10</v>
      </c>
      <c r="I15" s="6">
        <f ca="1">IFERROR((IF(INDEX(Dieta[],DietLastEnd-DietRowStart-J15,1)&lt;&gt;"",INDEX(Dieta[],DietLastEnd-DietRowStart-J15,4),NA())),NA())</f>
        <v>10</v>
      </c>
      <c r="J15" s="6">
        <v>2</v>
      </c>
    </row>
    <row r="16" spans="2:10" x14ac:dyDescent="0.2">
      <c r="B16" s="3"/>
      <c r="C16" s="3"/>
      <c r="D16" s="5">
        <f ca="1">IFERROR(IF(INDEX(Dieta[],DietLastEnd-DietRowStart-J16,1)&lt;&gt;"",INDEX(Dieta[],DietLastEnd-DietRowStart-J16,1),""),"")</f>
        <v>44905</v>
      </c>
      <c r="E16" s="6" t="str">
        <f t="shared" ca="1" si="0"/>
        <v>SÁ</v>
      </c>
      <c r="F16" s="6">
        <f ca="1">IFERROR((IF(INDEX(Dieta[],DietLastEnd-DietRowStart-J16,1)&lt;&gt;"",INDEX(Dieta[],DietLastEnd-DietRowStart-J16,7),NA())),NA())</f>
        <v>5.51</v>
      </c>
      <c r="G16" s="6">
        <f ca="1">IFERROR((IF(INDEX(Dieta[],DietLastEnd-DietRowStart-J16,1)&lt;&gt;"",INDEX(Dieta[],DietLastEnd-DietRowStart-J16,6),NA())),NA())</f>
        <v>8.81</v>
      </c>
      <c r="H16" s="6">
        <f ca="1">IFERROR((IF(INDEX(Dieta[],DietLastEnd-DietRowStart-J16,1)&lt;&gt;"",INDEX(Dieta[],DietLastEnd-DietRowStart-J16,5),NA())),NA())</f>
        <v>12.36</v>
      </c>
      <c r="I16" s="6">
        <f ca="1">IFERROR((IF(INDEX(Dieta[],DietLastEnd-DietRowStart-J16,1)&lt;&gt;"",INDEX(Dieta[],DietLastEnd-DietRowStart-J16,4),NA())),NA())</f>
        <v>135</v>
      </c>
      <c r="J16" s="6">
        <v>1</v>
      </c>
    </row>
    <row r="17" spans="2:10" x14ac:dyDescent="0.2">
      <c r="B17" s="3"/>
      <c r="C17" s="3"/>
      <c r="D17" s="5">
        <f ca="1">IFERROR(IF(INDEX(Dieta[],DietLastEnd-DietRowStart-J17,1)&lt;&gt;"",INDEX(Dieta[],DietLastEnd-DietRowStart-J17,1),""),"")</f>
        <v>44905</v>
      </c>
      <c r="E17" s="6" t="str">
        <f t="shared" ca="1" si="0"/>
        <v>SÁ</v>
      </c>
      <c r="F17" s="6">
        <f ca="1">IFERROR((IF(INDEX(Dieta[],DietLastEnd-DietRowStart-J17,1)&lt;&gt;"",INDEX(Dieta[],DietLastEnd-DietRowStart-J17,7),NA())),NA())</f>
        <v>15</v>
      </c>
      <c r="G17" s="6">
        <f ca="1">IFERROR((IF(INDEX(Dieta[],DietLastEnd-DietRowStart-J17,1)&lt;&gt;"",INDEX(Dieta[],DietLastEnd-DietRowStart-J17,6),NA())),NA())</f>
        <v>5.43</v>
      </c>
      <c r="H17" s="6">
        <f ca="1">IFERROR((IF(INDEX(Dieta[],DietLastEnd-DietRowStart-J17,1)&lt;&gt;"",INDEX(Dieta[],DietLastEnd-DietRowStart-J17,5),NA())),NA())</f>
        <v>7</v>
      </c>
      <c r="I17" s="6">
        <f ca="1">IFERROR((IF(INDEX(Dieta[],DietLastEnd-DietRowStart-J17,1)&lt;&gt;"",INDEX(Dieta[],DietLastEnd-DietRowStart-J17,4),NA())),NA())</f>
        <v>184</v>
      </c>
      <c r="J17" s="6">
        <v>0</v>
      </c>
    </row>
    <row r="18" spans="2:10" x14ac:dyDescent="0.2">
      <c r="B18" s="3"/>
      <c r="C18" s="3"/>
      <c r="D18" s="5">
        <f ca="1">IFERROR(IF(INDEX(Dieta[],DietLastEnd-DietRowStart-J18,1)&lt;&gt;"",INDEX(Dieta[],DietLastEnd-DietRowStart-J18,1)),"")</f>
        <v>44907</v>
      </c>
      <c r="E18" s="6" t="str">
        <f t="shared" ca="1" si="0"/>
        <v>LU</v>
      </c>
      <c r="F18" s="6">
        <f ca="1">IFERROR((IF(INDEX(Dieta[],DietLastEnd-DietRowStart-J18,1)&lt;&gt;"",INDEX(Dieta[],DietLastEnd-DietRowStart-J18,7),NA())),NA())</f>
        <v>21</v>
      </c>
      <c r="G18" s="6">
        <f ca="1">IFERROR((IF(INDEX(Dieta[],DietLastEnd-DietRowStart-J18,1)&lt;&gt;"",INDEX(Dieta[],DietLastEnd-DietRowStart-J18,6),NA())),NA())</f>
        <v>13.5</v>
      </c>
      <c r="H18" s="6">
        <f ca="1">IFERROR((IF(INDEX(Dieta[],DietLastEnd-DietRowStart-J18,1)&lt;&gt;"",INDEX(Dieta[],DietLastEnd-DietRowStart-J18,5),NA())),NA())</f>
        <v>62</v>
      </c>
      <c r="I18" s="6">
        <f ca="1">IFERROR((IF(INDEX(Dieta[],DietLastEnd-DietRowStart-J18,1)&lt;&gt;"",INDEX(Dieta[],DietLastEnd-DietRowStart-J18,4),NA())),NA())</f>
        <v>477</v>
      </c>
      <c r="J18" s="6">
        <v>-1</v>
      </c>
    </row>
    <row r="20" spans="2:10" ht="27" x14ac:dyDescent="0.5">
      <c r="B20" s="37" t="s">
        <v>45</v>
      </c>
      <c r="C20" s="37"/>
      <c r="D20" s="37"/>
      <c r="E20" s="37"/>
      <c r="F20" s="37"/>
      <c r="G20" s="37"/>
      <c r="H20" s="37"/>
      <c r="I20" s="37"/>
      <c r="J20" s="37"/>
    </row>
    <row r="22" spans="2:10" ht="15" x14ac:dyDescent="0.2">
      <c r="B22" s="8" t="s">
        <v>43</v>
      </c>
      <c r="C22" s="8">
        <f>ROW(Ejercicio[[#Headers],[FECHA]])+1</f>
        <v>4</v>
      </c>
      <c r="D22" s="4" t="s">
        <v>14</v>
      </c>
      <c r="E22" s="4" t="s">
        <v>47</v>
      </c>
      <c r="F22" s="4" t="s">
        <v>36</v>
      </c>
      <c r="G22" s="4" t="s">
        <v>37</v>
      </c>
      <c r="H22" s="4" t="s">
        <v>48</v>
      </c>
    </row>
    <row r="23" spans="2:10" x14ac:dyDescent="0.2">
      <c r="B23" s="8" t="s">
        <v>46</v>
      </c>
      <c r="C23" s="8">
        <f ca="1">MATCH(9.99E+307,Ejercicio[FECHA])+ExerciseRowStart-1</f>
        <v>20</v>
      </c>
      <c r="D23" s="7">
        <f ca="1">IFERROR(IF(INDEX(Ejercicio[],ExerciseLastEnd-ExerciseRowStart-H23,1)&lt;&gt;"",INDEX(Ejercicio[],ExerciseLastEnd-ExerciseRowStart-H23,1)),"")</f>
        <v>44922</v>
      </c>
      <c r="E23" s="6" t="str">
        <f t="shared" ref="E23:E36" ca="1" si="1">UPPER(TEXT(D23,"DDD"))</f>
        <v>MA</v>
      </c>
      <c r="F23" s="15">
        <f ca="1">IFERROR((IF(INDEX(Ejercicio[],ExerciseLastEnd-ExerciseRowStart-H23,1)&lt;&gt;"",INDEX(Ejercicio[],ExerciseLastEnd-ExerciseRowStart-H23,2),0)),0)</f>
        <v>20</v>
      </c>
      <c r="G23" s="15">
        <f ca="1">IFERROR((IF(INDEX(Ejercicio[],ExerciseLastEnd-ExerciseRowStart-H23,2)&lt;&gt;"",INDEX(Ejercicio[],ExerciseLastEnd-ExerciseRowStart-H23,3),0)),0)</f>
        <v>195</v>
      </c>
      <c r="H23" s="6">
        <v>-1</v>
      </c>
    </row>
    <row r="24" spans="2:10" x14ac:dyDescent="0.2">
      <c r="B24" s="3"/>
      <c r="C24" s="3"/>
      <c r="D24" s="7">
        <f ca="1">IFERROR(IF(INDEX(Ejercicio[],ExerciseLastEnd-ExerciseRowStart-H24,1)&lt;&gt;"",INDEX(Ejercicio[],ExerciseLastEnd-ExerciseRowStart-H24,1)),"")</f>
        <v>44921</v>
      </c>
      <c r="E24" s="6" t="str">
        <f t="shared" ca="1" si="1"/>
        <v>LU</v>
      </c>
      <c r="F24" s="15">
        <f ca="1">IFERROR((IF(INDEX(Ejercicio[],ExerciseLastEnd-ExerciseRowStart-H24,1)&lt;&gt;"",INDEX(Ejercicio[],ExerciseLastEnd-ExerciseRowStart-H24,2),0)),0)</f>
        <v>25</v>
      </c>
      <c r="G24" s="15">
        <f ca="1">IFERROR((IF(INDEX(Ejercicio[],ExerciseLastEnd-ExerciseRowStart-H24,2)&lt;&gt;"",INDEX(Ejercicio[],ExerciseLastEnd-ExerciseRowStart-H24,3),0)),0)</f>
        <v>265</v>
      </c>
      <c r="H24" s="6">
        <v>0</v>
      </c>
    </row>
    <row r="25" spans="2:10" x14ac:dyDescent="0.2">
      <c r="B25" s="3"/>
      <c r="C25" s="3"/>
      <c r="D25" s="7">
        <f ca="1">IFERROR(IF(INDEX(Ejercicio[],ExerciseLastEnd-ExerciseRowStart-H25,1)&lt;&gt;"",INDEX(Ejercicio[],ExerciseLastEnd-ExerciseRowStart-H25,1)),"")</f>
        <v>44920</v>
      </c>
      <c r="E25" s="6" t="str">
        <f t="shared" ca="1" si="1"/>
        <v>DO</v>
      </c>
      <c r="F25" s="15">
        <f ca="1">IFERROR((IF(INDEX(Ejercicio[],ExerciseLastEnd-ExerciseRowStart-H25,1)&lt;&gt;"",INDEX(Ejercicio[],ExerciseLastEnd-ExerciseRowStart-H25,2),0)),0)</f>
        <v>40</v>
      </c>
      <c r="G25" s="15">
        <f ca="1">IFERROR((IF(INDEX(Ejercicio[],ExerciseLastEnd-ExerciseRowStart-H25,2)&lt;&gt;"",INDEX(Ejercicio[],ExerciseLastEnd-ExerciseRowStart-H25,3),0)),0)</f>
        <v>290</v>
      </c>
      <c r="H25" s="6">
        <v>1</v>
      </c>
    </row>
    <row r="26" spans="2:10" x14ac:dyDescent="0.2">
      <c r="B26" s="3"/>
      <c r="C26" s="3"/>
      <c r="D26" s="7">
        <f ca="1">IFERROR(IF(INDEX(Ejercicio[],ExerciseLastEnd-ExerciseRowStart-H26,1)&lt;&gt;"",INDEX(Ejercicio[],ExerciseLastEnd-ExerciseRowStart-H26,1)),"")</f>
        <v>44919</v>
      </c>
      <c r="E26" s="6" t="str">
        <f t="shared" ca="1" si="1"/>
        <v>SÁ</v>
      </c>
      <c r="F26" s="15">
        <f ca="1">IFERROR((IF(INDEX(Ejercicio[],ExerciseLastEnd-ExerciseRowStart-H26,1)&lt;&gt;"",INDEX(Ejercicio[],ExerciseLastEnd-ExerciseRowStart-H26,2),0)),0)</f>
        <v>35</v>
      </c>
      <c r="G26" s="15">
        <f ca="1">IFERROR((IF(INDEX(Ejercicio[],ExerciseLastEnd-ExerciseRowStart-H26,2)&lt;&gt;"",INDEX(Ejercicio[],ExerciseLastEnd-ExerciseRowStart-H26,3),0)),0)</f>
        <v>320</v>
      </c>
      <c r="H26" s="6">
        <v>2</v>
      </c>
    </row>
    <row r="27" spans="2:10" x14ac:dyDescent="0.2">
      <c r="B27" s="3"/>
      <c r="C27" s="3"/>
      <c r="D27" s="7">
        <f ca="1">IFERROR(IF(INDEX(Ejercicio[],ExerciseLastEnd-ExerciseRowStart-H27,1)&lt;&gt;"",INDEX(Ejercicio[],ExerciseLastEnd-ExerciseRowStart-H27,1)),"")</f>
        <v>44918</v>
      </c>
      <c r="E27" s="6" t="str">
        <f t="shared" ca="1" si="1"/>
        <v>VI</v>
      </c>
      <c r="F27" s="15">
        <f ca="1">IFERROR((IF(INDEX(Ejercicio[],ExerciseLastEnd-ExerciseRowStart-H27,1)&lt;&gt;"",INDEX(Ejercicio[],ExerciseLastEnd-ExerciseRowStart-H27,2),0)),0)</f>
        <v>45</v>
      </c>
      <c r="G27" s="15">
        <f ca="1">IFERROR((IF(INDEX(Ejercicio[],ExerciseLastEnd-ExerciseRowStart-H27,2)&lt;&gt;"",INDEX(Ejercicio[],ExerciseLastEnd-ExerciseRowStart-H27,3),0)),0)</f>
        <v>350</v>
      </c>
      <c r="H27" s="6">
        <v>3</v>
      </c>
    </row>
    <row r="28" spans="2:10" x14ac:dyDescent="0.2">
      <c r="B28" s="3"/>
      <c r="C28" s="3"/>
      <c r="D28" s="7">
        <f ca="1">IFERROR(IF(INDEX(Ejercicio[],ExerciseLastEnd-ExerciseRowStart-H28,1)&lt;&gt;"",INDEX(Ejercicio[],ExerciseLastEnd-ExerciseRowStart-H28,1)),"")</f>
        <v>44917</v>
      </c>
      <c r="E28" s="6" t="str">
        <f t="shared" ca="1" si="1"/>
        <v>JU</v>
      </c>
      <c r="F28" s="15">
        <f ca="1">IFERROR((IF(INDEX(Ejercicio[],ExerciseLastEnd-ExerciseRowStart-H28,1)&lt;&gt;"",INDEX(Ejercicio[],ExerciseLastEnd-ExerciseRowStart-H28,2),0)),0)</f>
        <v>20</v>
      </c>
      <c r="G28" s="15">
        <f ca="1">IFERROR((IF(INDEX(Ejercicio[],ExerciseLastEnd-ExerciseRowStart-H28,2)&lt;&gt;"",INDEX(Ejercicio[],ExerciseLastEnd-ExerciseRowStart-H28,3),0)),0)</f>
        <v>295</v>
      </c>
      <c r="H28" s="6">
        <v>4</v>
      </c>
    </row>
    <row r="29" spans="2:10" x14ac:dyDescent="0.2">
      <c r="B29" s="3"/>
      <c r="C29" s="3"/>
      <c r="D29" s="7">
        <f ca="1">IFERROR(IF(INDEX(Ejercicio[],ExerciseLastEnd-ExerciseRowStart-H29,1)&lt;&gt;"",INDEX(Ejercicio[],ExerciseLastEnd-ExerciseRowStart-H29,1)),"")</f>
        <v>44916</v>
      </c>
      <c r="E29" s="6" t="str">
        <f t="shared" ca="1" si="1"/>
        <v>MI</v>
      </c>
      <c r="F29" s="15">
        <f ca="1">IFERROR((IF(INDEX(Ejercicio[],ExerciseLastEnd-ExerciseRowStart-H29,1)&lt;&gt;"",INDEX(Ejercicio[],ExerciseLastEnd-ExerciseRowStart-H29,2),0)),0)</f>
        <v>40</v>
      </c>
      <c r="G29" s="15">
        <f ca="1">IFERROR((IF(INDEX(Ejercicio[],ExerciseLastEnd-ExerciseRowStart-H29,2)&lt;&gt;"",INDEX(Ejercicio[],ExerciseLastEnd-ExerciseRowStart-H29,3),0)),0)</f>
        <v>270</v>
      </c>
      <c r="H29" s="6">
        <v>5</v>
      </c>
    </row>
    <row r="30" spans="2:10" x14ac:dyDescent="0.2">
      <c r="B30" s="3"/>
      <c r="C30" s="3"/>
      <c r="D30" s="7">
        <f ca="1">IFERROR(IF(INDEX(Ejercicio[],ExerciseLastEnd-ExerciseRowStart-H30,1)&lt;&gt;"",INDEX(Ejercicio[],ExerciseLastEnd-ExerciseRowStart-H30,1)),"")</f>
        <v>44915</v>
      </c>
      <c r="E30" s="6" t="str">
        <f t="shared" ca="1" si="1"/>
        <v>MA</v>
      </c>
      <c r="F30" s="15">
        <f ca="1">IFERROR((IF(INDEX(Ejercicio[],ExerciseLastEnd-ExerciseRowStart-H30,1)&lt;&gt;"",INDEX(Ejercicio[],ExerciseLastEnd-ExerciseRowStart-H30,2),0)),0)</f>
        <v>45</v>
      </c>
      <c r="G30" s="15">
        <f ca="1">IFERROR((IF(INDEX(Ejercicio[],ExerciseLastEnd-ExerciseRowStart-H30,2)&lt;&gt;"",INDEX(Ejercicio[],ExerciseLastEnd-ExerciseRowStart-H30,3),0)),0)</f>
        <v>325</v>
      </c>
      <c r="H30" s="6">
        <v>6</v>
      </c>
    </row>
    <row r="31" spans="2:10" x14ac:dyDescent="0.2">
      <c r="B31" s="3"/>
      <c r="C31" s="3"/>
      <c r="D31" s="7">
        <f ca="1">IFERROR(IF(INDEX(Ejercicio[],ExerciseLastEnd-ExerciseRowStart-H31,1)&lt;&gt;"",INDEX(Ejercicio[],ExerciseLastEnd-ExerciseRowStart-H31,1)),"")</f>
        <v>44914</v>
      </c>
      <c r="E31" s="6" t="str">
        <f t="shared" ca="1" si="1"/>
        <v>LU</v>
      </c>
      <c r="F31" s="15">
        <f ca="1">IFERROR((IF(INDEX(Ejercicio[],ExerciseLastEnd-ExerciseRowStart-H31,1)&lt;&gt;"",INDEX(Ejercicio[],ExerciseLastEnd-ExerciseRowStart-H31,2),0)),0)</f>
        <v>40</v>
      </c>
      <c r="G31" s="15">
        <f ca="1">IFERROR((IF(INDEX(Ejercicio[],ExerciseLastEnd-ExerciseRowStart-H31,2)&lt;&gt;"",INDEX(Ejercicio[],ExerciseLastEnd-ExerciseRowStart-H31,3),0)),0)</f>
        <v>175</v>
      </c>
      <c r="H31" s="6">
        <v>7</v>
      </c>
    </row>
    <row r="32" spans="2:10" x14ac:dyDescent="0.2">
      <c r="B32" s="3"/>
      <c r="C32" s="3"/>
      <c r="D32" s="7">
        <f ca="1">IFERROR(IF(INDEX(Ejercicio[],ExerciseLastEnd-ExerciseRowStart-H32,1)&lt;&gt;"",INDEX(Ejercicio[],ExerciseLastEnd-ExerciseRowStart-H32,1)),"")</f>
        <v>44913</v>
      </c>
      <c r="E32" s="6" t="str">
        <f t="shared" ca="1" si="1"/>
        <v>DO</v>
      </c>
      <c r="F32" s="15">
        <f ca="1">IFERROR((IF(INDEX(Ejercicio[],ExerciseLastEnd-ExerciseRowStart-H32,1)&lt;&gt;"",INDEX(Ejercicio[],ExerciseLastEnd-ExerciseRowStart-H32,2),0)),0)</f>
        <v>30</v>
      </c>
      <c r="G32" s="15">
        <f ca="1">IFERROR((IF(INDEX(Ejercicio[],ExerciseLastEnd-ExerciseRowStart-H32,2)&lt;&gt;"",INDEX(Ejercicio[],ExerciseLastEnd-ExerciseRowStart-H32,3),0)),0)</f>
        <v>335</v>
      </c>
      <c r="H32" s="6">
        <v>8</v>
      </c>
    </row>
    <row r="33" spans="2:8" x14ac:dyDescent="0.2">
      <c r="B33" s="3"/>
      <c r="C33" s="3"/>
      <c r="D33" s="7">
        <f ca="1">IFERROR(IF(INDEX(Ejercicio[],ExerciseLastEnd-ExerciseRowStart-H33,1)&lt;&gt;"",INDEX(Ejercicio[],ExerciseLastEnd-ExerciseRowStart-H33,1)),"")</f>
        <v>44912</v>
      </c>
      <c r="E33" s="6" t="str">
        <f t="shared" ca="1" si="1"/>
        <v>SÁ</v>
      </c>
      <c r="F33" s="15">
        <f ca="1">IFERROR((IF(INDEX(Ejercicio[],ExerciseLastEnd-ExerciseRowStart-H33,1)&lt;&gt;"",INDEX(Ejercicio[],ExerciseLastEnd-ExerciseRowStart-H33,2),0)),0)</f>
        <v>40</v>
      </c>
      <c r="G33" s="15">
        <f ca="1">IFERROR((IF(INDEX(Ejercicio[],ExerciseLastEnd-ExerciseRowStart-H33,2)&lt;&gt;"",INDEX(Ejercicio[],ExerciseLastEnd-ExerciseRowStart-H33,3),0)),0)</f>
        <v>205</v>
      </c>
      <c r="H33" s="6">
        <v>9</v>
      </c>
    </row>
    <row r="34" spans="2:8" x14ac:dyDescent="0.2">
      <c r="B34" s="3"/>
      <c r="C34" s="3"/>
      <c r="D34" s="7">
        <f ca="1">IFERROR(IF(INDEX(Ejercicio[],ExerciseLastEnd-ExerciseRowStart-H34,1)&lt;&gt;"",INDEX(Ejercicio[],ExerciseLastEnd-ExerciseRowStart-H34,1)),"")</f>
        <v>44911</v>
      </c>
      <c r="E34" s="6" t="str">
        <f t="shared" ca="1" si="1"/>
        <v>VI</v>
      </c>
      <c r="F34" s="15">
        <f ca="1">IFERROR((IF(INDEX(Ejercicio[],ExerciseLastEnd-ExerciseRowStart-H34,1)&lt;&gt;"",INDEX(Ejercicio[],ExerciseLastEnd-ExerciseRowStart-H34,2),0)),0)</f>
        <v>20</v>
      </c>
      <c r="G34" s="15">
        <f ca="1">IFERROR((IF(INDEX(Ejercicio[],ExerciseLastEnd-ExerciseRowStart-H34,2)&lt;&gt;"",INDEX(Ejercicio[],ExerciseLastEnd-ExerciseRowStart-H34,3),0)),0)</f>
        <v>285</v>
      </c>
      <c r="H34" s="6">
        <v>10</v>
      </c>
    </row>
    <row r="35" spans="2:8" x14ac:dyDescent="0.2">
      <c r="B35" s="3"/>
      <c r="C35" s="3"/>
      <c r="D35" s="7">
        <f ca="1">IFERROR(IF(INDEX(Ejercicio[],ExerciseLastEnd-ExerciseRowStart-H35,1)&lt;&gt;"",INDEX(Ejercicio[],ExerciseLastEnd-ExerciseRowStart-H35,1)),"")</f>
        <v>44910</v>
      </c>
      <c r="E35" s="6" t="str">
        <f t="shared" ca="1" si="1"/>
        <v>JU</v>
      </c>
      <c r="F35" s="15">
        <f ca="1">IFERROR((IF(INDEX(Ejercicio[],ExerciseLastEnd-ExerciseRowStart-H35,1)&lt;&gt;"",INDEX(Ejercicio[],ExerciseLastEnd-ExerciseRowStart-H35,2),0)),0)</f>
        <v>25</v>
      </c>
      <c r="G35" s="15">
        <f ca="1">IFERROR((IF(INDEX(Ejercicio[],ExerciseLastEnd-ExerciseRowStart-H35,2)&lt;&gt;"",INDEX(Ejercicio[],ExerciseLastEnd-ExerciseRowStart-H35,3),0)),0)</f>
        <v>125</v>
      </c>
      <c r="H35" s="6">
        <v>11</v>
      </c>
    </row>
    <row r="36" spans="2:8" x14ac:dyDescent="0.2">
      <c r="B36" s="3"/>
      <c r="C36" s="3"/>
      <c r="D36" s="7">
        <f ca="1">IFERROR(IF(INDEX(Ejercicio[],ExerciseLastEnd-ExerciseRowStart-H36,1)&lt;&gt;"",INDEX(Ejercicio[],ExerciseLastEnd-ExerciseRowStart-H36,1)),"")</f>
        <v>44909</v>
      </c>
      <c r="E36" s="6" t="str">
        <f t="shared" ca="1" si="1"/>
        <v>MI</v>
      </c>
      <c r="F36" s="15">
        <f ca="1">IFERROR((IF(INDEX(Ejercicio[],ExerciseLastEnd-ExerciseRowStart-H36,1)&lt;&gt;"",INDEX(Ejercicio[],ExerciseLastEnd-ExerciseRowStart-H36,2),0)),0)</f>
        <v>30</v>
      </c>
      <c r="G36" s="15">
        <f ca="1">IFERROR((IF(INDEX(Ejercicio[],ExerciseLastEnd-ExerciseRowStart-H36,2)&lt;&gt;"",INDEX(Ejercicio[],ExerciseLastEnd-ExerciseRowStart-H36,3),0)),0)</f>
        <v>150</v>
      </c>
      <c r="H36" s="6">
        <v>12</v>
      </c>
    </row>
  </sheetData>
  <dataConsolidate>
    <dataRefs count="1">
      <dataRef ref="F23:G36" sheet="Chart Calculations" r:id="rId1"/>
    </dataRefs>
  </dataConsolidate>
  <mergeCells count="2">
    <mergeCell ref="B2:J2"/>
    <mergeCell ref="B20:J20"/>
  </mergeCells>
  <pageMargins left="0.7" right="0.7" top="0.75" bottom="0.75" header="0.3" footer="0.3"/>
  <pageSetup paperSize="9" orientation="portrait" r:id="rId2"/>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xml version="1.0" encoding="utf-8"?>
<?mso-contentType ?>
<FormTemplates xmlns="http://schemas.microsoft.com/sharepoint/v3/contenttype/forms">
  <Display>DocumentLibraryForm</Display>
  <Edit>DocumentLibraryForm</Edit>
  <New>DocumentLibraryForm</New>
</FormTemplates>
</file>

<file path=customXml/item2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3.xml><?xml version="1.0" encoding="utf-8"?>
<ds:datastoreItem xmlns:ds="http://schemas.openxmlformats.org/officeDocument/2006/customXml" ds:itemID="{DDB1D2CD-1D37-42DA-9868-A7124AFFF84E}">
  <ds:schemaRefs>
    <ds:schemaRef ds:uri="http://schemas.microsoft.com/sharepoint/v3/contenttype/forms"/>
  </ds:schemaRefs>
</ds:datastoreItem>
</file>

<file path=customXml/itemProps22.xml><?xml version="1.0" encoding="utf-8"?>
<ds:datastoreItem xmlns:ds="http://schemas.openxmlformats.org/officeDocument/2006/customXml" ds:itemID="{895B48FC-EF4F-4024-B209-E229FB20C0E1}">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31.xml><?xml version="1.0" encoding="utf-8"?>
<ds:datastoreItem xmlns:ds="http://schemas.openxmlformats.org/officeDocument/2006/customXml" ds:itemID="{AB21420A-4373-4636-9911-EC8F32B5E7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ap:Properties xmlns:vt="http://schemas.openxmlformats.org/officeDocument/2006/docPropsVTypes" xmlns:ap="http://schemas.openxmlformats.org/officeDocument/2006/extended-properties">
  <ap:Template>TM04036851</ap:Template>
  <ap:DocSecurity>0</ap:DocSecurity>
  <ap:ScaleCrop>false</ap:ScaleCrop>
  <ap:HeadingPairs>
    <vt:vector baseType="variant" size="4">
      <vt:variant>
        <vt:lpstr>Hojas de cálculo</vt:lpstr>
      </vt:variant>
      <vt:variant>
        <vt:i4>4</vt:i4>
      </vt:variant>
      <vt:variant>
        <vt:lpstr>Rangos con nombre</vt:lpstr>
      </vt:variant>
      <vt:variant>
        <vt:i4>19</vt:i4>
      </vt:variant>
    </vt:vector>
  </ap:HeadingPairs>
  <ap:TitlesOfParts>
    <vt:vector baseType="lpstr" size="23">
      <vt:lpstr>OBJETIVOS</vt:lpstr>
      <vt:lpstr>DIETA</vt:lpstr>
      <vt:lpstr>EJERCICIO</vt:lpstr>
      <vt:lpstr>Cálculos de gráfico</vt:lpstr>
      <vt:lpstr>ColumnTitle3</vt:lpstr>
      <vt:lpstr>DietLastEnd</vt:lpstr>
      <vt:lpstr>DietPeriod</vt:lpstr>
      <vt:lpstr>DietRowStart</vt:lpstr>
      <vt:lpstr>EndDate</vt:lpstr>
      <vt:lpstr>EndWeight</vt:lpstr>
      <vt:lpstr>ExerciseDateRange</vt:lpstr>
      <vt:lpstr>ExerciseLastEnd</vt:lpstr>
      <vt:lpstr>ExercisePeriod</vt:lpstr>
      <vt:lpstr>ExerciseRowStart</vt:lpstr>
      <vt:lpstr>LossPerDay</vt:lpstr>
      <vt:lpstr>PlanDays</vt:lpstr>
      <vt:lpstr>StartDate</vt:lpstr>
      <vt:lpstr>StartWeight</vt:lpstr>
      <vt:lpstr>Subtítulo</vt:lpstr>
      <vt:lpstr>TítuloDeColumna2</vt:lpstr>
      <vt:lpstr>DIETA!Títulos_a_imprimir</vt:lpstr>
      <vt:lpstr>EJERCICIO!Títulos_a_imprimir</vt:lpstr>
      <vt:lpstr>WeightGoal</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2022-11-06T06:50:33Z</dcterms:created>
  <dcterms:modified xsi:type="dcterms:W3CDTF">2022-12-07T06:22:37Z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