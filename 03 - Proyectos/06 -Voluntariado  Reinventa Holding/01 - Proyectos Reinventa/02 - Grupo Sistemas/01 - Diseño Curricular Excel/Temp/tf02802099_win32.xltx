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Default Extension="jpeg" ContentType="image/jpeg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worksheets/sheet31.xml" ContentType="application/vnd.openxmlformats-officedocument.spreadsheetml.worksheet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worksheets/sheet22.xml" ContentType="application/vnd.openxmlformats-officedocument.spreadsheetml.worksheet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1.xml" ContentType="application/vnd.openxmlformats-officedocument.theme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8800" windowHeight="12000" tabRatio="504" xr2:uid="{00000000-000D-0000-FFFF-FFFF00000000}"/>
  </bookViews>
  <sheets>
    <sheet name="Lista de alumnos" sheetId="2" r:id="rId1"/>
    <sheet name="Lista de clase" sheetId="1" r:id="rId2"/>
    <sheet name="Detalles de los alumnos" sheetId="5" r:id="rId3"/>
  </sheets>
  <definedNames>
    <definedName name="StudentList">Alumnos[NOMBRE DEL ALUMNO]</definedName>
    <definedName name="StudentName">'Detalles de los alumnos'!$D$5</definedName>
    <definedName name="Título1">Alumnos[[#Headers],[NOMBRE DEL ALUMNO]]</definedName>
    <definedName name="Título2">StudentRoster[[#Headers],[NOMBRE DEL ALUMNO]]</definedName>
    <definedName name="TítuloFilaRegión1..D13">'Detalles de los alumnos'!$C$5</definedName>
    <definedName name="TítuloFilaRegión1..D6">'Lista de clase'!$C$4</definedName>
    <definedName name="TítuloFilaRegión2..F5">'Lista de clase'!$E$4</definedName>
    <definedName name="_xlnm.Print_Titles" localSheetId="0">'Lista de alumnos'!$1:$4</definedName>
  </definedNames>
  <calcPr calcId="179017"/>
</workbook>
</file>

<file path=xl/calcChain.xml><?xml version="1.0" encoding="utf-8"?>
<calcChain xmlns="http://schemas.openxmlformats.org/spreadsheetml/2006/main">
  <c r="F12" i="1" l="1"/>
  <c r="F11" i="1"/>
  <c r="F10" i="1"/>
  <c r="F9" i="1"/>
  <c r="E12" i="1"/>
  <c r="E11" i="1"/>
  <c r="E10" i="1"/>
  <c r="E9" i="1"/>
  <c r="D12" i="1"/>
  <c r="D11" i="1"/>
  <c r="D10" i="1"/>
  <c r="D9" i="1"/>
  <c r="D7" i="5" l="1"/>
  <c r="D6" i="5"/>
  <c r="D8" i="5"/>
  <c r="D9" i="5"/>
  <c r="D10" i="5"/>
  <c r="D11" i="5"/>
  <c r="D12" i="5"/>
  <c r="D13" i="5"/>
  <c r="D6" i="1" l="1"/>
</calcChain>
</file>

<file path=xl/sharedStrings.xml><?xml version="1.0" encoding="utf-8"?>
<sst xmlns="http://schemas.openxmlformats.org/spreadsheetml/2006/main" count="86" uniqueCount="44">
  <si>
    <t>Lista de alumnos</t>
  </si>
  <si>
    <t>NOMBRE DEL ALUMNO</t>
  </si>
  <si>
    <t>Nombre 1</t>
  </si>
  <si>
    <t>Nombre 2</t>
  </si>
  <si>
    <t>Nombre 3</t>
  </si>
  <si>
    <t>Nombre 4</t>
  </si>
  <si>
    <t>CORREO ELECTRÓNICO</t>
  </si>
  <si>
    <t>Dirección de correo electrónico</t>
  </si>
  <si>
    <t>IR A LA LISTA DE CLASE</t>
  </si>
  <si>
    <t>IR A LOS DETALLES DE LOS ALUMNOS</t>
  </si>
  <si>
    <t>TELÉFONO PARTICULAR</t>
  </si>
  <si>
    <t>Teléfono particular</t>
  </si>
  <si>
    <t>TELÉFONO MÓVIL</t>
  </si>
  <si>
    <t>Teléfono móvil</t>
  </si>
  <si>
    <t>FECHA DE NACIMIENTO</t>
  </si>
  <si>
    <t>Fecha</t>
  </si>
  <si>
    <t>CONTACTO DE EMERGENCIA</t>
  </si>
  <si>
    <t>Contacto 1</t>
  </si>
  <si>
    <t>Contacto 2</t>
  </si>
  <si>
    <t>Contacto 3</t>
  </si>
  <si>
    <t>Contacto 4</t>
  </si>
  <si>
    <t>TELÉFONO DE EMERGENCIA</t>
  </si>
  <si>
    <t>Teléfono de emergencia</t>
  </si>
  <si>
    <t>MÉDICO</t>
  </si>
  <si>
    <t>Médico 1</t>
  </si>
  <si>
    <t>Médico 2</t>
  </si>
  <si>
    <t>Médico 3</t>
  </si>
  <si>
    <t>Médico 4</t>
  </si>
  <si>
    <t>TELÉFONO DEL MÉDICO</t>
  </si>
  <si>
    <t>Teléfono del médico</t>
  </si>
  <si>
    <t xml:space="preserve">  </t>
  </si>
  <si>
    <t>Sugerencia: para agregar más alumnos, en la última celda de la tabla, presione la tecla TAB.</t>
  </si>
  <si>
    <t>Lista de clase</t>
  </si>
  <si>
    <t>CURSO</t>
  </si>
  <si>
    <t>PROFESOR</t>
  </si>
  <si>
    <t>ALUMNOS INSCRITOS</t>
  </si>
  <si>
    <t>Graphic Design Institute</t>
  </si>
  <si>
    <t>Nombre del curso</t>
  </si>
  <si>
    <t>Profesor 1</t>
  </si>
  <si>
    <t>IR A LA LISTA DE ALUMNOS</t>
  </si>
  <si>
    <t>FECHA DE INICIO</t>
  </si>
  <si>
    <t>FECHA DE FINALIZACIÓN</t>
  </si>
  <si>
    <t>Detalles de los alumnos</t>
  </si>
  <si>
    <t>SUGERENCIA: SELECCIONAR UN ALUMNO DE LA LISTA DESPLEGABLE EN LA CELDA D5 PARA ACTUALIZAR LOS DETALLES DEL ALUMNO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</si>
</sst>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@\ \ *-"/>
    <numFmt numFmtId="169" formatCode="[&lt;=9999999]###\-####;\(###\)\ ###\-####"/>
    <numFmt numFmtId="170" formatCode="dd\-mm\-yy;@"/>
    <numFmt numFmtId="171" formatCode="[$-C0A]d&quot; de &quot;mmm&quot; de &quot;yy"/>
  </numFmts>
  <fonts count="27" x14ac:knownFonts="1">
    <font>
      <sz val="11"/>
      <color theme="1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1" tint="0.34998626667073579"/>
      <name val="Bookman Old Style"/>
      <family val="1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 tint="0.34998626667073579"/>
      <name val="Century Gothic"/>
      <family val="2"/>
      <scheme val="minor"/>
    </font>
    <font>
      <i/>
      <sz val="11"/>
      <color theme="1" tint="0.34998626667073579"/>
      <name val="Century Gothic"/>
      <family val="2"/>
      <scheme val="minor"/>
    </font>
    <font>
      <u/>
      <sz val="11"/>
      <color theme="11"/>
      <name val="Century Gothic"/>
      <family val="2"/>
      <scheme val="minor"/>
    </font>
    <font>
      <u/>
      <sz val="11"/>
      <color theme="4" tint="-0.499984740745262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Bookman Old Style"/>
      <family val="1"/>
      <scheme val="major"/>
    </font>
    <font>
      <b/>
      <sz val="16"/>
      <color theme="4" tint="-0.499984740745262"/>
      <name val="Bookman Old Style"/>
      <family val="1"/>
      <scheme val="major"/>
    </font>
    <font>
      <b/>
      <sz val="11"/>
      <color theme="4" tint="-0.499984740745262"/>
      <name val="Bookman Old Style"/>
      <family val="1"/>
      <scheme val="major"/>
    </font>
    <font>
      <b/>
      <sz val="11"/>
      <color theme="1" tint="0.34998626667073579"/>
      <name val="Century Gothic"/>
      <family val="2"/>
      <scheme val="minor"/>
    </font>
    <font>
      <u/>
      <sz val="11"/>
      <color theme="0"/>
      <name val="Century Gothic"/>
      <family val="2"/>
      <scheme val="minor"/>
    </font>
    <font>
      <b/>
      <sz val="28"/>
      <color theme="0"/>
      <name val="Bookman Old Style"/>
      <family val="1"/>
      <scheme val="major"/>
    </font>
    <font>
      <sz val="18"/>
      <color theme="3"/>
      <name val="Bookman Old Style"/>
      <family val="2"/>
      <scheme val="maj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sz val="11"/>
      <color theme="0"/>
      <name val="Century Gothic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 wrapText="1"/>
    </xf>
    <xf numFmtId="0" fontId="1" fillId="3" borderId="1" applyNumberFormat="0" applyProtection="0">
      <alignment wrapText="1"/>
    </xf>
    <xf numFmtId="0" fontId="2" fillId="2" borderId="1" applyNumberFormat="0" applyAlignment="0" applyProtection="0"/>
    <xf numFmtId="168" fontId="9" fillId="0" borderId="3" applyFill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167" fontId="12" fillId="0" borderId="0" applyFill="0" applyBorder="0" applyAlignment="0" applyProtection="0"/>
    <xf numFmtId="165" fontId="12" fillId="0" borderId="0" applyFill="0" applyBorder="0" applyAlignment="0" applyProtection="0"/>
    <xf numFmtId="166" fontId="12" fillId="0" borderId="0" applyFill="0" applyBorder="0" applyAlignment="0" applyProtection="0"/>
    <xf numFmtId="164" fontId="12" fillId="0" borderId="0" applyFill="0" applyBorder="0" applyAlignment="0" applyProtection="0"/>
    <xf numFmtId="9" fontId="12" fillId="0" borderId="0" applyFill="0" applyBorder="0" applyAlignment="0" applyProtection="0"/>
    <xf numFmtId="0" fontId="4" fillId="0" borderId="4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12" fillId="6" borderId="2" applyNumberFormat="0" applyAlignment="0" applyProtection="0"/>
    <xf numFmtId="0" fontId="7" fillId="0" borderId="6" applyNumberFormat="0" applyFill="0" applyAlignment="0" applyProtection="0"/>
    <xf numFmtId="0" fontId="1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2" borderId="16" applyNumberFormat="0" applyAlignment="0" applyProtection="0"/>
    <xf numFmtId="0" fontId="2" fillId="0" borderId="17" applyNumberFormat="0" applyFill="0" applyAlignment="0" applyProtection="0"/>
    <xf numFmtId="0" fontId="24" fillId="10" borderId="18" applyNumberFormat="0" applyAlignment="0" applyProtection="0"/>
    <xf numFmtId="0" fontId="25" fillId="0" borderId="0" applyNumberFormat="0" applyFill="0" applyBorder="0" applyAlignment="0" applyProtection="0"/>
    <xf numFmtId="0" fontId="26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26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26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26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26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26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</cellStyleXfs>
  <cellXfs count="62">
    <xf numFmtId="0" fontId="0" fillId="0" borderId="0" xfId="0">
      <alignment vertical="center" wrapText="1"/>
    </xf>
    <xf numFmtId="0" fontId="0" fillId="0" borderId="0" xfId="0" applyBorder="1">
      <alignment vertical="center" wrapText="1"/>
    </xf>
    <xf numFmtId="169" fontId="0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169" fontId="0" fillId="0" borderId="0" xfId="0" applyNumberFormat="1" applyFont="1" applyBorder="1" applyAlignment="1">
      <alignment horizontal="left" vertical="center"/>
    </xf>
    <xf numFmtId="0" fontId="0" fillId="0" borderId="8" xfId="0" applyBorder="1">
      <alignment vertical="center" wrapText="1"/>
    </xf>
    <xf numFmtId="0" fontId="0" fillId="0" borderId="12" xfId="0" applyBorder="1">
      <alignment vertical="center" wrapText="1"/>
    </xf>
    <xf numFmtId="0" fontId="13" fillId="0" borderId="0" xfId="0" applyFont="1" applyFill="1" applyBorder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0" fillId="0" borderId="12" xfId="0" applyFont="1" applyBorder="1">
      <alignment vertical="center" wrapText="1"/>
    </xf>
    <xf numFmtId="0" fontId="0" fillId="0" borderId="0" xfId="0" applyFont="1" applyFill="1" applyBorder="1">
      <alignment vertical="center" wrapText="1"/>
    </xf>
    <xf numFmtId="14" fontId="0" fillId="0" borderId="0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0" fillId="0" borderId="11" xfId="0" applyBorder="1">
      <alignment vertical="center" wrapText="1"/>
    </xf>
    <xf numFmtId="0" fontId="0" fillId="0" borderId="12" xfId="0" applyBorder="1" applyAlignment="1">
      <alignment vertical="center"/>
    </xf>
    <xf numFmtId="0" fontId="0" fillId="0" borderId="12" xfId="0" applyNumberFormat="1" applyFont="1" applyBorder="1" applyAlignment="1">
      <alignment vertical="center"/>
    </xf>
    <xf numFmtId="0" fontId="3" fillId="5" borderId="0" xfId="0" applyFont="1" applyFill="1" applyBorder="1" applyAlignment="1">
      <alignment horizontal="left" vertical="center" wrapText="1" indent="1"/>
    </xf>
    <xf numFmtId="0" fontId="8" fillId="5" borderId="0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vertical="center" wrapText="1"/>
    </xf>
    <xf numFmtId="0" fontId="0" fillId="5" borderId="0" xfId="0" applyFont="1" applyFill="1" applyBorder="1" applyAlignment="1">
      <alignment vertical="center"/>
    </xf>
    <xf numFmtId="0" fontId="0" fillId="0" borderId="0" xfId="0" applyFont="1">
      <alignment vertical="center" wrapText="1"/>
    </xf>
    <xf numFmtId="0" fontId="0" fillId="0" borderId="8" xfId="0" applyFont="1" applyBorder="1">
      <alignment vertical="center" wrapText="1"/>
    </xf>
    <xf numFmtId="0" fontId="0" fillId="0" borderId="11" xfId="0" applyFont="1" applyBorder="1">
      <alignment vertical="center" wrapText="1"/>
    </xf>
    <xf numFmtId="0" fontId="15" fillId="0" borderId="15" xfId="0" applyFont="1" applyBorder="1" applyAlignment="1">
      <alignment horizontal="left" vertical="center" indent="1"/>
    </xf>
    <xf numFmtId="0" fontId="16" fillId="0" borderId="15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indent="1"/>
    </xf>
    <xf numFmtId="0" fontId="8" fillId="0" borderId="7" xfId="0" applyFont="1" applyBorder="1" applyAlignment="1">
      <alignment horizontal="left" vertical="center"/>
    </xf>
    <xf numFmtId="169" fontId="8" fillId="0" borderId="7" xfId="0" applyNumberFormat="1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left" vertical="center"/>
    </xf>
    <xf numFmtId="0" fontId="0" fillId="0" borderId="13" xfId="0" applyFont="1" applyBorder="1">
      <alignment vertical="center" wrapText="1"/>
    </xf>
    <xf numFmtId="0" fontId="15" fillId="0" borderId="4" xfId="0" applyFont="1" applyBorder="1" applyAlignment="1">
      <alignment horizontal="left" vertical="center" indent="1"/>
    </xf>
    <xf numFmtId="169" fontId="8" fillId="0" borderId="4" xfId="0" applyNumberFormat="1" applyFont="1" applyBorder="1" applyAlignment="1">
      <alignment horizontal="left" vertical="center"/>
    </xf>
    <xf numFmtId="0" fontId="0" fillId="0" borderId="14" xfId="0" applyFont="1" applyBorder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/>
    <xf numFmtId="0" fontId="0" fillId="0" borderId="14" xfId="0" applyBorder="1" applyAlignment="1"/>
    <xf numFmtId="0" fontId="0" fillId="0" borderId="13" xfId="0" applyBorder="1">
      <alignment vertical="center" wrapText="1"/>
    </xf>
    <xf numFmtId="0" fontId="0" fillId="0" borderId="0" xfId="0" applyFill="1">
      <alignment vertical="center" wrapText="1"/>
    </xf>
    <xf numFmtId="170" fontId="8" fillId="0" borderId="7" xfId="0" applyNumberFormat="1" applyFont="1" applyBorder="1" applyAlignment="1">
      <alignment horizontal="left" vertical="center"/>
    </xf>
    <xf numFmtId="171" fontId="8" fillId="5" borderId="0" xfId="0" applyNumberFormat="1" applyFont="1" applyFill="1" applyBorder="1" applyAlignment="1">
      <alignment horizontal="left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7" fillId="0" borderId="0" xfId="4" applyFont="1" applyBorder="1" applyAlignment="1">
      <alignment horizontal="right" vertical="center" wrapText="1" indent="1"/>
    </xf>
    <xf numFmtId="0" fontId="17" fillId="0" borderId="12" xfId="4" applyFont="1" applyBorder="1" applyAlignment="1">
      <alignment horizontal="right" vertical="center" wrapText="1" inden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17" fillId="0" borderId="0" xfId="4" applyFont="1" applyBorder="1" applyAlignment="1">
      <alignment horizontal="center" vertical="center" wrapText="1"/>
    </xf>
    <xf numFmtId="0" fontId="17" fillId="0" borderId="12" xfId="4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7" fillId="0" borderId="0" xfId="4" applyFont="1" applyBorder="1" applyAlignment="1">
      <alignment horizontal="right" vertical="center" wrapText="1"/>
    </xf>
    <xf numFmtId="0" fontId="17" fillId="0" borderId="12" xfId="4" applyFont="1" applyBorder="1" applyAlignment="1">
      <alignment horizontal="right" vertical="center" wrapText="1"/>
    </xf>
    <xf numFmtId="0" fontId="8" fillId="4" borderId="0" xfId="0" applyFont="1" applyFill="1" applyAlignment="1">
      <alignment horizontal="center" vertical="center" wrapText="1"/>
    </xf>
    <xf numFmtId="0" fontId="17" fillId="0" borderId="9" xfId="4" applyFont="1" applyBorder="1" applyAlignment="1">
      <alignment horizontal="right" vertical="center" wrapText="1"/>
    </xf>
    <xf numFmtId="0" fontId="17" fillId="0" borderId="10" xfId="4" applyFont="1" applyBorder="1" applyAlignment="1">
      <alignment horizontal="right" vertical="center" wrapText="1"/>
    </xf>
    <xf numFmtId="0" fontId="17" fillId="0" borderId="9" xfId="4" applyFont="1" applyBorder="1" applyAlignment="1">
      <alignment horizontal="center" vertical="center" wrapText="1"/>
    </xf>
    <xf numFmtId="0" fontId="17" fillId="0" borderId="10" xfId="4" applyFont="1" applyBorder="1" applyAlignment="1">
      <alignment horizontal="center" vertical="center" wrapText="1"/>
    </xf>
  </cellXfs>
  <cellStyles count="49">
    <cellStyle name="20% - Énfasis1" xfId="26" builtinId="30" customBuiltin="1"/>
    <cellStyle name="20% - Énfasis2" xfId="30" builtinId="34" customBuiltin="1"/>
    <cellStyle name="20% - Énfasis3" xfId="34" builtinId="38" customBuiltin="1"/>
    <cellStyle name="20% - Énfasis4" xfId="38" builtinId="42" customBuiltin="1"/>
    <cellStyle name="20% - Énfasis5" xfId="42" builtinId="46" customBuiltin="1"/>
    <cellStyle name="20% - Énfasis6" xfId="46" builtinId="50" customBuiltin="1"/>
    <cellStyle name="40% - Énfasis1" xfId="27" builtinId="31" customBuiltin="1"/>
    <cellStyle name="40% - Énfasis2" xfId="31" builtinId="35" customBuiltin="1"/>
    <cellStyle name="40% - Énfasis3" xfId="35" builtinId="39" customBuiltin="1"/>
    <cellStyle name="40% - Énfasis4" xfId="39" builtinId="43" customBuiltin="1"/>
    <cellStyle name="40% - Énfasis5" xfId="43" builtinId="47" customBuiltin="1"/>
    <cellStyle name="40% - Énfasis6" xfId="47" builtinId="51" customBuiltin="1"/>
    <cellStyle name="60% - Énfasis1" xfId="28" builtinId="32" customBuiltin="1"/>
    <cellStyle name="60% - Énfasis2" xfId="32" builtinId="36" customBuiltin="1"/>
    <cellStyle name="60% - Énfasis3" xfId="36" builtinId="40" customBuiltin="1"/>
    <cellStyle name="60% - Énfasis4" xfId="40" builtinId="44" customBuiltin="1"/>
    <cellStyle name="60% - Énfasis5" xfId="44" builtinId="48" customBuiltin="1"/>
    <cellStyle name="60% - Énfasis6" xfId="48" builtinId="52" customBuiltin="1"/>
    <cellStyle name="Bueno" xfId="18" builtinId="26" customBuiltin="1"/>
    <cellStyle name="Cálculo" xfId="2" builtinId="22" customBuiltin="1"/>
    <cellStyle name="Celda de comprobación" xfId="23" builtinId="23" customBuiltin="1"/>
    <cellStyle name="Celda vinculada" xfId="22" builtinId="24" customBuiltin="1"/>
    <cellStyle name="Encabezado 1" xfId="11" builtinId="16" customBuiltin="1"/>
    <cellStyle name="Encabezado 4" xfId="17" builtinId="19" customBuiltin="1"/>
    <cellStyle name="Énfasis1" xfId="25" builtinId="29" customBuiltin="1"/>
    <cellStyle name="Énfasis2" xfId="29" builtinId="33" customBuiltin="1"/>
    <cellStyle name="Énfasis3" xfId="33" builtinId="37" customBuiltin="1"/>
    <cellStyle name="Énfasis4" xfId="37" builtinId="41" customBuiltin="1"/>
    <cellStyle name="Énfasis5" xfId="41" builtinId="45" customBuiltin="1"/>
    <cellStyle name="Énfasis6" xfId="45" builtinId="49" customBuiltin="1"/>
    <cellStyle name="Entrada" xfId="1" builtinId="20" customBuiltin="1"/>
    <cellStyle name="Hipervínculo" xfId="4" builtinId="8" customBuiltin="1"/>
    <cellStyle name="Hipervínculo visitado" xfId="5" builtinId="9" customBuiltin="1"/>
    <cellStyle name="Incorrecto" xfId="19" builtinId="27" customBuiltin="1"/>
    <cellStyle name="Millares" xfId="6" builtinId="3" customBuiltin="1"/>
    <cellStyle name="Millares [0]" xfId="7" builtinId="6" customBuiltin="1"/>
    <cellStyle name="Moneda" xfId="8" builtinId="4" customBuiltin="1"/>
    <cellStyle name="Moneda [0]" xfId="9" builtinId="7" customBuiltin="1"/>
    <cellStyle name="Neutral" xfId="20" builtinId="28" customBuiltin="1"/>
    <cellStyle name="Normal" xfId="0" builtinId="0" customBuiltin="1"/>
    <cellStyle name="Notas" xfId="14" builtinId="10" customBuiltin="1"/>
    <cellStyle name="Porcentaje" xfId="10" builtinId="5" customBuiltin="1"/>
    <cellStyle name="Salida" xfId="21" builtinId="21" customBuiltin="1"/>
    <cellStyle name="Texto de advertencia" xfId="24" builtinId="11" customBuiltin="1"/>
    <cellStyle name="Texto explicativo" xfId="3" builtinId="53" customBuiltin="1"/>
    <cellStyle name="Título" xfId="16" builtinId="15" customBuiltin="1"/>
    <cellStyle name="Título 2" xfId="12" builtinId="17" customBuiltin="1"/>
    <cellStyle name="Título 3" xfId="13" builtinId="18" customBuiltin="1"/>
    <cellStyle name="Total" xfId="15" builtinId="25" customBuiltin="1"/>
  </cellStyles>
  <dxfs count="24"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 style="thick">
          <color theme="4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ookman Old Style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6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</font>
      <alignment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Bookman Old Style"/>
        <scheme val="major"/>
      </font>
      <alignment horizontal="general" vertical="center" textRotation="0" wrapText="0" indent="0" justifyLastLine="0" shrinkToFit="0" readingOrder="0"/>
    </dxf>
    <dxf>
      <font>
        <b val="0"/>
        <i val="0"/>
        <color theme="0"/>
      </font>
      <fill>
        <patternFill>
          <bgColor theme="0"/>
        </patternFill>
      </fill>
      <border diagonalUp="0" diagonalDown="0">
        <left/>
        <right style="thick">
          <color theme="4" tint="0.59996337778862885"/>
        </right>
        <top/>
        <bottom/>
        <vertical/>
        <horizontal/>
      </border>
    </dxf>
    <dxf>
      <font>
        <b val="0"/>
        <i val="0"/>
        <color theme="0"/>
      </font>
      <fill>
        <patternFill>
          <bgColor theme="0"/>
        </patternFill>
      </fill>
      <border diagonalUp="0" diagonalDown="0">
        <left style="thick">
          <color theme="4" tint="0.59996337778862885"/>
        </left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 diagonalUp="0" diagonalDown="0">
        <left/>
        <right style="thick">
          <color theme="4" tint="-0.499984740745262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vertical/>
        <horizontal/>
      </border>
    </dxf>
    <dxf>
      <font>
        <b/>
        <i val="0"/>
        <color theme="1" tint="0.34998626667073579"/>
      </font>
      <fill>
        <patternFill patternType="solid">
          <fgColor theme="4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1" tint="0.34998626667073579"/>
      </font>
      <fill>
        <patternFill>
          <bgColor theme="0"/>
        </patternFill>
      </fill>
      <border>
        <left/>
        <right style="thick">
          <color theme="4" tint="-0.499984740745262"/>
        </right>
        <top style="thick">
          <color theme="4" tint="-0.499984740745262"/>
        </top>
        <bottom style="thick">
          <color theme="4" tint="-0.499984740745262"/>
        </bottom>
        <vertical/>
        <horizontal style="thin">
          <color theme="4" tint="-0.499984740745262"/>
        </horizontal>
      </border>
    </dxf>
  </dxfs>
  <tableStyles count="1" defaultTableStyle="ClassRoster_table1" defaultPivotStyle="PivotStyleLight16">
    <tableStyle name="ClassRoster_table1" pivot="0" count="6" xr9:uid="{00000000-0011-0000-FFFF-FFFF00000000}">
      <tableStyleElement type="wholeTable" dxfId="23"/>
      <tableStyleElement type="headerRow" dxfId="22"/>
      <tableStyleElement type="firstColumn" dxfId="21"/>
      <tableStyleElement type="lastColumn" dxfId="20"/>
      <tableStyleElement type="firstHeaderCell" dxfId="19"/>
      <tableStyleElement type="lastHeaderCell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/xl/worksheets/sheet31.xml" Id="rId3" /><Relationship Type="http://schemas.openxmlformats.org/officeDocument/2006/relationships/calcChain" Target="/xl/calcChain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haredStrings" Target="/xl/sharedStrings.xml" Id="rId6" /><Relationship Type="http://schemas.openxmlformats.org/officeDocument/2006/relationships/styles" Target="/xl/styles.xml" Id="rId5" /><Relationship Type="http://schemas.openxmlformats.org/officeDocument/2006/relationships/theme" Target="/xl/theme/theme11.xml" Id="rId4" /></Relationships>
</file>

<file path=xl/drawings/_rels/drawing13.xml.rels>&#65279;<?xml version="1.0" encoding="utf-8"?><Relationships xmlns="http://schemas.openxmlformats.org/package/2006/relationships"><Relationship Type="http://schemas.openxmlformats.org/officeDocument/2006/relationships/hyperlink" Target="#'Lista de clase'!A1" TargetMode="External" Id="rId2" /><Relationship Type="http://schemas.openxmlformats.org/officeDocument/2006/relationships/hyperlink" Target="#'Detalles de los alumnos'!A1" TargetMode="External" Id="rId1" /></Relationships>
</file>

<file path=xl/drawings/_rels/drawing22.xml.rels>&#65279;<?xml version="1.0" encoding="utf-8"?><Relationships xmlns="http://schemas.openxmlformats.org/package/2006/relationships"><Relationship Type="http://schemas.openxmlformats.org/officeDocument/2006/relationships/hyperlink" Target="#'Lista de alumnos'!A1" TargetMode="External" Id="rId2" /><Relationship Type="http://schemas.openxmlformats.org/officeDocument/2006/relationships/hyperlink" Target="#'Detalles de los alumnos'!A1" TargetMode="External" Id="rId1" /></Relationships>
</file>

<file path=xl/drawings/_rels/drawing31.xml.rels>&#65279;<?xml version="1.0" encoding="utf-8"?><Relationships xmlns="http://schemas.openxmlformats.org/package/2006/relationships"><Relationship Type="http://schemas.openxmlformats.org/officeDocument/2006/relationships/hyperlink" Target="#'Lista de alumnos'!A1" TargetMode="External" Id="rId2" /><Relationship Type="http://schemas.openxmlformats.org/officeDocument/2006/relationships/hyperlink" Target="#'Lista de clase'!A1" TargetMode="External" Id="rId1" /></Relationships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2066925</xdr:colOff>
      <xdr:row>2</xdr:row>
      <xdr:rowOff>29576</xdr:rowOff>
    </xdr:from>
    <xdr:to>
      <xdr:col>11</xdr:col>
      <xdr:colOff>119743</xdr:colOff>
      <xdr:row>2</xdr:row>
      <xdr:rowOff>200025</xdr:rowOff>
    </xdr:to>
    <xdr:sp macro="" textlink="">
      <xdr:nvSpPr>
        <xdr:cNvPr id="4" name="Ir a los detalles de los alumnos" descr="Student Details navigation button">
          <a:hlinkClick xmlns:r="http://schemas.openxmlformats.org/officeDocument/2006/relationships" r:id="rId1" tooltip="Seleccione esta opción para ir a la hoja de cálculo Detalles de los alumnos.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401800" y="658226"/>
          <a:ext cx="3205843" cy="17044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es" sz="1100" b="1">
              <a:solidFill>
                <a:schemeClr val="bg1"/>
              </a:solidFill>
              <a:latin typeface="Bookman Old Style" panose="02050604050505020204" pitchFamily="18" charset="0"/>
            </a:rPr>
            <a:t>IR A LOS DETALLES DE LOS ALUMNOS</a:t>
          </a:r>
        </a:p>
      </xdr:txBody>
    </xdr:sp>
    <xdr:clientData fPrintsWithSheet="0"/>
  </xdr:twoCellAnchor>
  <xdr:twoCellAnchor editAs="oneCell">
    <xdr:from>
      <xdr:col>2</xdr:col>
      <xdr:colOff>0</xdr:colOff>
      <xdr:row>1</xdr:row>
      <xdr:rowOff>0</xdr:rowOff>
    </xdr:from>
    <xdr:to>
      <xdr:col>3</xdr:col>
      <xdr:colOff>1838325</xdr:colOff>
      <xdr:row>2</xdr:row>
      <xdr:rowOff>274572</xdr:rowOff>
    </xdr:to>
    <xdr:sp macro="" textlink="C2">
      <xdr:nvSpPr>
        <xdr:cNvPr id="7" name="Lista de alumnos" descr="Student Lis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7650" y="219075"/>
          <a:ext cx="3810000" cy="684147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 rtl="0"/>
          <a:fld id="{4E5C5A06-5E1B-41EF-8A1D-AD9F8790E807}" type="TxLink">
            <a:rPr lang="en-US" sz="2800" b="1" i="0" u="none" strike="noStrike">
              <a:solidFill>
                <a:srgbClr val="FFFFFF"/>
              </a:solidFill>
              <a:latin typeface="Bookman Old Style" panose="02050604050505020204" pitchFamily="18" charset="0"/>
            </a:rPr>
            <a:pPr algn="ctr" rtl="0"/>
            <a:t>Lista de alumnos</a:t>
          </a:fld>
          <a:endParaRPr lang="en-US" sz="28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8</xdr:col>
      <xdr:colOff>2066926</xdr:colOff>
      <xdr:row>1</xdr:row>
      <xdr:rowOff>132433</xdr:rowOff>
    </xdr:from>
    <xdr:to>
      <xdr:col>11</xdr:col>
      <xdr:colOff>118651</xdr:colOff>
      <xdr:row>1</xdr:row>
      <xdr:rowOff>304800</xdr:rowOff>
    </xdr:to>
    <xdr:sp macro="" textlink="">
      <xdr:nvSpPr>
        <xdr:cNvPr id="3" name="Ir a la lista de clase" descr="Class Roster navigation button">
          <a:hlinkClick xmlns:r="http://schemas.openxmlformats.org/officeDocument/2006/relationships" r:id="rId2" tooltip="Seleccione esta opción para ir a la hoja de cálculo Lista de clase.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01801" y="351508"/>
          <a:ext cx="3204750" cy="17236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es" sz="1100" b="1">
              <a:solidFill>
                <a:schemeClr val="bg1"/>
              </a:solidFill>
              <a:latin typeface="Bookman Old Style" panose="02050604050505020204" pitchFamily="18" charset="0"/>
            </a:rPr>
            <a:t>IR A LA LISTA DE CLASE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5715</xdr:rowOff>
    </xdr:from>
    <xdr:to>
      <xdr:col>3</xdr:col>
      <xdr:colOff>375</xdr:colOff>
      <xdr:row>2</xdr:row>
      <xdr:rowOff>280140</xdr:rowOff>
    </xdr:to>
    <xdr:sp macro="" textlink="C2">
      <xdr:nvSpPr>
        <xdr:cNvPr id="4" name="Lista de clase" descr="Class Roster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47650" y="224790"/>
          <a:ext cx="3096000" cy="6840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 rtl="0"/>
          <a:fld id="{A216D4F5-83C8-4E87-A21B-328C609D29F1}" type="TxLink">
            <a:rPr lang="en-US" sz="2800" b="1" i="0" u="none" strike="noStrike">
              <a:solidFill>
                <a:srgbClr val="FFFFFF"/>
              </a:solidFill>
              <a:latin typeface="Bookman Old Style" panose="02050604050505020204" pitchFamily="18" charset="0"/>
            </a:rPr>
            <a:pPr algn="ctr" rtl="0"/>
            <a:t>Lista de clase</a:t>
          </a:fld>
          <a:endParaRPr lang="en-US" sz="28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4</xdr:col>
      <xdr:colOff>990600</xdr:colOff>
      <xdr:row>2</xdr:row>
      <xdr:rowOff>57150</xdr:rowOff>
    </xdr:from>
    <xdr:to>
      <xdr:col>6</xdr:col>
      <xdr:colOff>118474</xdr:colOff>
      <xdr:row>2</xdr:row>
      <xdr:rowOff>224784</xdr:rowOff>
    </xdr:to>
    <xdr:sp macro="" textlink="">
      <xdr:nvSpPr>
        <xdr:cNvPr id="5" name="Ir a los Detalles de los alumnos" descr="Student Details navigation button">
          <a:hlinkClick xmlns:r="http://schemas.openxmlformats.org/officeDocument/2006/relationships" r:id="rId1" tooltip="Seleccione esta opción para ir a la hoja de cálculo Detalles de los alumnos.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77150" y="685800"/>
          <a:ext cx="3185524" cy="16763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l" rtl="0"/>
          <a:r>
            <a:rPr lang="es" sz="1100" b="1">
              <a:solidFill>
                <a:schemeClr val="bg1"/>
              </a:solidFill>
              <a:latin typeface="Bookman Old Style" panose="02050604050505020204" pitchFamily="18" charset="0"/>
            </a:rPr>
            <a:t>IR A LOS DETALLES DE LOS ALUMNOS</a:t>
          </a:r>
        </a:p>
      </xdr:txBody>
    </xdr:sp>
    <xdr:clientData fPrintsWithSheet="0"/>
  </xdr:twoCellAnchor>
  <xdr:twoCellAnchor editAs="oneCell">
    <xdr:from>
      <xdr:col>4</xdr:col>
      <xdr:colOff>990600</xdr:colOff>
      <xdr:row>1</xdr:row>
      <xdr:rowOff>152400</xdr:rowOff>
    </xdr:from>
    <xdr:to>
      <xdr:col>6</xdr:col>
      <xdr:colOff>118474</xdr:colOff>
      <xdr:row>1</xdr:row>
      <xdr:rowOff>321521</xdr:rowOff>
    </xdr:to>
    <xdr:sp macro="" textlink="">
      <xdr:nvSpPr>
        <xdr:cNvPr id="3" name="Ir a la Lista de alumnos" descr="Student List navigation button">
          <a:hlinkClick xmlns:r="http://schemas.openxmlformats.org/officeDocument/2006/relationships" r:id="rId2" tooltip="Seleccione esta opción para ir a la hoja de cálculo Lista de alumnos.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77150" y="371475"/>
          <a:ext cx="3185524" cy="16912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es" sz="1100" b="1">
              <a:solidFill>
                <a:schemeClr val="bg1"/>
              </a:solidFill>
              <a:latin typeface="Bookman Old Style" panose="02050604050505020204" pitchFamily="18" charset="0"/>
            </a:rPr>
            <a:t>IR A LA LISTA DE ALUMNOS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10259</xdr:colOff>
      <xdr:row>1</xdr:row>
      <xdr:rowOff>7481</xdr:rowOff>
    </xdr:from>
    <xdr:to>
      <xdr:col>3</xdr:col>
      <xdr:colOff>9525</xdr:colOff>
      <xdr:row>2</xdr:row>
      <xdr:rowOff>281906</xdr:rowOff>
    </xdr:to>
    <xdr:sp macro="" textlink="C2">
      <xdr:nvSpPr>
        <xdr:cNvPr id="27" name="Detalles de los alumnos" descr="Student details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257909" y="226556"/>
          <a:ext cx="4876066" cy="6840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Ins="91440" rtlCol="0" anchor="ctr">
          <a:noAutofit/>
        </a:bodyPr>
        <a:lstStyle/>
        <a:p>
          <a:pPr algn="ctr" rtl="0"/>
          <a:fld id="{66EE8BF1-1BB7-40B6-BD43-5DE580D9C20E}" type="TxLink">
            <a:rPr lang="en-US" sz="2800" b="1" i="0" u="none" strike="noStrike">
              <a:solidFill>
                <a:srgbClr val="FFFFFF"/>
              </a:solidFill>
              <a:latin typeface="Bookman Old Style" panose="02050604050505020204" pitchFamily="18" charset="0"/>
            </a:rPr>
            <a:pPr algn="ctr" rtl="0"/>
            <a:t>Detalles de los alumnos</a:t>
          </a:fld>
          <a:endParaRPr lang="en-US" sz="28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3</xdr:col>
      <xdr:colOff>2351844</xdr:colOff>
      <xdr:row>2</xdr:row>
      <xdr:rowOff>51613</xdr:rowOff>
    </xdr:from>
    <xdr:to>
      <xdr:col>4</xdr:col>
      <xdr:colOff>109570</xdr:colOff>
      <xdr:row>2</xdr:row>
      <xdr:rowOff>243637</xdr:rowOff>
    </xdr:to>
    <xdr:sp macro="" textlink="">
      <xdr:nvSpPr>
        <xdr:cNvPr id="3" name="Ir a la Lista de clase" descr="Class Roster navigation button">
          <a:hlinkClick xmlns:r="http://schemas.openxmlformats.org/officeDocument/2006/relationships" r:id="rId1" tooltip="Seleccione esta opción para ir a la hoja de cálculo Lista de clase.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76294" y="680263"/>
          <a:ext cx="2282101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es" sz="1050" b="1">
              <a:solidFill>
                <a:schemeClr val="bg1"/>
              </a:solidFill>
              <a:latin typeface="Bookman Old Style" panose="02050604050505020204" pitchFamily="18" charset="0"/>
            </a:rPr>
            <a:t>IR A LA LISTA DE CLASE</a:t>
          </a:r>
        </a:p>
      </xdr:txBody>
    </xdr:sp>
    <xdr:clientData fPrintsWithSheet="0"/>
  </xdr:twoCellAnchor>
  <xdr:twoCellAnchor editAs="oneCell">
    <xdr:from>
      <xdr:col>3</xdr:col>
      <xdr:colOff>2354225</xdr:colOff>
      <xdr:row>1</xdr:row>
      <xdr:rowOff>140866</xdr:rowOff>
    </xdr:from>
    <xdr:to>
      <xdr:col>4</xdr:col>
      <xdr:colOff>111951</xdr:colOff>
      <xdr:row>1</xdr:row>
      <xdr:rowOff>332890</xdr:rowOff>
    </xdr:to>
    <xdr:sp macro="" textlink="">
      <xdr:nvSpPr>
        <xdr:cNvPr id="2" name="Ir a la Lista de alumnos" descr="Student List navigation button">
          <a:hlinkClick xmlns:r="http://schemas.openxmlformats.org/officeDocument/2006/relationships" r:id="rId2" tooltip="Seleccione esta opción para ir a la hoja de cálculo Lista de alumnos.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78675" y="359941"/>
          <a:ext cx="2282101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es" sz="1050" b="1">
              <a:solidFill>
                <a:schemeClr val="bg1"/>
              </a:solidFill>
              <a:latin typeface="Bookman Old Style" panose="02050604050505020204" pitchFamily="18" charset="0"/>
            </a:rPr>
            <a:t>IR A LA LISTA DE ALUMNOS</a:t>
          </a:r>
        </a:p>
      </xdr:txBody>
    </xdr:sp>
    <xdr:clientData fPrintsWithSheet="0"/>
  </xdr:twoCellAnchor>
</xdr:wsDr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lumnos" displayName="Alumnos" ref="C4:L8" totalsRowShown="0" headerRowDxfId="17" dataDxfId="16">
  <tableColumns count="10">
    <tableColumn id="15" xr3:uid="{00000000-0010-0000-0000-00000F000000}" name="NOMBRE DEL ALUMNO" dataDxfId="15"/>
    <tableColumn id="3" xr3:uid="{00000000-0010-0000-0000-000003000000}" name="CORREO ELECTRÓNICO" dataDxfId="14"/>
    <tableColumn id="4" xr3:uid="{00000000-0010-0000-0000-000004000000}" name="TELÉFONO PARTICULAR" dataDxfId="13"/>
    <tableColumn id="5" xr3:uid="{00000000-0010-0000-0000-000005000000}" name="TELÉFONO MÓVIL" dataDxfId="12"/>
    <tableColumn id="6" xr3:uid="{00000000-0010-0000-0000-000006000000}" name="FECHA DE NACIMIENTO" dataDxfId="11"/>
    <tableColumn id="7" xr3:uid="{00000000-0010-0000-0000-000007000000}" name="CONTACTO DE EMERGENCIA" dataDxfId="10"/>
    <tableColumn id="8" xr3:uid="{00000000-0010-0000-0000-000008000000}" name="TELÉFONO DE EMERGENCIA" dataDxfId="9"/>
    <tableColumn id="9" xr3:uid="{00000000-0010-0000-0000-000009000000}" name="MÉDICO" dataDxfId="8"/>
    <tableColumn id="10" xr3:uid="{00000000-0010-0000-0000-00000A000000}" name="TELÉFONO DEL MÉDICO" dataDxfId="7"/>
    <tableColumn id="2" xr3:uid="{00000000-0010-0000-0000-000002000000}" name="  " dataCellStyle="Normal"/>
  </tableColumns>
  <tableStyleInfo name="ClassRoster_table1" showFirstColumn="0" showLastColumn="1" showRowStripes="1" showColumnStripes="0"/>
  <extLst>
    <ext xmlns:x14="http://schemas.microsoft.com/office/spreadsheetml/2009/9/main" uri="{504A1905-F514-4f6f-8877-14C23A59335A}">
      <x14:table altTextSummary="Escriba nombre del alumno, dirección de correo electrónico, número de teléfono móvil y de casa, fecha de nacimiento, detalles de contacto de emergencia y detalles del médico en esta tabla.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StudentRoster" displayName="StudentRoster" ref="C8:G12" totalsRowShown="0" headerRowDxfId="6" dataDxfId="5">
  <tableColumns count="5">
    <tableColumn id="1" xr3:uid="{00000000-0010-0000-0100-000001000000}" name="NOMBRE DEL ALUMNO" dataDxfId="4"/>
    <tableColumn id="2" xr3:uid="{00000000-0010-0000-0100-000002000000}" name="CORREO ELECTRÓNICO" dataDxfId="3">
      <calculatedColumnFormula>IFERROR(VLOOKUP(StudentRoster[[#This Row],[NOMBRE DEL ALUMNO]],Alumnos[],2),"")</calculatedColumnFormula>
    </tableColumn>
    <tableColumn id="3" xr3:uid="{00000000-0010-0000-0100-000003000000}" name="TELÉFONO PARTICULAR" dataDxfId="2">
      <calculatedColumnFormula>IFERROR(VLOOKUP(StudentRoster[[#This Row],[NOMBRE DEL ALUMNO]],Alumnos[],3),"")</calculatedColumnFormula>
    </tableColumn>
    <tableColumn id="4" xr3:uid="{00000000-0010-0000-0100-000004000000}" name="TELÉFONO MÓVIL" dataDxfId="1">
      <calculatedColumnFormula>IFERROR(VLOOKUP(StudentRoster[[#This Row],[NOMBRE DEL ALUMNO]],Alumnos[],4),"")</calculatedColumnFormula>
    </tableColumn>
    <tableColumn id="6" xr3:uid="{00000000-0010-0000-0100-000006000000}" name="  " dataDxfId="0"/>
  </tableColumns>
  <tableStyleInfo name="ClassRoster_table1" showFirstColumn="0" showLastColumn="1" showRowStripes="1" showColumnStripes="0"/>
  <extLst>
    <ext xmlns:x14="http://schemas.microsoft.com/office/spreadsheetml/2009/9/main" uri="{504A1905-F514-4f6f-8877-14C23A59335A}">
      <x14:table altTextSummary="Seleccione el nombre de alumno. Los otros detalles se actualizan automáticamente en esta tabla."/>
    </ext>
  </extLst>
</table>
</file>

<file path=xl/theme/_rels/theme11.xml.rels>&#65279;<?xml version="1.0" encoding="utf-8"?><Relationships xmlns="http://schemas.openxmlformats.org/package/2006/relationships"><Relationship Type="http://schemas.openxmlformats.org/officeDocument/2006/relationships/image" Target="/xl/media/image2.jpeg" Id="rId2" /><Relationship Type="http://schemas.openxmlformats.org/officeDocument/2006/relationships/image" Target="/xl/media/image12.jpeg" Id="rId1" /></Relationships>
</file>

<file path=xl/theme/theme11.xml><?xml version="1.0" encoding="utf-8"?>
<a:theme xmlns:a="http://schemas.openxmlformats.org/drawingml/2006/main" name="Sketchbook">
  <a:themeElements>
    <a:clrScheme name="ClassRoster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1C7DB"/>
      </a:accent1>
      <a:accent2>
        <a:srgbClr val="96C030"/>
      </a:accent2>
      <a:accent3>
        <a:srgbClr val="DB4D75"/>
      </a:accent3>
      <a:accent4>
        <a:srgbClr val="F09D23"/>
      </a:accent4>
      <a:accent5>
        <a:srgbClr val="8968A9"/>
      </a:accent5>
      <a:accent6>
        <a:srgbClr val="EAC71D"/>
      </a:accent6>
      <a:hlink>
        <a:srgbClr val="61C7DB"/>
      </a:hlink>
      <a:folHlink>
        <a:srgbClr val="8968A9"/>
      </a:folHlink>
    </a:clrScheme>
    <a:fontScheme name="ClassRoster_fonts">
      <a:majorFont>
        <a:latin typeface="Bookman Old Style"/>
        <a:ea typeface=""/>
        <a:cs typeface=""/>
      </a:majorFont>
      <a:minorFont>
        <a:latin typeface="Century Gothic"/>
        <a:ea typeface=""/>
        <a:cs typeface=""/>
      </a:minorFont>
    </a:fontScheme>
    <a:fmtScheme name="Sketchbook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alpha val="94000"/>
                <a:satMod val="120000"/>
                <a:lumMod val="110000"/>
              </a:schemeClr>
            </a:gs>
            <a:gs pos="100000">
              <a:schemeClr val="phClr">
                <a:tint val="80000"/>
                <a:shade val="100000"/>
                <a:satMod val="140000"/>
                <a:lumMod val="12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100000"/>
                <a:shade val="100000"/>
                <a:satMod val="100000"/>
                <a:lumMod val="90000"/>
              </a:schemeClr>
            </a:gs>
            <a:gs pos="100000">
              <a:schemeClr val="phClr">
                <a:tint val="95000"/>
                <a:shade val="100000"/>
                <a:satMod val="110000"/>
                <a:lumMod val="105000"/>
              </a:schemeClr>
            </a:gs>
          </a:gsLst>
          <a:path path="circle">
            <a:fillToRect l="40000" t="100000" r="4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rotWithShape="0">
              <a:srgbClr val="000000">
                <a:alpha val="37000"/>
              </a:srgbClr>
            </a:outerShdw>
          </a:effectLst>
        </a:effectStyle>
        <a:effectStyle>
          <a:effectLst>
            <a:outerShdw blurRad="50800" dist="25400" dir="5040000" rotWithShape="0">
              <a:srgbClr val="000000">
                <a:alpha val="44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dkEdge">
            <a:bevelT w="38100" h="25400" prst="coolSlant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55000"/>
                <a:lumMod val="90000"/>
              </a:schemeClr>
              <a:schemeClr val="phClr">
                <a:tint val="92000"/>
                <a:satMod val="120000"/>
                <a:lumMod val="103000"/>
              </a:schemeClr>
            </a:duotone>
          </a:blip>
          <a:stretch/>
        </a:blipFill>
        <a:blipFill rotWithShape="1">
          <a:blip xmlns:r="http://schemas.openxmlformats.org/officeDocument/2006/relationships" r:embed="rId2">
            <a:duotone>
              <a:schemeClr val="phClr">
                <a:shade val="96000"/>
              </a:schemeClr>
              <a:schemeClr val="phClr">
                <a:tint val="98000"/>
              </a:schemeClr>
            </a:duotone>
          </a:blip>
          <a:tile tx="0" ty="0" sx="50000" sy="50000" flip="none" algn="tl"/>
        </a:blipFill>
      </a:bgFillStyleLst>
    </a:fmtScheme>
  </a:themeElements>
  <a:objectDefaults/>
  <a:extraClrSchemeLst/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12.xml" Id="rId3" /><Relationship Type="http://schemas.openxmlformats.org/officeDocument/2006/relationships/drawing" Target="/xl/drawings/drawing13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21.xml" Id="rId3" /><Relationship Type="http://schemas.openxmlformats.org/officeDocument/2006/relationships/drawing" Target="/xl/drawings/drawing2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drawing" Target="/xl/drawings/drawing31.xml" Id="rId2" /><Relationship Type="http://schemas.openxmlformats.org/officeDocument/2006/relationships/printerSettings" Target="/xl/printerSettings/printerSettings31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Q10"/>
  <sheetViews>
    <sheetView showGridLines="0" tabSelected="1" zoomScaleNormal="100" workbookViewId="0"/>
  </sheetViews>
  <sheetFormatPr baseColWidth="10" defaultColWidth="9" defaultRowHeight="30" customHeight="1" x14ac:dyDescent="0.3"/>
  <cols>
    <col min="1" max="2" width="1.625" customWidth="1"/>
    <col min="3" max="3" width="25.875" customWidth="1"/>
    <col min="4" max="4" width="31" customWidth="1"/>
    <col min="5" max="5" width="26.125" bestFit="1" customWidth="1"/>
    <col min="6" max="6" width="19.625" bestFit="1" customWidth="1"/>
    <col min="7" max="7" width="25.375" bestFit="1" customWidth="1"/>
    <col min="8" max="8" width="30.625" bestFit="1" customWidth="1"/>
    <col min="9" max="9" width="30.375" bestFit="1" customWidth="1"/>
    <col min="10" max="10" width="11.375" customWidth="1"/>
    <col min="11" max="11" width="25.875" bestFit="1" customWidth="1"/>
    <col min="12" max="13" width="1.625" customWidth="1"/>
    <col min="14" max="14" width="9" customWidth="1"/>
  </cols>
  <sheetData>
    <row r="1" spans="2:17" ht="17.25" thickBot="1" x14ac:dyDescent="0.35"/>
    <row r="2" spans="2:17" ht="32.25" customHeight="1" thickTop="1" x14ac:dyDescent="0.3">
      <c r="B2" s="7"/>
      <c r="C2" s="45" t="s">
        <v>0</v>
      </c>
      <c r="D2" s="45"/>
      <c r="E2" s="58" t="s">
        <v>8</v>
      </c>
      <c r="F2" s="58"/>
      <c r="G2" s="58"/>
      <c r="H2" s="58"/>
      <c r="I2" s="58"/>
      <c r="J2" s="58"/>
      <c r="K2" s="58"/>
      <c r="L2" s="59"/>
    </row>
    <row r="3" spans="2:17" ht="30" customHeight="1" x14ac:dyDescent="0.3">
      <c r="B3" s="15"/>
      <c r="C3" s="46"/>
      <c r="D3" s="46"/>
      <c r="E3" s="47" t="s">
        <v>9</v>
      </c>
      <c r="F3" s="47"/>
      <c r="G3" s="47"/>
      <c r="H3" s="47"/>
      <c r="I3" s="47"/>
      <c r="J3" s="47"/>
      <c r="K3" s="47"/>
      <c r="L3" s="48"/>
    </row>
    <row r="4" spans="2:17" ht="23.25" customHeight="1" x14ac:dyDescent="0.3">
      <c r="B4" s="15"/>
      <c r="C4" s="9" t="s">
        <v>1</v>
      </c>
      <c r="D4" s="10" t="s">
        <v>6</v>
      </c>
      <c r="E4" s="10" t="s">
        <v>10</v>
      </c>
      <c r="F4" s="10" t="s">
        <v>12</v>
      </c>
      <c r="G4" s="10" t="s">
        <v>14</v>
      </c>
      <c r="H4" s="10" t="s">
        <v>16</v>
      </c>
      <c r="I4" s="10" t="s">
        <v>21</v>
      </c>
      <c r="J4" s="10" t="s">
        <v>23</v>
      </c>
      <c r="K4" s="10" t="s">
        <v>28</v>
      </c>
      <c r="L4" s="8" t="s">
        <v>30</v>
      </c>
    </row>
    <row r="5" spans="2:17" ht="30" customHeight="1" x14ac:dyDescent="0.3">
      <c r="B5" s="15"/>
      <c r="C5" s="4" t="s">
        <v>2</v>
      </c>
      <c r="D5" s="42" t="s">
        <v>7</v>
      </c>
      <c r="E5" s="2" t="s">
        <v>11</v>
      </c>
      <c r="F5" s="2" t="s">
        <v>13</v>
      </c>
      <c r="G5" s="13" t="s">
        <v>15</v>
      </c>
      <c r="H5" s="3" t="s">
        <v>17</v>
      </c>
      <c r="I5" s="2" t="s">
        <v>22</v>
      </c>
      <c r="J5" s="3" t="s">
        <v>24</v>
      </c>
      <c r="K5" s="2" t="s">
        <v>29</v>
      </c>
    </row>
    <row r="6" spans="2:17" ht="30" customHeight="1" x14ac:dyDescent="0.3">
      <c r="B6" s="15"/>
      <c r="C6" s="4" t="s">
        <v>3</v>
      </c>
      <c r="D6" s="12" t="s">
        <v>7</v>
      </c>
      <c r="E6" s="2" t="s">
        <v>11</v>
      </c>
      <c r="F6" s="2" t="s">
        <v>13</v>
      </c>
      <c r="G6" s="13" t="s">
        <v>15</v>
      </c>
      <c r="H6" s="3" t="s">
        <v>18</v>
      </c>
      <c r="I6" s="2" t="s">
        <v>22</v>
      </c>
      <c r="J6" s="3" t="s">
        <v>25</v>
      </c>
      <c r="K6" s="2" t="s">
        <v>29</v>
      </c>
    </row>
    <row r="7" spans="2:17" ht="30" customHeight="1" x14ac:dyDescent="0.3">
      <c r="B7" s="15"/>
      <c r="C7" s="4" t="s">
        <v>4</v>
      </c>
      <c r="D7" s="12" t="s">
        <v>7</v>
      </c>
      <c r="E7" s="2" t="s">
        <v>11</v>
      </c>
      <c r="F7" s="2" t="s">
        <v>13</v>
      </c>
      <c r="G7" s="13" t="s">
        <v>15</v>
      </c>
      <c r="H7" s="3" t="s">
        <v>19</v>
      </c>
      <c r="I7" s="2" t="s">
        <v>22</v>
      </c>
      <c r="J7" s="3" t="s">
        <v>26</v>
      </c>
      <c r="K7" s="2" t="s">
        <v>29</v>
      </c>
      <c r="M7" s="49" t="s">
        <v>31</v>
      </c>
      <c r="N7" s="50"/>
      <c r="O7" s="50"/>
      <c r="P7" s="50"/>
      <c r="Q7" s="50"/>
    </row>
    <row r="8" spans="2:17" ht="30" customHeight="1" x14ac:dyDescent="0.3">
      <c r="B8" s="15"/>
      <c r="C8" s="4" t="s">
        <v>5</v>
      </c>
      <c r="D8" s="12" t="s">
        <v>7</v>
      </c>
      <c r="E8" s="2" t="s">
        <v>11</v>
      </c>
      <c r="F8" s="2" t="s">
        <v>13</v>
      </c>
      <c r="G8" s="13" t="s">
        <v>15</v>
      </c>
      <c r="H8" s="3" t="s">
        <v>20</v>
      </c>
      <c r="I8" s="2" t="s">
        <v>22</v>
      </c>
      <c r="J8" s="3" t="s">
        <v>27</v>
      </c>
      <c r="K8" s="2" t="s">
        <v>29</v>
      </c>
      <c r="M8" s="49"/>
      <c r="N8" s="50"/>
      <c r="O8" s="50"/>
      <c r="P8" s="50"/>
      <c r="Q8" s="50"/>
    </row>
    <row r="9" spans="2:17" ht="30" customHeight="1" thickBot="1" x14ac:dyDescent="0.35">
      <c r="B9" s="41"/>
      <c r="C9" s="39"/>
      <c r="D9" s="39"/>
      <c r="E9" s="39"/>
      <c r="F9" s="39"/>
      <c r="G9" s="39"/>
      <c r="H9" s="39"/>
      <c r="I9" s="39"/>
      <c r="J9" s="39"/>
      <c r="K9" s="39"/>
      <c r="L9" s="40"/>
      <c r="M9" s="49"/>
      <c r="N9" s="50"/>
      <c r="O9" s="50"/>
      <c r="P9" s="50"/>
      <c r="Q9" s="50"/>
    </row>
    <row r="10" spans="2:17" ht="30" customHeight="1" thickTop="1" x14ac:dyDescent="0.3"/>
  </sheetData>
  <mergeCells count="4">
    <mergeCell ref="C2:D3"/>
    <mergeCell ref="E2:L2"/>
    <mergeCell ref="E3:L3"/>
    <mergeCell ref="M7:Q9"/>
  </mergeCells>
  <dataValidations xWindow="144" yWindow="415" count="14">
    <dataValidation allowBlank="1" showInputMessage="1" showErrorMessage="1" prompt="Cree la lista de clase en este libro. Escriba los detalles en la tabla Alumnos en esta hoja de cálculo. Seleccione las celdas E2 y E3 para ir a otras hojas de cálculo. Las sugerencias se muestran en la celda M7." sqref="A1" xr:uid="{00000000-0002-0000-0000-000000000000}"/>
    <dataValidation allowBlank="1" showInputMessage="1" showErrorMessage="1" prompt="El título de la hoja de cálculo se encuentra en esta celda." sqref="C2" xr:uid="{00000000-0002-0000-0000-000001000000}"/>
    <dataValidation allowBlank="1" showInputMessage="1" showErrorMessage="1" prompt="Escriba los nombres de los alumnos en la columna con este encabezado." sqref="C4" xr:uid="{00000000-0002-0000-0000-000002000000}"/>
    <dataValidation allowBlank="1" showInputMessage="1" showErrorMessage="1" prompt="Escriba la dirección de correo electrónico en la columna con este encabezado." sqref="D4" xr:uid="{00000000-0002-0000-0000-000003000000}"/>
    <dataValidation allowBlank="1" showInputMessage="1" showErrorMessage="1" prompt="Escriba el número de teléfono particular en la columna con este encabezado." sqref="E4" xr:uid="{00000000-0002-0000-0000-000004000000}"/>
    <dataValidation allowBlank="1" showInputMessage="1" showErrorMessage="1" prompt="Escriba el número de teléfono móvil en la columna con este encabezado." sqref="F4" xr:uid="{00000000-0002-0000-0000-000005000000}"/>
    <dataValidation allowBlank="1" showInputMessage="1" showErrorMessage="1" prompt="Escriba la fecha de nacimiento en la columna con este encabezado." sqref="G4" xr:uid="{00000000-0002-0000-0000-000006000000}"/>
    <dataValidation allowBlank="1" showInputMessage="1" showErrorMessage="1" prompt="Escriba el nombre de la persona de contacto de emergencia en la columna con este encabezado." sqref="H4" xr:uid="{00000000-0002-0000-0000-000007000000}"/>
    <dataValidation allowBlank="1" showInputMessage="1" showErrorMessage="1" prompt="Escriba el número del teléfono de emergencia en la columna con este encabezado." sqref="I4" xr:uid="{00000000-0002-0000-0000-000008000000}"/>
    <dataValidation allowBlank="1" showInputMessage="1" showErrorMessage="1" prompt="Escriba el nombre del médico en la columna con este encabezado." sqref="J4" xr:uid="{00000000-0002-0000-0000-000009000000}"/>
    <dataValidation allowBlank="1" showInputMessage="1" showErrorMessage="1" prompt="Escriba el número de teléfono del médico en la columna con este encabezado." sqref="K4" xr:uid="{00000000-0002-0000-0000-00000A000000}"/>
    <dataValidation allowBlank="1" showInputMessage="1" showErrorMessage="1" prompt="El vínculo de navegación a la hoja de cálculo Lista de clase se encuentra en esta celda." sqref="E2" xr:uid="{00000000-0002-0000-0000-00000B000000}"/>
    <dataValidation allowBlank="1" showInputMessage="1" showErrorMessage="1" prompt="El vínculo de navegación a la hoja de cálculo Detalles de los alumnos se muestra en esta celda." sqref="E3" xr:uid="{00000000-0002-0000-0000-00000C000000}"/>
    <dataValidation allowBlank="1" showInputMessage="1" showErrorMessage="1" prompt="La sugerencia se encuentra en esta celda." sqref="M7" xr:uid="{00000000-0002-0000-0000-00000D000000}"/>
  </dataValidations>
  <hyperlinks>
    <hyperlink ref="E2:L2" location="'Lista de clase'!A1" tooltip="Seleccione esta opción para ir a la hoja de cálculo Lista de clase." display="IR A LA LISTA DE CLASE" xr:uid="{00000000-0004-0000-0000-000000000000}"/>
    <hyperlink ref="E3:L3" location="'Detalles de los alumnos'!A1" tooltip="Seleccione esta opción para ir a la hoja de cálculo Detalles de los alumnos." display="IR A LOS DETALLES DE LOS ALUMNOS" xr:uid="{00000000-0004-0000-0000-000001000000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Header>&amp;RPage &amp;P of &amp;N</oddHeader>
  </headerFooter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  <pageSetUpPr autoPageBreaks="0" fitToPage="1"/>
  </sheetPr>
  <dimension ref="B1:G14"/>
  <sheetViews>
    <sheetView showGridLines="0" zoomScaleNormal="100" workbookViewId="0"/>
  </sheetViews>
  <sheetFormatPr baseColWidth="10" defaultColWidth="9" defaultRowHeight="30" customHeight="1" x14ac:dyDescent="0.3"/>
  <cols>
    <col min="1" max="2" width="1.625" customWidth="1"/>
    <col min="3" max="3" width="40.625" customWidth="1"/>
    <col min="4" max="4" width="43.875" customWidth="1"/>
    <col min="5" max="5" width="27" customWidth="1"/>
    <col min="6" max="6" width="26.25" customWidth="1"/>
    <col min="7" max="7" width="1.625" customWidth="1"/>
    <col min="8" max="8" width="2" customWidth="1"/>
  </cols>
  <sheetData>
    <row r="1" spans="2:7" ht="17.25" thickBot="1" x14ac:dyDescent="0.35"/>
    <row r="2" spans="2:7" ht="32.25" customHeight="1" thickTop="1" x14ac:dyDescent="0.3">
      <c r="B2" s="7"/>
      <c r="C2" s="45" t="s">
        <v>32</v>
      </c>
      <c r="D2" s="53" t="s">
        <v>36</v>
      </c>
      <c r="E2" s="60" t="s">
        <v>39</v>
      </c>
      <c r="F2" s="60"/>
      <c r="G2" s="61"/>
    </row>
    <row r="3" spans="2:7" ht="30" customHeight="1" x14ac:dyDescent="0.3">
      <c r="B3" s="15"/>
      <c r="C3" s="46"/>
      <c r="D3" s="54"/>
      <c r="E3" s="51" t="s">
        <v>9</v>
      </c>
      <c r="F3" s="51"/>
      <c r="G3" s="52"/>
    </row>
    <row r="4" spans="2:7" ht="30" customHeight="1" x14ac:dyDescent="0.3">
      <c r="B4" s="14"/>
      <c r="C4" s="18" t="s">
        <v>33</v>
      </c>
      <c r="D4" s="19" t="s">
        <v>37</v>
      </c>
      <c r="E4" s="20" t="s">
        <v>40</v>
      </c>
      <c r="F4" s="44" t="s">
        <v>15</v>
      </c>
      <c r="G4" s="16"/>
    </row>
    <row r="5" spans="2:7" ht="30" customHeight="1" x14ac:dyDescent="0.3">
      <c r="B5" s="14"/>
      <c r="C5" s="18" t="s">
        <v>34</v>
      </c>
      <c r="D5" s="19" t="s">
        <v>38</v>
      </c>
      <c r="E5" s="20" t="s">
        <v>41</v>
      </c>
      <c r="F5" s="44" t="s">
        <v>15</v>
      </c>
      <c r="G5" s="16"/>
    </row>
    <row r="6" spans="2:7" ht="30" customHeight="1" x14ac:dyDescent="0.3">
      <c r="B6" s="14"/>
      <c r="C6" s="18" t="s">
        <v>35</v>
      </c>
      <c r="D6" s="19">
        <f>COUNTA(StudentRoster[NOMBRE DEL ALUMNO])</f>
        <v>4</v>
      </c>
      <c r="E6" s="21"/>
      <c r="F6" s="21"/>
      <c r="G6" s="16"/>
    </row>
    <row r="7" spans="2:7" ht="4.5" customHeight="1" x14ac:dyDescent="0.3">
      <c r="B7" s="15"/>
      <c r="C7" s="1"/>
      <c r="D7" s="1"/>
      <c r="E7" s="1"/>
      <c r="F7" s="1"/>
      <c r="G7" s="8"/>
    </row>
    <row r="8" spans="2:7" ht="27.75" customHeight="1" x14ac:dyDescent="0.3">
      <c r="B8" s="24"/>
      <c r="C8" s="9" t="s">
        <v>1</v>
      </c>
      <c r="D8" s="10" t="s">
        <v>6</v>
      </c>
      <c r="E8" s="10" t="s">
        <v>10</v>
      </c>
      <c r="F8" s="10" t="s">
        <v>12</v>
      </c>
      <c r="G8" s="11" t="s">
        <v>30</v>
      </c>
    </row>
    <row r="9" spans="2:7" ht="30" customHeight="1" x14ac:dyDescent="0.3">
      <c r="B9" s="15"/>
      <c r="C9" s="5" t="s">
        <v>2</v>
      </c>
      <c r="D9" s="35" t="str">
        <f>IFERROR(VLOOKUP(StudentRoster[[#This Row],[NOMBRE DEL ALUMNO]],Alumnos[],2),"")</f>
        <v>Dirección de correo electrónico</v>
      </c>
      <c r="E9" s="6" t="str">
        <f>IFERROR(VLOOKUP(StudentRoster[[#This Row],[NOMBRE DEL ALUMNO]],Alumnos[],3),"")</f>
        <v>Teléfono particular</v>
      </c>
      <c r="F9" s="6" t="str">
        <f>IFERROR(VLOOKUP(StudentRoster[[#This Row],[NOMBRE DEL ALUMNO]],Alumnos[],4),"")</f>
        <v>Teléfono móvil</v>
      </c>
      <c r="G9" s="17"/>
    </row>
    <row r="10" spans="2:7" ht="30" customHeight="1" x14ac:dyDescent="0.3">
      <c r="B10" s="15"/>
      <c r="C10" s="5" t="s">
        <v>3</v>
      </c>
      <c r="D10" s="35" t="str">
        <f>IFERROR(VLOOKUP(StudentRoster[[#This Row],[NOMBRE DEL ALUMNO]],Alumnos[],2),"")</f>
        <v>Dirección de correo electrónico</v>
      </c>
      <c r="E10" s="6" t="str">
        <f>IFERROR(VLOOKUP(StudentRoster[[#This Row],[NOMBRE DEL ALUMNO]],Alumnos[],3),"")</f>
        <v>Teléfono particular</v>
      </c>
      <c r="F10" s="6" t="str">
        <f>IFERROR(VLOOKUP(StudentRoster[[#This Row],[NOMBRE DEL ALUMNO]],Alumnos[],4),"")</f>
        <v>Teléfono móvil</v>
      </c>
      <c r="G10" s="17"/>
    </row>
    <row r="11" spans="2:7" ht="30" customHeight="1" x14ac:dyDescent="0.3">
      <c r="B11" s="15"/>
      <c r="C11" s="5" t="s">
        <v>4</v>
      </c>
      <c r="D11" s="36" t="str">
        <f>IFERROR(VLOOKUP(StudentRoster[[#This Row],[NOMBRE DEL ALUMNO]],Alumnos[],2),"")</f>
        <v>Dirección de correo electrónico</v>
      </c>
      <c r="E11" s="6" t="str">
        <f>IFERROR(VLOOKUP(StudentRoster[[#This Row],[NOMBRE DEL ALUMNO]],Alumnos[],3),"")</f>
        <v>Teléfono particular</v>
      </c>
      <c r="F11" s="6" t="str">
        <f>IFERROR(VLOOKUP(StudentRoster[[#This Row],[NOMBRE DEL ALUMNO]],Alumnos[],4),"")</f>
        <v>Teléfono móvil</v>
      </c>
      <c r="G11" s="17"/>
    </row>
    <row r="12" spans="2:7" ht="30" customHeight="1" x14ac:dyDescent="0.3">
      <c r="B12" s="15"/>
      <c r="C12" s="5" t="s">
        <v>5</v>
      </c>
      <c r="D12" s="36" t="str">
        <f>IFERROR(VLOOKUP(StudentRoster[[#This Row],[NOMBRE DEL ALUMNO]],Alumnos[],2),"")</f>
        <v>Dirección de correo electrónico</v>
      </c>
      <c r="E12" s="6" t="str">
        <f>IFERROR(VLOOKUP(StudentRoster[[#This Row],[NOMBRE DEL ALUMNO]],Alumnos[],3),"")</f>
        <v>Teléfono particular</v>
      </c>
      <c r="F12" s="6" t="str">
        <f>IFERROR(VLOOKUP(StudentRoster[[#This Row],[NOMBRE DEL ALUMNO]],Alumnos[],4),"")</f>
        <v>Teléfono móvil</v>
      </c>
      <c r="G12" s="17"/>
    </row>
    <row r="13" spans="2:7" ht="30" customHeight="1" thickBot="1" x14ac:dyDescent="0.35">
      <c r="B13" s="41"/>
      <c r="C13" s="37"/>
      <c r="D13" s="37"/>
      <c r="E13" s="37"/>
      <c r="F13" s="37"/>
      <c r="G13" s="38"/>
    </row>
    <row r="14" spans="2:7" ht="30" customHeight="1" thickTop="1" x14ac:dyDescent="0.3"/>
  </sheetData>
  <mergeCells count="4">
    <mergeCell ref="C2:C3"/>
    <mergeCell ref="E3:G3"/>
    <mergeCell ref="E2:G2"/>
    <mergeCell ref="D2:D3"/>
  </mergeCells>
  <dataValidations count="20">
    <dataValidation type="list" errorStyle="warning" allowBlank="1" showInputMessage="1" showErrorMessage="1" error="Seleccione un nombre de la lista. Seleccione CANCELAR, presione ALT+FLECHA ABAJO para ver las opciones y, después, use la tecla de FLECHA ABAJO y ENTRAR para realizar una selección." sqref="C9:C12" xr:uid="{00000000-0002-0000-0100-000000000000}">
      <formula1>StudentList</formula1>
    </dataValidation>
    <dataValidation allowBlank="1" showInputMessage="1" showErrorMessage="1" prompt="Cree una lista de clase en esta hoja de cálculo. Escriba los detalles en la celda D2, las celdas de la D4 a la D6, F4 y F5 y la tabla Lista de alumnos. Seleccione la celda E2 y E3 para ir a otras hojas de cálculo." sqref="A1" xr:uid="{00000000-0002-0000-0100-000001000000}"/>
    <dataValidation allowBlank="1" showInputMessage="1" showErrorMessage="1" prompt="El título de esta hoja de cálculo se muestra en esta celda. Escriba el nombre del instituto en la celda de la derecha." sqref="C2:C3" xr:uid="{00000000-0002-0000-0100-000002000000}"/>
    <dataValidation allowBlank="1" showInputMessage="1" showErrorMessage="1" prompt="Escriba el nombre del instituto en esta celda." sqref="D2" xr:uid="{00000000-0002-0000-0100-000003000000}"/>
    <dataValidation allowBlank="1" showInputMessage="1" showErrorMessage="1" prompt="Vínculo de navegación a la hoja de cálculo Lista de alumnos" sqref="E2:G2" xr:uid="{00000000-0002-0000-0100-000004000000}"/>
    <dataValidation allowBlank="1" showInputMessage="1" showErrorMessage="1" prompt="Vínculo de navegación a la hoja de cálculo Detalles de los alumnos" sqref="E3:G3" xr:uid="{00000000-0002-0000-0100-000005000000}"/>
    <dataValidation allowBlank="1" showInputMessage="1" showErrorMessage="1" prompt="Escriba el nombre del curso en la celda de la derecha." sqref="C4" xr:uid="{00000000-0002-0000-0100-000006000000}"/>
    <dataValidation allowBlank="1" showInputMessage="1" showErrorMessage="1" prompt="Escriba el nombre del curso en esta celda." sqref="D4" xr:uid="{00000000-0002-0000-0100-000007000000}"/>
    <dataValidation allowBlank="1" showInputMessage="1" showErrorMessage="1" prompt="Escriba el nombre del instructor en la celda de la derecha." sqref="C5" xr:uid="{00000000-0002-0000-0100-000008000000}"/>
    <dataValidation allowBlank="1" showInputMessage="1" showErrorMessage="1" prompt="Escriba el número de alumnos inscritos en la celda de la derecha." sqref="C6" xr:uid="{00000000-0002-0000-0100-000009000000}"/>
    <dataValidation allowBlank="1" showInputMessage="1" showErrorMessage="1" prompt="Escriba el número de alumnos inscritos en esta celda." sqref="D6" xr:uid="{00000000-0002-0000-0100-00000A000000}"/>
    <dataValidation allowBlank="1" showInputMessage="1" showErrorMessage="1" prompt="Escriba la fecha de inicio en la celda de la derecha." sqref="E4" xr:uid="{00000000-0002-0000-0100-00000B000000}"/>
    <dataValidation allowBlank="1" showInputMessage="1" showErrorMessage="1" prompt="Escriba la fecha de inicio en esta celda." sqref="F4" xr:uid="{00000000-0002-0000-0100-00000C000000}"/>
    <dataValidation allowBlank="1" showInputMessage="1" showErrorMessage="1" prompt="Escriba la fecha de finalización en la celda de la derecha." sqref="E5" xr:uid="{00000000-0002-0000-0100-00000D000000}"/>
    <dataValidation allowBlank="1" showInputMessage="1" showErrorMessage="1" prompt="Escriba la fecha de finalización en esta celda y los detalles de los alumnos en la tabla, comenzando por la celda C8." sqref="F5" xr:uid="{00000000-0002-0000-0100-00000E000000}"/>
    <dataValidation allowBlank="1" showInputMessage="1" showErrorMessage="1" prompt="Seleccione el nombre del alumno en la columna con este encabezado. Presione ALT + FLECHA ABAJO para abrir la lista desplegable y, después, ENTRAR para realizar la selección." sqref="C8" xr:uid="{00000000-0002-0000-0100-00000F000000}"/>
    <dataValidation allowBlank="1" showInputMessage="1" showErrorMessage="1" prompt="La dirección de correo electrónico se actualiza automáticamente en la columna con este encabezado." sqref="D8" xr:uid="{00000000-0002-0000-0100-000010000000}"/>
    <dataValidation allowBlank="1" showInputMessage="1" showErrorMessage="1" prompt="El número de teléfono se actualiza automáticamente en la columna con este encabezado." sqref="E8" xr:uid="{00000000-0002-0000-0100-000011000000}"/>
    <dataValidation allowBlank="1" showInputMessage="1" showErrorMessage="1" prompt="El número de teléfono móvil se actualiza automáticamente en la columna con este encabezado." sqref="F8" xr:uid="{00000000-0002-0000-0100-000012000000}"/>
    <dataValidation allowBlank="1" showInputMessage="1" showErrorMessage="1" prompt="Escriba el nombre del instructor en esta celda." sqref="D5" xr:uid="{00000000-0002-0000-0100-000013000000}"/>
  </dataValidations>
  <hyperlinks>
    <hyperlink ref="E2:G2" location="'Lista de alumnos'!A1" tooltip="Seleccione esta opción para ir a la hoja de cálculo Lista de alumnos." display="IR A LA LISTA DE ALUMNOS" xr:uid="{00000000-0004-0000-0100-000000000000}"/>
    <hyperlink ref="E3:G3" location="'Detalles de los alumnos'!A1" tooltip="Seleccione esta opción para ir a la hoja de cálculo Detalles de los alumnos." display="IR A LOS DETALLES DE LOS ALUMNOS" xr:uid="{00000000-0004-0000-0100-000001000000}"/>
  </hyperlinks>
  <printOptions horizontalCentered="1"/>
  <pageMargins left="0.25" right="0.25" top="0.75" bottom="0.75" header="0.3" footer="0.3"/>
  <pageSetup paperSize="9" fitToHeight="0"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499984740745262"/>
    <pageSetUpPr autoPageBreaks="0" fitToPage="1"/>
  </sheetPr>
  <dimension ref="A1:E14"/>
  <sheetViews>
    <sheetView showGridLines="0" zoomScaleNormal="100" workbookViewId="0"/>
  </sheetViews>
  <sheetFormatPr baseColWidth="10" defaultColWidth="9" defaultRowHeight="30" customHeight="1" x14ac:dyDescent="0.3"/>
  <cols>
    <col min="1" max="2" width="1.625" customWidth="1"/>
    <col min="3" max="3" width="64" customWidth="1"/>
    <col min="4" max="4" width="59.375" customWidth="1"/>
    <col min="5" max="5" width="1.625" customWidth="1"/>
    <col min="6" max="6" width="1.875" customWidth="1"/>
  </cols>
  <sheetData>
    <row r="1" spans="1:5" ht="17.25" thickBot="1" x14ac:dyDescent="0.35">
      <c r="A1" s="22"/>
      <c r="B1" s="22"/>
      <c r="C1" s="22"/>
      <c r="D1" s="22"/>
      <c r="E1" s="22"/>
    </row>
    <row r="2" spans="1:5" ht="32.25" customHeight="1" thickTop="1" x14ac:dyDescent="0.3">
      <c r="A2" s="22"/>
      <c r="B2" s="23"/>
      <c r="C2" s="45" t="s">
        <v>42</v>
      </c>
      <c r="D2" s="58" t="s">
        <v>39</v>
      </c>
      <c r="E2" s="59"/>
    </row>
    <row r="3" spans="1:5" ht="30" customHeight="1" x14ac:dyDescent="0.3">
      <c r="A3" s="22"/>
      <c r="B3" s="24"/>
      <c r="C3" s="46"/>
      <c r="D3" s="55" t="s">
        <v>8</v>
      </c>
      <c r="E3" s="56"/>
    </row>
    <row r="4" spans="1:5" ht="25.5" customHeight="1" x14ac:dyDescent="0.3">
      <c r="A4" s="22"/>
      <c r="B4" s="24"/>
      <c r="C4" s="57" t="s">
        <v>43</v>
      </c>
      <c r="D4" s="57"/>
      <c r="E4" s="11"/>
    </row>
    <row r="5" spans="1:5" ht="30" customHeight="1" x14ac:dyDescent="0.3">
      <c r="A5" s="22"/>
      <c r="B5" s="24"/>
      <c r="C5" s="25" t="s">
        <v>1</v>
      </c>
      <c r="D5" s="26" t="s">
        <v>2</v>
      </c>
      <c r="E5" s="11"/>
    </row>
    <row r="6" spans="1:5" ht="30" customHeight="1" x14ac:dyDescent="0.3">
      <c r="A6" s="22"/>
      <c r="B6" s="24"/>
      <c r="C6" s="27" t="s">
        <v>6</v>
      </c>
      <c r="D6" s="28" t="str">
        <f>IFERROR(VLOOKUP(StudentName,Alumnos[],2,FALSE),"")</f>
        <v>Dirección de correo electrónico</v>
      </c>
      <c r="E6" s="11"/>
    </row>
    <row r="7" spans="1:5" ht="30" customHeight="1" x14ac:dyDescent="0.3">
      <c r="A7" s="22"/>
      <c r="B7" s="24"/>
      <c r="C7" s="27" t="s">
        <v>10</v>
      </c>
      <c r="D7" s="29" t="str">
        <f>IFERROR(VLOOKUP(StudentName,Alumnos[],3,FALSE),"")</f>
        <v>Teléfono particular</v>
      </c>
      <c r="E7" s="11"/>
    </row>
    <row r="8" spans="1:5" ht="30" customHeight="1" x14ac:dyDescent="0.3">
      <c r="A8" s="22"/>
      <c r="B8" s="24"/>
      <c r="C8" s="27" t="s">
        <v>12</v>
      </c>
      <c r="D8" s="29" t="str">
        <f>IFERROR(VLOOKUP(StudentName,Alumnos[],4,FALSE),"")</f>
        <v>Teléfono móvil</v>
      </c>
      <c r="E8" s="11"/>
    </row>
    <row r="9" spans="1:5" ht="30" customHeight="1" x14ac:dyDescent="0.3">
      <c r="A9" s="22"/>
      <c r="B9" s="24"/>
      <c r="C9" s="27" t="s">
        <v>14</v>
      </c>
      <c r="D9" s="43" t="str">
        <f>IFERROR(VLOOKUP(StudentName,Alumnos[],5,FALSE),"")</f>
        <v>Fecha</v>
      </c>
      <c r="E9" s="11"/>
    </row>
    <row r="10" spans="1:5" ht="30" customHeight="1" x14ac:dyDescent="0.3">
      <c r="A10" s="22"/>
      <c r="B10" s="24"/>
      <c r="C10" s="27" t="s">
        <v>16</v>
      </c>
      <c r="D10" s="30" t="str">
        <f>IFERROR(VLOOKUP(StudentName,Alumnos[],6,FALSE),"")</f>
        <v>Contacto 1</v>
      </c>
      <c r="E10" s="11"/>
    </row>
    <row r="11" spans="1:5" ht="30" customHeight="1" x14ac:dyDescent="0.3">
      <c r="A11" s="22"/>
      <c r="B11" s="24"/>
      <c r="C11" s="27" t="s">
        <v>21</v>
      </c>
      <c r="D11" s="29" t="str">
        <f>IFERROR(VLOOKUP(StudentName,Alumnos[],7,FALSE),"")</f>
        <v>Teléfono de emergencia</v>
      </c>
      <c r="E11" s="11"/>
    </row>
    <row r="12" spans="1:5" ht="30" customHeight="1" x14ac:dyDescent="0.3">
      <c r="A12" s="22"/>
      <c r="B12" s="24"/>
      <c r="C12" s="27" t="s">
        <v>23</v>
      </c>
      <c r="D12" s="30" t="str">
        <f>IFERROR(VLOOKUP(StudentName,Alumnos[],8,FALSE),"")</f>
        <v>Médico 1</v>
      </c>
      <c r="E12" s="11"/>
    </row>
    <row r="13" spans="1:5" ht="30" customHeight="1" thickBot="1" x14ac:dyDescent="0.35">
      <c r="A13" s="22"/>
      <c r="B13" s="31"/>
      <c r="C13" s="32" t="s">
        <v>28</v>
      </c>
      <c r="D13" s="33" t="str">
        <f>IFERROR(VLOOKUP(StudentName,Alumnos[],9,FALSE),"")</f>
        <v>Teléfono del médico</v>
      </c>
      <c r="E13" s="34"/>
    </row>
    <row r="14" spans="1:5" ht="30" customHeight="1" thickTop="1" x14ac:dyDescent="0.3"/>
  </sheetData>
  <mergeCells count="4">
    <mergeCell ref="D2:E2"/>
    <mergeCell ref="D3:E3"/>
    <mergeCell ref="C2:C3"/>
    <mergeCell ref="C4:D4"/>
  </mergeCells>
  <dataValidations count="23">
    <dataValidation type="list" errorStyle="warning" allowBlank="1" showInputMessage="1" showErrorMessage="1" error="Seleccione un nombre de la lista. Seleccione CANCELAR, presione ALT+FLECHA ABAJO para ver las opciones y, después, use la tecla de FLECHA ABAJO y ENTRAR para realizar una selección." prompt="Seleccione el nombre del alumno en esta celda. Presione ALT+FLECHA ABAJO para abrir la lista desplegable y después ENTRAR para realizar la selección." sqref="D5" xr:uid="{00000000-0002-0000-0200-000000000000}">
      <formula1>StudentList</formula1>
    </dataValidation>
    <dataValidation allowBlank="1" showInputMessage="1" showErrorMessage="1" prompt="Obtenga una lista de detalles de los alumnos en esta hoja de cálculo. Seleccione la celda D2 para ir a la hoja de cálculo Lista de alumnos y D3 para ir a la hoja de cálculo de Lista de clase." sqref="A1" xr:uid="{00000000-0002-0000-0200-000001000000}"/>
    <dataValidation allowBlank="1" showInputMessage="1" showErrorMessage="1" prompt="El título de la hoja de cálculo se muestra en esta celda, las sugerencias se muestran en la celda siguiente y las etiquetas en las celdas C5 a C13. Seleccione un nombre de alumno en la celda D5 para obtener los detalles del alumno en las celdas D5 a D13." sqref="C2:C3" xr:uid="{00000000-0002-0000-0200-000002000000}"/>
    <dataValidation allowBlank="1" showInputMessage="1" showErrorMessage="1" prompt="Vínculo de navegación a la hoja de cálculo Lista de alumnos" sqref="D2:E2" xr:uid="{00000000-0002-0000-0200-000003000000}"/>
    <dataValidation allowBlank="1" showInputMessage="1" showErrorMessage="1" prompt="Vínculo de navegación a la hoja de cálculo Lista de clase" sqref="D3:E3" xr:uid="{00000000-0002-0000-0200-000004000000}"/>
    <dataValidation allowBlank="1" showInputMessage="1" showErrorMessage="1" prompt="Seleccione un nombre de alumno en la celda de la derecha." sqref="C5" xr:uid="{00000000-0002-0000-0200-000005000000}"/>
    <dataValidation allowBlank="1" showInputMessage="1" showErrorMessage="1" prompt="La dirección de correo electrónico se actualiza automáticamente en la celda de la derecha." sqref="C6" xr:uid="{00000000-0002-0000-0200-000006000000}"/>
    <dataValidation allowBlank="1" showInputMessage="1" showErrorMessage="1" prompt="La dirección de correo electrónico se actualiza automáticamente en esta celda." sqref="D6" xr:uid="{00000000-0002-0000-0200-000007000000}"/>
    <dataValidation allowBlank="1" showInputMessage="1" showErrorMessage="1" prompt="El número de teléfono de casa se actualiza automáticamente en la celda de la derecha." sqref="C7" xr:uid="{00000000-0002-0000-0200-000008000000}"/>
    <dataValidation allowBlank="1" showInputMessage="1" showErrorMessage="1" prompt="El número de teléfono de casa se actualiza automáticamente en esta celda." sqref="D7" xr:uid="{00000000-0002-0000-0200-000009000000}"/>
    <dataValidation allowBlank="1" showInputMessage="1" showErrorMessage="1" prompt="El número de teléfono móvil se actualiza automáticamente en la celda de la derecha." sqref="C8" xr:uid="{00000000-0002-0000-0200-00000A000000}"/>
    <dataValidation allowBlank="1" showInputMessage="1" showErrorMessage="1" prompt="El número de teléfono móvil se actualiza automáticamente en esta celda." sqref="D8" xr:uid="{00000000-0002-0000-0200-00000B000000}"/>
    <dataValidation allowBlank="1" showInputMessage="1" showErrorMessage="1" prompt="La fecha de nacimiento se actualiza automáticamente en la celda de la derecha." sqref="C9" xr:uid="{00000000-0002-0000-0200-00000C000000}"/>
    <dataValidation allowBlank="1" showInputMessage="1" showErrorMessage="1" prompt="La fecha de nacimiento se actualiza automáticamente en esta celda." sqref="D9" xr:uid="{00000000-0002-0000-0200-00000D000000}"/>
    <dataValidation allowBlank="1" showInputMessage="1" showErrorMessage="1" prompt="El nombre de la persona de contacto de emergencia se actualiza automáticamente en la celda de la derecha." sqref="C10" xr:uid="{00000000-0002-0000-0200-00000E000000}"/>
    <dataValidation allowBlank="1" showInputMessage="1" showErrorMessage="1" prompt="El nombre de la persona de contacto de emergencia se actualiza automáticamente en esta celda." sqref="D10" xr:uid="{00000000-0002-0000-0200-00000F000000}"/>
    <dataValidation allowBlank="1" showInputMessage="1" showErrorMessage="1" prompt="El número de teléfono de emergencia se actualiza automáticamente en la celda de la derecha." sqref="C11" xr:uid="{00000000-0002-0000-0200-000010000000}"/>
    <dataValidation allowBlank="1" showInputMessage="1" showErrorMessage="1" prompt="El número de teléfono de emergencia se actualiza automáticamente en esta celda." sqref="D11" xr:uid="{00000000-0002-0000-0200-000011000000}"/>
    <dataValidation allowBlank="1" showInputMessage="1" showErrorMessage="1" prompt="El nombre del médico se actualiza automáticamente en la celda de la derecha." sqref="C12" xr:uid="{00000000-0002-0000-0200-000012000000}"/>
    <dataValidation allowBlank="1" showInputMessage="1" showErrorMessage="1" prompt="El nombre del médico se actualiza automáticamente en esta celda." sqref="D12" xr:uid="{00000000-0002-0000-0200-000013000000}"/>
    <dataValidation allowBlank="1" showInputMessage="1" showErrorMessage="1" prompt="El número de teléfono del médico se actualiza automáticamente en la celda de la derecha." sqref="C13" xr:uid="{00000000-0002-0000-0200-000014000000}"/>
    <dataValidation allowBlank="1" showInputMessage="1" showErrorMessage="1" prompt="El número de teléfono del médico se actualiza automáticamente en esta celda." sqref="D13" xr:uid="{00000000-0002-0000-0200-000015000000}"/>
    <dataValidation allowBlank="1" showInputMessage="1" showErrorMessage="1" prompt="La sugerencia se encuentra en esta celda." sqref="C4:D4" xr:uid="{00000000-0002-0000-0200-000016000000}"/>
  </dataValidations>
  <hyperlinks>
    <hyperlink ref="D2:E2" location="'Lista de alumnos'!A1" tooltip="Seleccione esta opción para ir a la hoja de cálculo Lista de alumnos." display="IR A LA LISTA DE ALUMNOS" xr:uid="{00000000-0004-0000-0200-000000000000}"/>
    <hyperlink ref="D3:E3" location="'Lista de clase'!A1" tooltip="Seleccione esta opción para ir a la hoja de cálculo Lista de clase." display="IR A LA LISTA DE CLASE" xr:uid="{00000000-0004-0000-0200-000001000000}"/>
  </hyperlinks>
  <printOptions horizontalCentered="1"/>
  <pageMargins left="0.25" right="0.25" top="0.75" bottom="0.75" header="0.3" footer="0.3"/>
  <pageSetup paperSize="9" fitToHeight="0" orientation="portrait" r:id="rId1"/>
  <drawing r:id="rId2"/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TM02802099</ap:Template>
  <ap:ScaleCrop>false</ap:ScaleCrop>
  <ap:HeadingPairs>
    <vt:vector baseType="variant" size="4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ap:HeadingPairs>
  <ap:TitlesOfParts>
    <vt:vector baseType="lpstr" size="11">
      <vt:lpstr>Lista de alumnos</vt:lpstr>
      <vt:lpstr>Lista de clase</vt:lpstr>
      <vt:lpstr>Detalles de los alumnos</vt:lpstr>
      <vt:lpstr>StudentList</vt:lpstr>
      <vt:lpstr>StudentName</vt:lpstr>
      <vt:lpstr>Título1</vt:lpstr>
      <vt:lpstr>Título2</vt:lpstr>
      <vt:lpstr>TítuloFilaRegión1..D13</vt:lpstr>
      <vt:lpstr>TítuloFilaRegión1..D6</vt:lpstr>
      <vt:lpstr>TítuloFilaRegión2..F5</vt:lpstr>
      <vt:lpstr>'Lista de alumnos'!Títulos_a_imprimir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2018-02-27T05:07:36Z</dcterms:created>
  <dcterms:modified xsi:type="dcterms:W3CDTF">2018-09-13T01:25:54Z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