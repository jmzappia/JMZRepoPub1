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customXml/item3.xml" ContentType="application/xml"/>
  <Override PartName="/customXml/itemProps31.xml" ContentType="application/vnd.openxmlformats-officedocument.customXmlProperties+xml"/>
  <Override PartName="/xl/styles.xml" ContentType="application/vnd.openxmlformats-officedocument.spreadsheetml.styles+xml"/>
  <Override PartName="/customXml/item22.xml" ContentType="application/xml"/>
  <Override PartName="/customXml/itemProps22.xml" ContentType="application/vnd.openxmlformats-officedocument.customXmlProperti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drawings/drawing11.xml" ContentType="application/vnd.openxmlformats-officedocument.drawing+xml"/>
  <Override PartName="/customXml/item13.xml" ContentType="application/xml"/>
  <Override PartName="/customXml/itemProps13.xml" ContentType="application/vnd.openxmlformats-officedocument.customXml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530"/>
  <workbookPr filterPrivacy="1" codeName="ThisWorkbook"/>
  <xr:revisionPtr revIDLastSave="32" documentId="13_ncr:1_{C442A19E-6C22-4DC4-A13B-490AE264ED94}" xr6:coauthVersionLast="47" xr6:coauthVersionMax="47" xr10:uidLastSave="{14053B07-A3DF-49DA-BB6A-A1778DFA9737}"/>
  <bookViews>
    <workbookView xWindow="-120" yWindow="-120" windowWidth="29040" windowHeight="17640" xr2:uid="{00000000-000D-0000-FFFF-FFFF00000000}"/>
  </bookViews>
  <sheets>
    <sheet name="Presión arterial y glucosa" sheetId="1" r:id="rId1"/>
  </sheets>
  <definedNames>
    <definedName name="DAlta">'Presión arterial y glucosa'!$G$4</definedName>
    <definedName name="DÓptima">'Presión arterial y glucosa'!$E$4</definedName>
    <definedName name="GAlta">'Presión arterial y glucosa'!$J$3</definedName>
    <definedName name="GBaja">'Presión arterial y glucosa'!$H$3</definedName>
    <definedName name="GNormal">'Presión arterial y glucosa'!$I$3</definedName>
    <definedName name="SAlta">'Presión arterial y glucosa'!$G$3</definedName>
    <definedName name="SÓptima">'Presión arterial y glucosa'!$E$3</definedName>
    <definedName name="Title1">PresiónArterialyGlucosa[[#Headers],[Fecha]]</definedName>
    <definedName name="_xlnm.Print_Titles" localSheetId="0">'Presión arterial y glucosa'!$6:$6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1" l="1"/>
  <c r="B8" i="1"/>
  <c r="B9" i="1"/>
  <c r="B10" i="1"/>
  <c r="B11" i="1"/>
  <c r="B7" i="1"/>
  <c r="I11" i="1" l="1"/>
  <c r="J11" i="1" s="1"/>
  <c r="I12" i="1"/>
  <c r="J12" i="1" s="1"/>
  <c r="I10" i="1"/>
  <c r="J10" i="1" s="1"/>
  <c r="I9" i="1"/>
  <c r="J9" i="1" s="1"/>
  <c r="I8" i="1"/>
  <c r="J8" i="1" s="1"/>
  <c r="I7" i="1"/>
  <c r="J7" i="1" s="1"/>
  <c r="H13" i="1" l="1"/>
  <c r="G13" i="1" l="1"/>
  <c r="F13" i="1"/>
  <c r="E13" i="1"/>
</calcChain>
</file>

<file path=xl/sharedStrings.xml><?xml version="1.0" encoding="utf-8"?>
<sst xmlns="http://schemas.openxmlformats.org/spreadsheetml/2006/main" count="29" uniqueCount="27">
  <si>
    <t>Medidor de presión arterial y glucosa</t>
  </si>
  <si>
    <t>Fecha</t>
  </si>
  <si>
    <t>Promedios</t>
  </si>
  <si>
    <t>Hora</t>
  </si>
  <si>
    <t>Situación</t>
  </si>
  <si>
    <t>Al despertarse</t>
  </si>
  <si>
    <t>Antes de comer</t>
  </si>
  <si>
    <t>Después de comer</t>
  </si>
  <si>
    <t>Solo PA</t>
  </si>
  <si>
    <t>Personalice los valores de las escalas en las celdas E2 a J5, a continuación.</t>
  </si>
  <si>
    <t>PRESIÓN ARTERIAL</t>
  </si>
  <si>
    <t>PRESIÓN ÓPTIMA</t>
  </si>
  <si>
    <t>Sistólica</t>
  </si>
  <si>
    <t>SISTÓLICA</t>
  </si>
  <si>
    <t>DIASTÓLICA</t>
  </si>
  <si>
    <t>Diastólica</t>
  </si>
  <si>
    <t>LLAMAR AL MÉDICO</t>
  </si>
  <si>
    <t>Frecuencia cardíaca</t>
  </si>
  <si>
    <t>ESCALA DE GLUCOSA</t>
  </si>
  <si>
    <t>BAJA</t>
  </si>
  <si>
    <t>Glucosa</t>
  </si>
  <si>
    <t>NORMAL</t>
  </si>
  <si>
    <t>Nivel</t>
  </si>
  <si>
    <t>ALTA</t>
  </si>
  <si>
    <t>Estado</t>
  </si>
  <si>
    <t>Notas</t>
  </si>
  <si>
    <t>Tomar medicación para la presión arterial con la comida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</si>
</sst>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2" formatCode="_-* #,##0\ &quot;€&quot;_-;\-* #,##0\ &quot;€&quot;_-;_-* &quot;-&quot;\ &quot;€&quot;_-;_-@_-"/>
    <numFmt numFmtId="44" formatCode="_-* #,##0.00\ &quot;€&quot;_-;\-* #,##0.00\ &quot;€&quot;_-;_-* &quot;-&quot;??\ &quot;€&quot;_-;_-@_-"/>
    <numFmt numFmtId="165" formatCode=";;;"/>
    <numFmt numFmtId="167" formatCode="h:mm;@"/>
  </numFmts>
  <fonts count="28" x14ac:knownFonts="1">
    <font>
      <sz val="11"/>
      <color theme="3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2"/>
      <color theme="0"/>
      <name val="Century Gothic"/>
      <family val="2"/>
      <scheme val="minor"/>
    </font>
    <font>
      <b/>
      <sz val="11"/>
      <color theme="3"/>
      <name val="Century Gothic"/>
      <family val="2"/>
      <scheme val="major"/>
    </font>
    <font>
      <sz val="11"/>
      <color theme="3"/>
      <name val="Century Gothic"/>
      <family val="2"/>
      <scheme val="minor"/>
    </font>
    <font>
      <b/>
      <sz val="11"/>
      <color theme="3"/>
      <name val="Century Gothic"/>
      <family val="2"/>
      <scheme val="minor"/>
    </font>
    <font>
      <b/>
      <sz val="22.5"/>
      <color theme="3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name val="Century Gothic"/>
      <family val="2"/>
      <scheme val="minor"/>
    </font>
    <font>
      <i/>
      <sz val="11"/>
      <name val="Century Gothic"/>
      <family val="2"/>
      <scheme val="minor"/>
    </font>
    <font>
      <b/>
      <sz val="22.5"/>
      <color theme="3"/>
      <name val="Century Gothic"/>
      <family val="2"/>
      <scheme val="minor"/>
    </font>
    <font>
      <sz val="11"/>
      <color theme="3"/>
      <name val="Century Gothic"/>
      <family val="2"/>
      <scheme val="minor"/>
    </font>
    <font>
      <b/>
      <sz val="11"/>
      <color theme="3"/>
      <name val="Century Gothic"/>
      <family val="2"/>
      <scheme val="major"/>
    </font>
    <font>
      <b/>
      <sz val="11"/>
      <color theme="0"/>
      <name val="Century Gothic"/>
      <family val="2"/>
      <scheme val="minor"/>
    </font>
    <font>
      <b/>
      <sz val="12"/>
      <color theme="0"/>
      <name val="Century Gothic"/>
      <family val="2"/>
      <scheme val="minor"/>
    </font>
    <font>
      <b/>
      <sz val="11"/>
      <color theme="3"/>
      <name val="Century Gothic"/>
      <family val="2"/>
      <scheme val="minor"/>
    </font>
    <font>
      <b/>
      <sz val="8"/>
      <color theme="3"/>
      <name val="Century Gothic"/>
      <family val="2"/>
      <scheme val="minor"/>
    </font>
    <font>
      <i/>
      <sz val="11"/>
      <color theme="6" tint="-0.499984740745262"/>
      <name val="Century Gothic"/>
      <family val="2"/>
      <scheme val="minor"/>
    </font>
    <font>
      <sz val="11"/>
      <color rgb="FF006100"/>
      <name val="Century Gothic"/>
      <family val="2"/>
      <scheme val="minor"/>
    </font>
    <font>
      <sz val="11"/>
      <color rgb="FF9C0006"/>
      <name val="Century Gothic"/>
      <family val="2"/>
      <scheme val="minor"/>
    </font>
    <font>
      <sz val="11"/>
      <color rgb="FF9C5700"/>
      <name val="Century Gothic"/>
      <family val="2"/>
      <scheme val="minor"/>
    </font>
    <font>
      <sz val="11"/>
      <color rgb="FF3F3F76"/>
      <name val="Century Gothic"/>
      <family val="2"/>
      <scheme val="minor"/>
    </font>
    <font>
      <b/>
      <sz val="11"/>
      <color rgb="FF3F3F3F"/>
      <name val="Century Gothic"/>
      <family val="2"/>
      <scheme val="minor"/>
    </font>
    <font>
      <b/>
      <sz val="11"/>
      <color rgb="FFFA7D00"/>
      <name val="Century Gothic"/>
      <family val="2"/>
      <scheme val="minor"/>
    </font>
    <font>
      <sz val="11"/>
      <color rgb="FFFA7D00"/>
      <name val="Century Gothic"/>
      <family val="2"/>
      <scheme val="minor"/>
    </font>
    <font>
      <sz val="11"/>
      <color rgb="FFFF0000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/>
      </patternFill>
    </fill>
    <fill>
      <patternFill patternType="solid">
        <fgColor theme="4" tint="-0.24994659260841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</fills>
  <borders count="12">
    <border>
      <left/>
      <right/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theme="2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3" borderId="0">
      <alignment horizontal="left" vertical="center" wrapText="1" indent="1"/>
    </xf>
    <xf numFmtId="0" fontId="6" fillId="3" borderId="0">
      <alignment horizontal="left" vertical="center" wrapText="1"/>
    </xf>
    <xf numFmtId="0" fontId="3" fillId="2" borderId="2">
      <alignment horizontal="center" vertical="center"/>
    </xf>
    <xf numFmtId="0" fontId="5" fillId="0" borderId="4">
      <alignment horizontal="center" vertical="top"/>
    </xf>
    <xf numFmtId="0" fontId="8" fillId="0" borderId="0" applyNumberFormat="0" applyFill="0" applyBorder="0" applyProtection="0">
      <alignment horizontal="center" vertical="center"/>
    </xf>
    <xf numFmtId="0" fontId="8" fillId="0" borderId="0" applyNumberFormat="0" applyBorder="0" applyAlignment="0" applyProtection="0"/>
    <xf numFmtId="1" fontId="2" fillId="5" borderId="2">
      <alignment horizontal="center" vertical="center"/>
    </xf>
    <xf numFmtId="0" fontId="9" fillId="3" borderId="0" applyNumberFormat="0" applyBorder="0" applyAlignment="0" applyProtection="0"/>
    <xf numFmtId="14" fontId="4" fillId="3" borderId="0" applyFont="0" applyFill="0" applyBorder="0">
      <alignment horizontal="left" vertical="center" wrapText="1" indent="1"/>
    </xf>
    <xf numFmtId="167" fontId="4" fillId="3" borderId="0" applyFont="0" applyFill="0" applyBorder="0">
      <alignment horizontal="left" vertical="center" wrapText="1" indent="1"/>
    </xf>
    <xf numFmtId="1" fontId="4" fillId="0" borderId="0" applyFont="0" applyFill="0" applyBorder="0" applyProtection="0">
      <alignment horizontal="center" vertical="center"/>
    </xf>
    <xf numFmtId="1" fontId="4" fillId="0" borderId="3" applyFont="0" applyFill="0">
      <alignment horizontal="center" vertical="center"/>
    </xf>
    <xf numFmtId="1" fontId="7" fillId="6" borderId="2" applyProtection="0">
      <alignment horizontal="center" vertical="center"/>
    </xf>
    <xf numFmtId="1" fontId="7" fillId="4" borderId="2" applyProtection="0">
      <alignment horizontal="center" vertical="center"/>
    </xf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8" fillId="7" borderId="0" applyNumberFormat="0" applyBorder="0" applyAlignment="0" applyProtection="0"/>
    <xf numFmtId="0" fontId="19" fillId="8" borderId="0" applyNumberFormat="0" applyBorder="0" applyAlignment="0" applyProtection="0"/>
    <xf numFmtId="0" fontId="20" fillId="9" borderId="0" applyNumberFormat="0" applyBorder="0" applyAlignment="0" applyProtection="0"/>
    <xf numFmtId="0" fontId="21" fillId="10" borderId="6" applyNumberFormat="0" applyAlignment="0" applyProtection="0"/>
    <xf numFmtId="0" fontId="22" fillId="11" borderId="7" applyNumberFormat="0" applyAlignment="0" applyProtection="0"/>
    <xf numFmtId="0" fontId="23" fillId="11" borderId="6" applyNumberFormat="0" applyAlignment="0" applyProtection="0"/>
    <xf numFmtId="0" fontId="24" fillId="0" borderId="8" applyNumberFormat="0" applyFill="0" applyAlignment="0" applyProtection="0"/>
    <xf numFmtId="0" fontId="7" fillId="12" borderId="9" applyNumberFormat="0" applyAlignment="0" applyProtection="0"/>
    <xf numFmtId="0" fontId="25" fillId="0" borderId="0" applyNumberFormat="0" applyFill="0" applyBorder="0" applyAlignment="0" applyProtection="0"/>
    <xf numFmtId="0" fontId="4" fillId="13" borderId="10" applyNumberFormat="0" applyFont="0" applyAlignment="0" applyProtection="0"/>
    <xf numFmtId="0" fontId="26" fillId="0" borderId="11" applyNumberFormat="0" applyFill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7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7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27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</cellStyleXfs>
  <cellXfs count="23">
    <xf numFmtId="0" fontId="0" fillId="3" borderId="0" xfId="0">
      <alignment horizontal="left" vertical="center" wrapText="1" indent="1"/>
    </xf>
    <xf numFmtId="0" fontId="11" fillId="3" borderId="0" xfId="0" applyFont="1">
      <alignment horizontal="left" vertical="center" wrapText="1" indent="1"/>
    </xf>
    <xf numFmtId="1" fontId="13" fillId="4" borderId="2" xfId="13" applyFont="1">
      <alignment horizontal="center" vertical="center"/>
    </xf>
    <xf numFmtId="0" fontId="12" fillId="2" borderId="2" xfId="2" applyFont="1">
      <alignment horizontal="center" vertical="center"/>
    </xf>
    <xf numFmtId="1" fontId="13" fillId="6" borderId="2" xfId="12" applyFont="1">
      <alignment horizontal="center" vertical="center"/>
    </xf>
    <xf numFmtId="1" fontId="14" fillId="5" borderId="2" xfId="6" applyFont="1">
      <alignment horizontal="center" vertical="center"/>
    </xf>
    <xf numFmtId="0" fontId="15" fillId="0" borderId="4" xfId="3" applyFont="1">
      <alignment horizontal="center" vertical="top"/>
    </xf>
    <xf numFmtId="0" fontId="16" fillId="2" borderId="1" xfId="0" applyFont="1" applyFill="1" applyBorder="1" applyAlignment="1">
      <alignment horizontal="center" vertical="center"/>
    </xf>
    <xf numFmtId="0" fontId="11" fillId="3" borderId="0" xfId="4" applyFont="1" applyFill="1" applyBorder="1">
      <alignment horizontal="center" vertical="center"/>
    </xf>
    <xf numFmtId="14" fontId="11" fillId="3" borderId="0" xfId="8" applyFont="1" applyFill="1" applyBorder="1">
      <alignment horizontal="left" vertical="center" wrapText="1" indent="1"/>
    </xf>
    <xf numFmtId="1" fontId="11" fillId="3" borderId="0" xfId="10" applyFont="1" applyFill="1" applyBorder="1">
      <alignment horizontal="center" vertical="center"/>
    </xf>
    <xf numFmtId="0" fontId="11" fillId="3" borderId="0" xfId="0" applyFont="1" applyAlignment="1">
      <alignment horizontal="center"/>
    </xf>
    <xf numFmtId="0" fontId="11" fillId="3" borderId="0" xfId="0" applyFont="1" applyAlignment="1">
      <alignment horizontal="left" vertical="center" indent="1"/>
    </xf>
    <xf numFmtId="1" fontId="11" fillId="3" borderId="0" xfId="0" applyNumberFormat="1" applyFont="1" applyAlignment="1">
      <alignment horizontal="center" vertical="center"/>
    </xf>
    <xf numFmtId="1" fontId="11" fillId="3" borderId="0" xfId="0" applyNumberFormat="1" applyFont="1" applyAlignment="1">
      <alignment horizontal="center"/>
    </xf>
    <xf numFmtId="0" fontId="11" fillId="3" borderId="0" xfId="0" applyFont="1" applyAlignment="1">
      <alignment horizontal="center" vertical="center"/>
    </xf>
    <xf numFmtId="0" fontId="8" fillId="3" borderId="0" xfId="4" applyFill="1">
      <alignment horizontal="center" vertical="center"/>
    </xf>
    <xf numFmtId="0" fontId="15" fillId="0" borderId="5" xfId="3" applyFont="1" applyBorder="1">
      <alignment horizontal="center" vertical="top"/>
    </xf>
    <xf numFmtId="0" fontId="12" fillId="2" borderId="2" xfId="2" applyFont="1">
      <alignment horizontal="center" vertical="center"/>
    </xf>
    <xf numFmtId="0" fontId="6" fillId="3" borderId="0" xfId="1">
      <alignment horizontal="left" vertical="center" wrapText="1"/>
    </xf>
    <xf numFmtId="0" fontId="10" fillId="3" borderId="0" xfId="1" applyFont="1">
      <alignment horizontal="left" vertical="center" wrapText="1"/>
    </xf>
    <xf numFmtId="165" fontId="17" fillId="3" borderId="0" xfId="7" applyNumberFormat="1" applyFont="1" applyAlignment="1">
      <alignment vertical="center"/>
    </xf>
    <xf numFmtId="167" fontId="11" fillId="3" borderId="0" xfId="9" applyFont="1" applyFill="1" applyBorder="1">
      <alignment horizontal="left" vertical="center" wrapText="1" indent="1"/>
    </xf>
  </cellXfs>
  <cellStyles count="49">
    <cellStyle name="20% - Énfasis1" xfId="28" builtinId="30" customBuiltin="1"/>
    <cellStyle name="20% - Énfasis2" xfId="31" builtinId="34" customBuiltin="1"/>
    <cellStyle name="20% - Énfasis3" xfId="34" builtinId="38" customBuiltin="1"/>
    <cellStyle name="20% - Énfasis4" xfId="38" builtinId="42" customBuiltin="1"/>
    <cellStyle name="20% - Énfasis5" xfId="42" builtinId="46" customBuiltin="1"/>
    <cellStyle name="20% - Énfasis6" xfId="46" builtinId="50" customBuiltin="1"/>
    <cellStyle name="40% - Énfasis1" xfId="29" builtinId="31" customBuiltin="1"/>
    <cellStyle name="40% - Énfasis2" xfId="32" builtinId="35" customBuiltin="1"/>
    <cellStyle name="40% - Énfasis3" xfId="35" builtinId="39" customBuiltin="1"/>
    <cellStyle name="40% - Énfasis4" xfId="39" builtinId="43" customBuiltin="1"/>
    <cellStyle name="40% - Énfasis5" xfId="43" builtinId="47" customBuiltin="1"/>
    <cellStyle name="40% - Énfasis6" xfId="47" builtinId="51" customBuiltin="1"/>
    <cellStyle name="60% - Énfasis1" xfId="30" builtinId="32" customBuiltin="1"/>
    <cellStyle name="60% - Énfasis2" xfId="33" builtinId="36" customBuiltin="1"/>
    <cellStyle name="60% - Énfasis3" xfId="36" builtinId="40" customBuiltin="1"/>
    <cellStyle name="60% - Énfasis4" xfId="40" builtinId="44" customBuiltin="1"/>
    <cellStyle name="60% - Énfasis5" xfId="44" builtinId="48" customBuiltin="1"/>
    <cellStyle name="60% - Énfasis6" xfId="48" builtinId="52" customBuiltin="1"/>
    <cellStyle name="Bueno" xfId="17" builtinId="26" customBuiltin="1"/>
    <cellStyle name="Cálculo" xfId="22" builtinId="22" customBuiltin="1"/>
    <cellStyle name="Celda de comprobación" xfId="24" builtinId="23" customBuiltin="1"/>
    <cellStyle name="Celda vinculada" xfId="23" builtinId="24" customBuiltin="1"/>
    <cellStyle name="Encabezado 1" xfId="2" builtinId="16" customBuiltin="1"/>
    <cellStyle name="Encabezado 4" xfId="5" builtinId="19" customBuiltin="1"/>
    <cellStyle name="Énfasis1" xfId="12" builtinId="29" customBuiltin="1"/>
    <cellStyle name="Énfasis2" xfId="13" builtinId="33" customBuiltin="1"/>
    <cellStyle name="Énfasis3" xfId="6" builtinId="37" customBuiltin="1"/>
    <cellStyle name="Énfasis4" xfId="37" builtinId="41" customBuiltin="1"/>
    <cellStyle name="Énfasis5" xfId="41" builtinId="45" customBuiltin="1"/>
    <cellStyle name="Énfasis6" xfId="45" builtinId="49" customBuiltin="1"/>
    <cellStyle name="Entrada" xfId="20" builtinId="20" customBuiltin="1"/>
    <cellStyle name="Fecha" xfId="8" xr:uid="{00000000-0005-0000-0000-000005000000}"/>
    <cellStyle name="Hora" xfId="9" xr:uid="{00000000-0005-0000-0000-00000C000000}"/>
    <cellStyle name="Incorrecto" xfId="18" builtinId="27" customBuiltin="1"/>
    <cellStyle name="Millares" xfId="10" builtinId="3" customBuiltin="1"/>
    <cellStyle name="Millares [0]" xfId="11" builtinId="6" customBuiltin="1"/>
    <cellStyle name="Moneda" xfId="14" builtinId="4" customBuiltin="1"/>
    <cellStyle name="Moneda [0]" xfId="15" builtinId="7" customBuiltin="1"/>
    <cellStyle name="Neutral" xfId="19" builtinId="28" customBuiltin="1"/>
    <cellStyle name="Normal" xfId="0" builtinId="0" customBuiltin="1"/>
    <cellStyle name="Notas" xfId="26" builtinId="10" customBuiltin="1"/>
    <cellStyle name="Porcentaje" xfId="16" builtinId="5" customBuiltin="1"/>
    <cellStyle name="Salida" xfId="21" builtinId="21" customBuiltin="1"/>
    <cellStyle name="Texto de advertencia" xfId="25" builtinId="11" customBuiltin="1"/>
    <cellStyle name="Texto explicativo" xfId="7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27" builtinId="25" customBuiltin="1"/>
  </cellStyles>
  <dxfs count="22">
    <dxf>
      <border>
        <left style="thin">
          <color theme="6" tint="-0.249946592608417"/>
        </left>
        <vertical/>
        <horizontal/>
      </border>
    </dxf>
    <dxf>
      <border>
        <left style="thin">
          <color theme="6" tint="-0.249946592608417"/>
        </left>
        <vertical/>
        <horizontal/>
      </border>
    </dxf>
    <dxf>
      <font>
        <color theme="5" tint="-0.499984740745262"/>
      </font>
    </dxf>
    <dxf>
      <font>
        <b/>
        <i val="0"/>
        <color theme="6" tint="-0.249946592608417"/>
      </font>
    </dxf>
    <dxf>
      <font>
        <color theme="5" tint="-0.499984740745262"/>
      </font>
    </dxf>
    <dxf>
      <font>
        <b/>
        <i val="0"/>
        <color theme="6" tint="-0.249946592608417"/>
      </font>
    </dxf>
    <dxf>
      <font>
        <b/>
        <i val="0"/>
        <color theme="6" tint="-0.249946592608417"/>
      </font>
    </dxf>
    <dxf>
      <font>
        <color theme="4" tint="-0.499984740745262"/>
      </font>
    </dxf>
    <dxf>
      <font>
        <color theme="5" tint="-0.49998474074526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alignment horizontal="left" vertical="center" textRotation="0" wrapText="0" indent="1" justifyLastLine="0" shrinkToFit="0" readingOrder="0"/>
    </dxf>
    <dxf>
      <fill>
        <patternFill>
          <bgColor theme="0"/>
        </patternFill>
      </fill>
      <border>
        <top style="thin">
          <color theme="0" tint="-0.14996795556505021"/>
        </top>
        <bottom style="thin">
          <color theme="0" tint="-0.14996795556505021"/>
        </bottom>
        <horizontal style="thin">
          <color theme="0" tint="-0.14996795556505021"/>
        </horizontal>
      </border>
    </dxf>
    <dxf>
      <fill>
        <patternFill>
          <bgColor theme="0"/>
        </patternFill>
      </fill>
      <border>
        <top style="thin">
          <color theme="0" tint="-0.14996795556505021"/>
        </top>
        <bottom style="thin">
          <color theme="0" tint="-0.14996795556505021"/>
        </bottom>
        <horizontal style="thin">
          <color theme="0" tint="-0.14996795556505021"/>
        </horizontal>
      </border>
    </dxf>
    <dxf>
      <border>
        <left style="thin">
          <color theme="6" tint="-0.249946592608417"/>
        </left>
      </border>
    </dxf>
    <dxf>
      <font>
        <b/>
        <i val="0"/>
        <color theme="3"/>
      </font>
      <fill>
        <patternFill>
          <bgColor theme="0"/>
        </patternFill>
      </fill>
    </dxf>
    <dxf>
      <font>
        <b/>
        <i val="0"/>
        <color theme="3"/>
      </font>
      <fill>
        <patternFill>
          <bgColor theme="2" tint="-9.994811853389081E-2"/>
        </patternFill>
      </fill>
      <border>
        <top style="thick">
          <color theme="2"/>
        </top>
        <bottom style="thick">
          <color theme="2" tint="-9.994811853389081E-2"/>
        </bottom>
      </border>
    </dxf>
  </dxfs>
  <tableStyles count="1" defaultPivotStyle="PivotStyleLight15">
    <tableStyle name="Medidor de presión arterial y glucosa" pivot="0" count="5" xr9:uid="{00000000-0011-0000-FFFF-FFFF00000000}">
      <tableStyleElement type="headerRow" dxfId="21"/>
      <tableStyleElement type="totalRow" dxfId="20"/>
      <tableStyleElement type="lastColumn" dxfId="19"/>
      <tableStyleElement type="firstRowStripe" dxfId="18"/>
      <tableStyleElement type="secondRowStripe" dxfId="1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/customXml/item3.xml" Id="rId8" /><Relationship Type="http://schemas.openxmlformats.org/officeDocument/2006/relationships/styles" Target="/xl/styles.xml" Id="rId3" /><Relationship Type="http://schemas.openxmlformats.org/officeDocument/2006/relationships/customXml" Target="/customXml/item22.xml" Id="rId7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customXml" Target="/customXml/item13.xml" Id="rId6" /><Relationship Type="http://schemas.openxmlformats.org/officeDocument/2006/relationships/calcChain" Target="/xl/calcChain.xml" Id="rId5" /><Relationship Type="http://schemas.openxmlformats.org/officeDocument/2006/relationships/sharedStrings" Target="/xl/sharedStrings.xml" Id="rId4" /></Relationships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57148</xdr:rowOff>
    </xdr:from>
    <xdr:to>
      <xdr:col>10</xdr:col>
      <xdr:colOff>2250</xdr:colOff>
      <xdr:row>0</xdr:row>
      <xdr:rowOff>268182</xdr:rowOff>
    </xdr:to>
    <xdr:grpSp>
      <xdr:nvGrpSpPr>
        <xdr:cNvPr id="8" name="Sugerencia de entrada de datos" descr="Personalice los valores de la escala para que se ajusten a sus necesidades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781425" y="57148"/>
          <a:ext cx="9432000" cy="211034"/>
          <a:chOff x="3248023" y="-2"/>
          <a:chExt cx="6581775" cy="211034"/>
        </a:xfrm>
      </xdr:grpSpPr>
      <xdr:sp macro="" textlink="">
        <xdr:nvSpPr>
          <xdr:cNvPr id="7" name="Ilustración: línea" descr="Arcos redondeados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rot="5400000">
            <a:off x="6434136" y="-3186115"/>
            <a:ext cx="209550" cy="6581775"/>
          </a:xfrm>
          <a:custGeom>
            <a:avLst/>
            <a:gdLst>
              <a:gd name="connsiteX0" fmla="*/ 209550 w 209550"/>
              <a:gd name="connsiteY0" fmla="*/ 6581775 h 6581775"/>
              <a:gd name="connsiteX1" fmla="*/ 104775 w 209550"/>
              <a:gd name="connsiteY1" fmla="*/ 6564313 h 6581775"/>
              <a:gd name="connsiteX2" fmla="*/ 104775 w 209550"/>
              <a:gd name="connsiteY2" fmla="*/ 3308349 h 6581775"/>
              <a:gd name="connsiteX3" fmla="*/ 0 w 209550"/>
              <a:gd name="connsiteY3" fmla="*/ 3290887 h 6581775"/>
              <a:gd name="connsiteX4" fmla="*/ 104775 w 209550"/>
              <a:gd name="connsiteY4" fmla="*/ 3273425 h 6581775"/>
              <a:gd name="connsiteX5" fmla="*/ 104775 w 209550"/>
              <a:gd name="connsiteY5" fmla="*/ 17462 h 6581775"/>
              <a:gd name="connsiteX6" fmla="*/ 209550 w 209550"/>
              <a:gd name="connsiteY6" fmla="*/ 0 h 6581775"/>
              <a:gd name="connsiteX7" fmla="*/ 209550 w 209550"/>
              <a:gd name="connsiteY7" fmla="*/ 6581775 h 6581775"/>
              <a:gd name="connsiteX0" fmla="*/ 209550 w 209550"/>
              <a:gd name="connsiteY0" fmla="*/ 6581775 h 6581775"/>
              <a:gd name="connsiteX1" fmla="*/ 104775 w 209550"/>
              <a:gd name="connsiteY1" fmla="*/ 6564313 h 6581775"/>
              <a:gd name="connsiteX2" fmla="*/ 104775 w 209550"/>
              <a:gd name="connsiteY2" fmla="*/ 3308349 h 6581775"/>
              <a:gd name="connsiteX3" fmla="*/ 0 w 209550"/>
              <a:gd name="connsiteY3" fmla="*/ 3290887 h 6581775"/>
              <a:gd name="connsiteX4" fmla="*/ 104775 w 209550"/>
              <a:gd name="connsiteY4" fmla="*/ 3273425 h 6581775"/>
              <a:gd name="connsiteX5" fmla="*/ 104775 w 209550"/>
              <a:gd name="connsiteY5" fmla="*/ 17462 h 6581775"/>
              <a:gd name="connsiteX6" fmla="*/ 209550 w 209550"/>
              <a:gd name="connsiteY6" fmla="*/ 0 h 6581775"/>
              <a:gd name="connsiteX0" fmla="*/ 209550 w 209550"/>
              <a:gd name="connsiteY0" fmla="*/ 6581775 h 6581775"/>
              <a:gd name="connsiteX1" fmla="*/ 104775 w 209550"/>
              <a:gd name="connsiteY1" fmla="*/ 6564313 h 6581775"/>
              <a:gd name="connsiteX2" fmla="*/ 104775 w 209550"/>
              <a:gd name="connsiteY2" fmla="*/ 3308349 h 6581775"/>
              <a:gd name="connsiteX3" fmla="*/ 0 w 209550"/>
              <a:gd name="connsiteY3" fmla="*/ 3290887 h 6581775"/>
              <a:gd name="connsiteX4" fmla="*/ 104775 w 209550"/>
              <a:gd name="connsiteY4" fmla="*/ 3273425 h 6581775"/>
              <a:gd name="connsiteX5" fmla="*/ 104775 w 209550"/>
              <a:gd name="connsiteY5" fmla="*/ 17462 h 6581775"/>
              <a:gd name="connsiteX6" fmla="*/ 209550 w 209550"/>
              <a:gd name="connsiteY6" fmla="*/ 0 h 6581775"/>
              <a:gd name="connsiteX7" fmla="*/ 209550 w 209550"/>
              <a:gd name="connsiteY7" fmla="*/ 6581775 h 6581775"/>
              <a:gd name="connsiteX0" fmla="*/ 209550 w 209550"/>
              <a:gd name="connsiteY0" fmla="*/ 6581775 h 6581775"/>
              <a:gd name="connsiteX1" fmla="*/ 104775 w 209550"/>
              <a:gd name="connsiteY1" fmla="*/ 6564313 h 6581775"/>
              <a:gd name="connsiteX2" fmla="*/ 104775 w 209550"/>
              <a:gd name="connsiteY2" fmla="*/ 3308349 h 6581775"/>
              <a:gd name="connsiteX3" fmla="*/ 104775 w 209550"/>
              <a:gd name="connsiteY3" fmla="*/ 3273425 h 6581775"/>
              <a:gd name="connsiteX4" fmla="*/ 104775 w 209550"/>
              <a:gd name="connsiteY4" fmla="*/ 17462 h 6581775"/>
              <a:gd name="connsiteX5" fmla="*/ 209550 w 209550"/>
              <a:gd name="connsiteY5" fmla="*/ 0 h 6581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09550" h="6581775" stroke="0" extrusionOk="0">
                <a:moveTo>
                  <a:pt x="209550" y="6581775"/>
                </a:moveTo>
                <a:cubicBezTo>
                  <a:pt x="151684" y="6581775"/>
                  <a:pt x="104775" y="6573957"/>
                  <a:pt x="104775" y="6564313"/>
                </a:cubicBezTo>
                <a:lnTo>
                  <a:pt x="104775" y="3308349"/>
                </a:lnTo>
                <a:cubicBezTo>
                  <a:pt x="104775" y="3298705"/>
                  <a:pt x="57866" y="3290887"/>
                  <a:pt x="0" y="3290887"/>
                </a:cubicBezTo>
                <a:cubicBezTo>
                  <a:pt x="57866" y="3290887"/>
                  <a:pt x="104775" y="3283069"/>
                  <a:pt x="104775" y="3273425"/>
                </a:cubicBezTo>
                <a:lnTo>
                  <a:pt x="104775" y="17462"/>
                </a:lnTo>
                <a:cubicBezTo>
                  <a:pt x="104775" y="7818"/>
                  <a:pt x="151684" y="0"/>
                  <a:pt x="209550" y="0"/>
                </a:cubicBezTo>
                <a:lnTo>
                  <a:pt x="209550" y="6581775"/>
                </a:lnTo>
                <a:close/>
              </a:path>
              <a:path w="209550" h="6581775" fill="none">
                <a:moveTo>
                  <a:pt x="209550" y="6581775"/>
                </a:moveTo>
                <a:cubicBezTo>
                  <a:pt x="151684" y="6581775"/>
                  <a:pt x="104775" y="6573957"/>
                  <a:pt x="104775" y="6564313"/>
                </a:cubicBezTo>
                <a:lnTo>
                  <a:pt x="104775" y="3308349"/>
                </a:lnTo>
                <a:lnTo>
                  <a:pt x="104775" y="3273425"/>
                </a:lnTo>
                <a:lnTo>
                  <a:pt x="104775" y="17462"/>
                </a:lnTo>
                <a:cubicBezTo>
                  <a:pt x="104775" y="7818"/>
                  <a:pt x="151684" y="0"/>
                  <a:pt x="209550" y="0"/>
                </a:cubicBezTo>
              </a:path>
            </a:pathLst>
          </a:custGeom>
          <a:ln w="12700">
            <a:solidFill>
              <a:schemeClr val="tx2"/>
            </a:solidFill>
            <a:miter lim="800000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600"/>
          </a:p>
        </xdr:txBody>
      </xdr:sp>
      <xdr:sp macro="" textlink="">
        <xdr:nvSpPr>
          <xdr:cNvPr id="4" name="Texto de sugerencia" descr="Personalice los valores de la escala para que se ajusten a sus necesidades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4605517" y="38100"/>
            <a:ext cx="3866790" cy="172932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>
            <a:spAutoFit/>
          </a:bodyPr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" sz="1100" spc="20" baseline="0">
                <a:ln>
                  <a:noFill/>
                </a:ln>
                <a:solidFill>
                  <a:sysClr val="windowText" lastClr="000000"/>
                </a:solidFill>
                <a:effectLst/>
                <a:latin typeface="Century Gothic" panose="020B0502020202020204" pitchFamily="34" charset="0"/>
                <a:ea typeface="+mn-ea"/>
                <a:cs typeface="+mn-cs"/>
              </a:rPr>
              <a:t>Personalice los valores de las escalas para adaptarlos a sus necesidades.</a:t>
            </a:r>
            <a:endParaRPr lang="en-US" sz="1100" spc="20" baseline="0">
              <a:ln>
                <a:noFill/>
              </a:ln>
              <a:solidFill>
                <a:sysClr val="windowText" lastClr="000000"/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 fPrintsWithSheet="0"/>
  </xdr:twoCellAnchor>
  <xdr:twoCellAnchor editAs="oneCell">
    <xdr:from>
      <xdr:col>6</xdr:col>
      <xdr:colOff>1543052</xdr:colOff>
      <xdr:row>0</xdr:row>
      <xdr:rowOff>289532</xdr:rowOff>
    </xdr:from>
    <xdr:to>
      <xdr:col>7</xdr:col>
      <xdr:colOff>27306</xdr:colOff>
      <xdr:row>4</xdr:row>
      <xdr:rowOff>269664</xdr:rowOff>
    </xdr:to>
    <xdr:cxnSp macro="">
      <xdr:nvCxnSpPr>
        <xdr:cNvPr id="6" name="Conector recto 5" descr="Línea divisoria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8467727" y="289532"/>
          <a:ext cx="55879" cy="1237432"/>
        </a:xfrm>
        <a:prstGeom prst="line">
          <a:avLst/>
        </a:prstGeom>
        <a:ln>
          <a:solidFill>
            <a:schemeClr val="bg2"/>
          </a:solidFill>
        </a:ln>
      </xdr:spPr>
      <xdr:style>
        <a:lnRef idx="3">
          <a:schemeClr val="accent3"/>
        </a:lnRef>
        <a:fillRef idx="0">
          <a:schemeClr val="accent3"/>
        </a:fillRef>
        <a:effectRef idx="2">
          <a:schemeClr val="accent3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1539875</xdr:colOff>
      <xdr:row>4</xdr:row>
      <xdr:rowOff>269664</xdr:rowOff>
    </xdr:from>
    <xdr:to>
      <xdr:col>10</xdr:col>
      <xdr:colOff>71075</xdr:colOff>
      <xdr:row>5</xdr:row>
      <xdr:rowOff>1058</xdr:rowOff>
    </xdr:to>
    <xdr:sp macro="" textlink="">
      <xdr:nvSpPr>
        <xdr:cNvPr id="19" name="Rectángulo 18" descr="Línea divisoria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3778250" y="1526964"/>
          <a:ext cx="9504000" cy="45719"/>
        </a:xfrm>
        <a:prstGeom prst="rect">
          <a:avLst/>
        </a:prstGeom>
        <a:solidFill>
          <a:schemeClr val="bg2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 rtl="0"/>
          <a:r>
            <a:rPr lang="es" sz="1100">
              <a:latin typeface="Century Gothic" panose="020B0502020202020204" pitchFamily="34" charset="0"/>
            </a:rPr>
            <a:t> </a:t>
          </a:r>
        </a:p>
      </xdr:txBody>
    </xdr:sp>
    <xdr:clientData/>
  </xdr:twoCellAnchor>
</xdr:wsDr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esiónArterialyGlucosa" displayName="PresiónArterialyGlucosa" ref="B6:K13" totalsRowCount="1">
  <tableColumns count="10">
    <tableColumn id="1" xr3:uid="{00000000-0010-0000-0000-000001000000}" name="Fecha" totalsRowLabel="Promedios" totalsRowDxfId="16" dataCellStyle="Fecha"/>
    <tableColumn id="2" xr3:uid="{00000000-0010-0000-0000-000002000000}" name="Hora" totalsRowDxfId="15" dataCellStyle="Hora"/>
    <tableColumn id="3" xr3:uid="{00000000-0010-0000-0000-000003000000}" name="Situación" totalsRowDxfId="14"/>
    <tableColumn id="4" xr3:uid="{00000000-0010-0000-0000-000004000000}" name="Sistólica" totalsRowFunction="average" dataCellStyle="Millares"/>
    <tableColumn id="5" xr3:uid="{00000000-0010-0000-0000-000005000000}" name="Diastólica" totalsRowFunction="average" dataCellStyle="Millares"/>
    <tableColumn id="6" xr3:uid="{00000000-0010-0000-0000-000006000000}" name="Frecuencia cardíaca" totalsRowFunction="average" dataCellStyle="Millares"/>
    <tableColumn id="10" xr3:uid="{00000000-0010-0000-0000-00000A000000}" name="Glucosa" totalsRowFunction="average" totalsRowDxfId="13" dataCellStyle="Millares"/>
    <tableColumn id="7" xr3:uid="{00000000-0010-0000-0000-000007000000}" name="Nivel" totalsRowDxfId="12">
      <calculatedColumnFormula>PresiónArterialyGlucosa[[#This Row],[Glucosa]]</calculatedColumnFormula>
    </tableColumn>
    <tableColumn id="9" xr3:uid="{00000000-0010-0000-0000-000009000000}" name="Estado" dataDxfId="11" totalsRowDxfId="10">
      <calculatedColumnFormula>IFERROR(IF(PresiónArterialyGlucosa[[#This Row],[Nivel]]=0,"",IF(PresiónArterialyGlucosa[[#This Row],[Nivel]]&lt;=GBaja,"Baja",IF(AND(PresiónArterialyGlucosa[[#This Row],[Nivel]]&gt;GBaja,PresiónArterialyGlucosa[[#This Row],[Nivel]]&lt;GAlta),"Normal","Alta"))), "")</calculatedColumnFormula>
    </tableColumn>
    <tableColumn id="8" xr3:uid="{00000000-0010-0000-0000-000008000000}" name="Notas" totalsRowDxfId="9"/>
  </tableColumns>
  <tableStyleInfo name="Medidor de presión arterial y glucosa" showFirstColumn="0" showLastColumn="1" showRowStripes="1" showColumnStripes="0"/>
  <extLst>
    <ext xmlns:x14="http://schemas.microsoft.com/office/spreadsheetml/2009/9/main" uri="{504A1905-F514-4f6f-8877-14C23A59335A}">
      <x14:table altTextSummary="En esta tabla se encuentran la fecha, la hora, la situación, los valores de la presión arterial sistólica y diastólica, la frecuencia cardiaca, la glucosa, el nivel, el estado y las notas. El nivel y el estado se actualizan de forma automática"/>
    </ext>
  </extLst>
</table>
</file>

<file path=xl/theme/theme11.xml><?xml version="1.0" encoding="utf-8"?>
<a:theme xmlns:a="http://schemas.openxmlformats.org/drawingml/2006/main" name="Office Theme">
  <a:themeElements>
    <a:clrScheme name="Blood Pressure &amp; Glucose">
      <a:dk1>
        <a:sysClr val="windowText" lastClr="000000"/>
      </a:dk1>
      <a:lt1>
        <a:sysClr val="window" lastClr="FFFFFF"/>
      </a:lt1>
      <a:dk2>
        <a:srgbClr val="4A4A62"/>
      </a:dk2>
      <a:lt2>
        <a:srgbClr val="F2F2F2"/>
      </a:lt2>
      <a:accent1>
        <a:srgbClr val="32A7CB"/>
      </a:accent1>
      <a:accent2>
        <a:srgbClr val="FBAD16"/>
      </a:accent2>
      <a:accent3>
        <a:srgbClr val="A9142D"/>
      </a:accent3>
      <a:accent4>
        <a:srgbClr val="4BAA44"/>
      </a:accent4>
      <a:accent5>
        <a:srgbClr val="EC711F"/>
      </a:accent5>
      <a:accent6>
        <a:srgbClr val="97669D"/>
      </a:accent6>
      <a:hlink>
        <a:srgbClr val="00AFDB"/>
      </a:hlink>
      <a:folHlink>
        <a:srgbClr val="97669D"/>
      </a:folHlink>
    </a:clrScheme>
    <a:fontScheme name="Blood Pressure &amp; Glucose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table" Target="/xl/tables/table11.xml" Id="rId3" /><Relationship Type="http://schemas.openxmlformats.org/officeDocument/2006/relationships/drawing" Target="/xl/drawings/drawing11.xml" Id="rId2" /><Relationship Type="http://schemas.openxmlformats.org/officeDocument/2006/relationships/printerSettings" Target="/xl/printerSettings/printerSettings11.bin" Id="rId1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  <pageSetUpPr autoPageBreaks="0" fitToPage="1"/>
  </sheetPr>
  <dimension ref="A1:K13"/>
  <sheetViews>
    <sheetView showGridLines="0" tabSelected="1" zoomScaleNormal="100" workbookViewId="0"/>
  </sheetViews>
  <sheetFormatPr baseColWidth="10" defaultColWidth="9" defaultRowHeight="30" customHeight="1" x14ac:dyDescent="0.3"/>
  <cols>
    <col min="1" max="1" width="2.625" style="1" customWidth="1"/>
    <col min="2" max="2" width="14.375" style="1" customWidth="1"/>
    <col min="3" max="3" width="12.375" style="1" customWidth="1"/>
    <col min="4" max="4" width="20.25" style="1" customWidth="1"/>
    <col min="5" max="10" width="20.625" style="1" customWidth="1"/>
    <col min="11" max="11" width="55" style="1" bestFit="1" customWidth="1"/>
    <col min="12" max="12" width="2.625" customWidth="1"/>
  </cols>
  <sheetData>
    <row r="1" spans="2:11" ht="24.95" customHeight="1" thickBot="1" x14ac:dyDescent="0.35">
      <c r="B1" s="19" t="s">
        <v>0</v>
      </c>
      <c r="C1" s="20"/>
      <c r="D1" s="20"/>
      <c r="E1" s="21" t="s">
        <v>9</v>
      </c>
      <c r="F1" s="21"/>
      <c r="G1" s="21"/>
      <c r="H1" s="21"/>
      <c r="I1" s="21"/>
      <c r="J1" s="21"/>
    </row>
    <row r="2" spans="2:11" ht="24.95" customHeight="1" thickTop="1" thickBot="1" x14ac:dyDescent="0.35">
      <c r="B2" s="20"/>
      <c r="C2" s="20"/>
      <c r="D2" s="20"/>
      <c r="E2" s="18" t="s">
        <v>10</v>
      </c>
      <c r="F2" s="18"/>
      <c r="G2" s="18"/>
      <c r="H2" s="18" t="s">
        <v>18</v>
      </c>
      <c r="I2" s="18"/>
      <c r="J2" s="18"/>
    </row>
    <row r="3" spans="2:11" ht="24.95" customHeight="1" thickTop="1" thickBot="1" x14ac:dyDescent="0.35">
      <c r="B3" s="20"/>
      <c r="C3" s="20"/>
      <c r="D3" s="20"/>
      <c r="E3" s="2">
        <v>120</v>
      </c>
      <c r="F3" s="3" t="s">
        <v>13</v>
      </c>
      <c r="G3" s="4">
        <v>140</v>
      </c>
      <c r="H3" s="4">
        <v>70</v>
      </c>
      <c r="I3" s="2">
        <v>100</v>
      </c>
      <c r="J3" s="5">
        <v>150</v>
      </c>
    </row>
    <row r="4" spans="2:11" ht="24.95" customHeight="1" thickTop="1" thickBot="1" x14ac:dyDescent="0.35">
      <c r="B4" s="20"/>
      <c r="C4" s="20"/>
      <c r="D4" s="20"/>
      <c r="E4" s="2">
        <v>80</v>
      </c>
      <c r="F4" s="3" t="s">
        <v>14</v>
      </c>
      <c r="G4" s="5">
        <v>90</v>
      </c>
      <c r="H4" s="6" t="s">
        <v>19</v>
      </c>
      <c r="I4" s="6" t="s">
        <v>21</v>
      </c>
      <c r="J4" s="6" t="s">
        <v>23</v>
      </c>
    </row>
    <row r="5" spans="2:11" ht="24.95" customHeight="1" thickTop="1" x14ac:dyDescent="0.3">
      <c r="B5" s="20"/>
      <c r="C5" s="20"/>
      <c r="D5" s="20"/>
      <c r="E5" s="6" t="s">
        <v>11</v>
      </c>
      <c r="F5" s="7"/>
      <c r="G5" s="6" t="s">
        <v>16</v>
      </c>
      <c r="H5" s="6"/>
      <c r="I5" s="17"/>
      <c r="J5" s="6"/>
    </row>
    <row r="6" spans="2:11" ht="20.1" customHeight="1" x14ac:dyDescent="0.3">
      <c r="B6" s="1" t="s">
        <v>1</v>
      </c>
      <c r="C6" s="1" t="s">
        <v>3</v>
      </c>
      <c r="D6" t="s">
        <v>4</v>
      </c>
      <c r="E6" s="8" t="s">
        <v>12</v>
      </c>
      <c r="F6" s="8" t="s">
        <v>15</v>
      </c>
      <c r="G6" s="8" t="s">
        <v>17</v>
      </c>
      <c r="H6" s="8" t="s">
        <v>20</v>
      </c>
      <c r="I6" s="1" t="s">
        <v>22</v>
      </c>
      <c r="J6" s="8" t="s">
        <v>24</v>
      </c>
      <c r="K6" s="1" t="s">
        <v>25</v>
      </c>
    </row>
    <row r="7" spans="2:11" ht="30" customHeight="1" x14ac:dyDescent="0.3">
      <c r="B7" s="9">
        <f ca="1">TODAY()</f>
        <v>44776</v>
      </c>
      <c r="C7" s="22">
        <v>0.25</v>
      </c>
      <c r="D7" s="1" t="s">
        <v>5</v>
      </c>
      <c r="E7" s="10">
        <v>129</v>
      </c>
      <c r="F7" s="10">
        <v>79</v>
      </c>
      <c r="G7" s="10">
        <v>72</v>
      </c>
      <c r="H7" s="10">
        <v>55</v>
      </c>
      <c r="I7" s="11">
        <f>PresiónArterialyGlucosa[[#This Row],[Glucosa]]</f>
        <v>55</v>
      </c>
      <c r="J7" s="16" t="str">
        <f>IFERROR(IF(PresiónArterialyGlucosa[[#This Row],[Nivel]]=0,"",IF(PresiónArterialyGlucosa[[#This Row],[Nivel]]&lt;=GBaja,"Baja",IF(AND(PresiónArterialyGlucosa[[#This Row],[Nivel]]&gt;GBaja,PresiónArterialyGlucosa[[#This Row],[Nivel]]&lt;GAlta),"Normal","Alta"))), "")</f>
        <v>Baja</v>
      </c>
    </row>
    <row r="8" spans="2:11" ht="30" customHeight="1" x14ac:dyDescent="0.3">
      <c r="B8" s="9">
        <f t="shared" ref="B8:B11" ca="1" si="0">TODAY()</f>
        <v>44776</v>
      </c>
      <c r="C8" s="22">
        <v>0.2916666666666667</v>
      </c>
      <c r="D8" s="1" t="s">
        <v>6</v>
      </c>
      <c r="E8" s="10">
        <v>120</v>
      </c>
      <c r="F8" s="10">
        <v>80</v>
      </c>
      <c r="G8" s="10">
        <v>74</v>
      </c>
      <c r="H8" s="10">
        <v>70</v>
      </c>
      <c r="I8" s="11">
        <f>PresiónArterialyGlucosa[[#This Row],[Glucosa]]</f>
        <v>70</v>
      </c>
      <c r="J8" s="16" t="str">
        <f>IFERROR(IF(PresiónArterialyGlucosa[[#This Row],[Nivel]]=0,"",IF(PresiónArterialyGlucosa[[#This Row],[Nivel]]&lt;=GBaja,"Baja",IF(AND(PresiónArterialyGlucosa[[#This Row],[Nivel]]&gt;GBaja,PresiónArterialyGlucosa[[#This Row],[Nivel]]&lt;GAlta),"Normal","Alta"))), "")</f>
        <v>Baja</v>
      </c>
    </row>
    <row r="9" spans="2:11" ht="30" customHeight="1" x14ac:dyDescent="0.3">
      <c r="B9" s="9">
        <f t="shared" ca="1" si="0"/>
        <v>44776</v>
      </c>
      <c r="C9" s="22">
        <v>0.375</v>
      </c>
      <c r="D9" s="1" t="s">
        <v>7</v>
      </c>
      <c r="E9" s="10">
        <v>133</v>
      </c>
      <c r="F9" s="10">
        <v>80</v>
      </c>
      <c r="G9" s="10">
        <v>75</v>
      </c>
      <c r="H9" s="10">
        <v>75</v>
      </c>
      <c r="I9" s="11">
        <f>PresiónArterialyGlucosa[[#This Row],[Glucosa]]</f>
        <v>75</v>
      </c>
      <c r="J9" s="16" t="str">
        <f>IFERROR(IF(PresiónArterialyGlucosa[[#This Row],[Nivel]]=0,"",IF(PresiónArterialyGlucosa[[#This Row],[Nivel]]&lt;=GBaja,"Baja",IF(AND(PresiónArterialyGlucosa[[#This Row],[Nivel]]&gt;GBaja,PresiónArterialyGlucosa[[#This Row],[Nivel]]&lt;GAlta),"Normal","Alta"))), "")</f>
        <v>Normal</v>
      </c>
    </row>
    <row r="10" spans="2:11" ht="30" customHeight="1" x14ac:dyDescent="0.3">
      <c r="B10" s="9">
        <f t="shared" ca="1" si="0"/>
        <v>44776</v>
      </c>
      <c r="C10" s="22">
        <v>0.4166666666666667</v>
      </c>
      <c r="D10" s="1" t="s">
        <v>8</v>
      </c>
      <c r="E10" s="10">
        <v>143</v>
      </c>
      <c r="F10" s="10">
        <v>91</v>
      </c>
      <c r="G10" s="10">
        <v>75</v>
      </c>
      <c r="H10" s="10">
        <v>190</v>
      </c>
      <c r="I10" s="11">
        <f>PresiónArterialyGlucosa[[#This Row],[Glucosa]]</f>
        <v>190</v>
      </c>
      <c r="J10" s="16" t="str">
        <f>IFERROR(IF(PresiónArterialyGlucosa[[#This Row],[Nivel]]=0,"",IF(PresiónArterialyGlucosa[[#This Row],[Nivel]]&lt;=GBaja,"Baja",IF(AND(PresiónArterialyGlucosa[[#This Row],[Nivel]]&gt;GBaja,PresiónArterialyGlucosa[[#This Row],[Nivel]]&lt;GAlta),"Normal","Alta"))), "")</f>
        <v>Alta</v>
      </c>
    </row>
    <row r="11" spans="2:11" ht="30" customHeight="1" x14ac:dyDescent="0.3">
      <c r="B11" s="9">
        <f t="shared" ca="1" si="0"/>
        <v>44776</v>
      </c>
      <c r="C11" s="22">
        <v>0.5</v>
      </c>
      <c r="D11" s="1" t="s">
        <v>6</v>
      </c>
      <c r="E11" s="10">
        <v>141</v>
      </c>
      <c r="F11" s="10">
        <v>84</v>
      </c>
      <c r="G11" s="10">
        <v>70</v>
      </c>
      <c r="H11" s="10">
        <v>140</v>
      </c>
      <c r="I11" s="11">
        <f>PresiónArterialyGlucosa[[#This Row],[Glucosa]]</f>
        <v>140</v>
      </c>
      <c r="J11" s="16" t="str">
        <f>IFERROR(IF(PresiónArterialyGlucosa[[#This Row],[Nivel]]=0,"",IF(PresiónArterialyGlucosa[[#This Row],[Nivel]]&lt;=GBaja,"Baja",IF(AND(PresiónArterialyGlucosa[[#This Row],[Nivel]]&gt;GBaja,PresiónArterialyGlucosa[[#This Row],[Nivel]]&lt;GAlta),"Normal","Alta"))), "")</f>
        <v>Normal</v>
      </c>
    </row>
    <row r="12" spans="2:11" ht="30" customHeight="1" x14ac:dyDescent="0.3">
      <c r="B12" s="9">
        <f ca="1">TODAY()</f>
        <v>44776</v>
      </c>
      <c r="C12" s="22">
        <v>0.625</v>
      </c>
      <c r="D12" s="1" t="s">
        <v>7</v>
      </c>
      <c r="E12" s="10">
        <v>132</v>
      </c>
      <c r="F12" s="10">
        <v>80</v>
      </c>
      <c r="G12" s="10">
        <v>68</v>
      </c>
      <c r="H12" s="10">
        <v>90</v>
      </c>
      <c r="I12" s="11">
        <f>PresiónArterialyGlucosa[[#This Row],[Glucosa]]</f>
        <v>90</v>
      </c>
      <c r="J12" s="16" t="str">
        <f>IFERROR(IF(PresiónArterialyGlucosa[[#This Row],[Nivel]]=0,"",IF(PresiónArterialyGlucosa[[#This Row],[Nivel]]&lt;=GBaja,"Baja",IF(AND(PresiónArterialyGlucosa[[#This Row],[Nivel]]&gt;GBaja,PresiónArterialyGlucosa[[#This Row],[Nivel]]&lt;GAlta),"Normal","Alta"))), "")</f>
        <v>Normal</v>
      </c>
      <c r="K12" s="1" t="s">
        <v>26</v>
      </c>
    </row>
    <row r="13" spans="2:11" ht="30" customHeight="1" x14ac:dyDescent="0.3">
      <c r="B13" s="12" t="s">
        <v>2</v>
      </c>
      <c r="E13" s="13">
        <f>SUBTOTAL(101,PresiónArterialyGlucosa[Sistólica])</f>
        <v>133</v>
      </c>
      <c r="F13" s="13">
        <f>SUBTOTAL(101,PresiónArterialyGlucosa[Diastólica])</f>
        <v>8.233333333333333E1</v>
      </c>
      <c r="G13" s="13">
        <f>SUBTOTAL(101,PresiónArterialyGlucosa[Frecuencia cardíaca])</f>
        <v>7.233333333333333E1</v>
      </c>
      <c r="H13" s="13">
        <f>SUBTOTAL(101,PresiónArterialyGlucosa[Glucosa])</f>
        <v>1.0333333333333333E2</v>
      </c>
      <c r="I13" s="14"/>
      <c r="J13" s="15"/>
      <c r="K13" s="12"/>
    </row>
  </sheetData>
  <mergeCells count="4">
    <mergeCell ref="H2:J2"/>
    <mergeCell ref="E2:G2"/>
    <mergeCell ref="B1:D5"/>
    <mergeCell ref="E1:J1"/>
  </mergeCells>
  <conditionalFormatting sqref="I7:I12">
    <cfRule type="dataBar" priority="12">
      <dataBar showValue="0">
        <cfvo type="num" val="0"/>
        <cfvo type="num" val="GAlta"/>
        <color theme="1" tint="0.3499862666707358"/>
      </dataBar>
      <extLst>
        <ext xmlns:x14="http://schemas.microsoft.com/office/spreadsheetml/2009/9/main" uri="{B025F937-C7B1-47D3-B67F-A62EFF666E3E}">
          <x14:id>{0D8848C9-C23F-4391-92F4-6AC80D8BCDF3}</x14:id>
        </ext>
      </extLst>
    </cfRule>
  </conditionalFormatting>
  <conditionalFormatting sqref="J7:J12">
    <cfRule type="expression" dxfId="8" priority="3">
      <formula>$J7="NORMAL"</formula>
    </cfRule>
    <cfRule type="expression" dxfId="7" priority="4">
      <formula>$J7="BAJA"</formula>
    </cfRule>
    <cfRule type="expression" dxfId="6" priority="11">
      <formula>$J7="ALTA"</formula>
    </cfRule>
  </conditionalFormatting>
  <conditionalFormatting sqref="E7:E12">
    <cfRule type="expression" dxfId="5" priority="6">
      <formula>$E7&gt;=SAlta</formula>
    </cfRule>
    <cfRule type="expression" dxfId="4" priority="8">
      <formula>OR(E7=SÓptima,E7&lt;SAlta)</formula>
    </cfRule>
  </conditionalFormatting>
  <conditionalFormatting sqref="F7:F12">
    <cfRule type="expression" dxfId="3" priority="5">
      <formula>$F7&gt;=DAlta</formula>
    </cfRule>
    <cfRule type="expression" dxfId="2" priority="7">
      <formula>OR(F7=DÓptima,F7&lt;DAlta)</formula>
    </cfRule>
  </conditionalFormatting>
  <conditionalFormatting sqref="H6:H13">
    <cfRule type="expression" dxfId="1" priority="2">
      <formula>$H$6="Glucosa"</formula>
    </cfRule>
  </conditionalFormatting>
  <conditionalFormatting sqref="E6:E13">
    <cfRule type="expression" dxfId="0" priority="1">
      <formula>$E$6="Sistólica"</formula>
    </cfRule>
  </conditionalFormatting>
  <dataValidations count="21">
    <dataValidation allowBlank="1" showInputMessage="1" showErrorMessage="1" prompt="Cree un registro de presión arterial y glucosa en esta hoja de cálculo. Personalice los valores de la escala de presión arterial y glucosa. Introduzca los detalles en la tabla de Presión arterial y Glucosa a partir de la celda B6" sqref="A1" xr:uid="{00000000-0002-0000-0000-000000000000}"/>
    <dataValidation allowBlank="1" showInputMessage="1" showErrorMessage="1" prompt="El título de esta hoja de cálculo está en esta celda. Personalizar los valores de la escala en las celdas de la derecha" sqref="B1:D5" xr:uid="{00000000-0002-0000-0000-000001000000}"/>
    <dataValidation allowBlank="1" showInputMessage="1" showErrorMessage="1" prompt="Personalice la lectura de la presión arterial sistólica y diastólica objetivo en las celdas E3 y E4 y el límite de la presión arterial sistólica y diastólica para llamar al médico en las celdas G3 y G4" sqref="E2:G2" xr:uid="{00000000-0002-0000-0000-000002000000}"/>
    <dataValidation allowBlank="1" showInputMessage="1" showErrorMessage="1" prompt="Personalice los valores de la escala de glucosa, Bajo, Normal y Alto, en las celdas H3 a J3" sqref="H2:J2" xr:uid="{00000000-0002-0000-0000-000003000000}"/>
    <dataValidation allowBlank="1" showInputMessage="1" showErrorMessage="1" prompt="Escriba las notas en la columna con este encabezado." sqref="K6" xr:uid="{00000000-0002-0000-0000-000004000000}"/>
    <dataValidation allowBlank="1" showInputMessage="1" showErrorMessage="1" prompt="Escriba la fecha en esta columna, debajo de este encabezado" sqref="B6" xr:uid="{00000000-0002-0000-0000-000005000000}"/>
    <dataValidation allowBlank="1" showInputMessage="1" showErrorMessage="1" prompt="Escriba la hora en esta columna, debajo de este encabezado" sqref="C6" xr:uid="{00000000-0002-0000-0000-000006000000}"/>
    <dataValidation allowBlank="1" showInputMessage="1" showErrorMessage="1" prompt="Introduzca el evento en esta columna bajo este título" sqref="D6" xr:uid="{00000000-0002-0000-0000-000007000000}"/>
    <dataValidation allowBlank="1" showInputMessage="1" showErrorMessage="1" prompt="Introduzca la presión arterial sistólica en esta columna bajo este epígrafe. Una lectura que supere los límites establecidos en la celda G3 se actualizará con el color RGB R=125 G=15 B=34" sqref="E6" xr:uid="{00000000-0002-0000-0000-000008000000}"/>
    <dataValidation allowBlank="1" showInputMessage="1" showErrorMessage="1" prompt="Introduzca la presión arterial diastólica en esta columna bajo este epígrafe. Una lectura que supere los límites establecidos en la celda G4 se actualizará con el color RGB R=125 G=15 B=34" sqref="F6" xr:uid="{00000000-0002-0000-0000-000009000000}"/>
    <dataValidation allowBlank="1" showInputMessage="1" showErrorMessage="1" prompt="Introduzca la frecuencia cardíaca en esta columna bajo este epígrafe" sqref="G6" xr:uid="{00000000-0002-0000-0000-00000A000000}"/>
    <dataValidation allowBlank="1" showInputMessage="1" showErrorMessage="1" prompt="Escriba los valores de la glucosa en esta columna, debajo de este encabezado" sqref="H6" xr:uid="{00000000-0002-0000-0000-00000B000000}"/>
    <dataValidation allowBlank="1" showInputMessage="1" showErrorMessage="1" prompt="La barra de datos del valor de la glucosa se actualiza automáticamente en esta columna, debajo de este encabezado" sqref="I6" xr:uid="{00000000-0002-0000-0000-00000C000000}"/>
    <dataValidation allowBlank="1" showInputMessage="1" showErrorMessage="1" prompt="El estado se actualiza automáticamente en esta columna, debajo de este encabezado" sqref="J6" xr:uid="{00000000-0002-0000-0000-00000D000000}"/>
    <dataValidation allowBlank="1" showInputMessage="1" showErrorMessage="1" prompt="El máximo de presión arterial diastólica para llamar al médico se encuentra en esta celda" sqref="G4" xr:uid="{00000000-0002-0000-0000-00000E000000}"/>
    <dataValidation allowBlank="1" showInputMessage="1" showErrorMessage="1" prompt="El valor óptimo de la presión arterial sistólica se encuentra en esta celda" sqref="E3" xr:uid="{00000000-0002-0000-0000-00000F000000}"/>
    <dataValidation allowBlank="1" showInputMessage="1" showErrorMessage="1" prompt="El valor óptimo de la presión arterial diastólica se encuentra en esta celda" sqref="E4" xr:uid="{00000000-0002-0000-0000-000010000000}"/>
    <dataValidation allowBlank="1" showInputMessage="1" showErrorMessage="1" prompt="El máximo de presión arterial sistólica para llamar al médico se encuentra en esta celda" sqref="G3" xr:uid="{00000000-0002-0000-0000-000011000000}"/>
    <dataValidation allowBlank="1" showInputMessage="1" showErrorMessage="1" prompt="El valor Alto de la escala de glucosa se encuentra en esta celda" sqref="J3" xr:uid="{00000000-0002-0000-0000-000012000000}"/>
    <dataValidation allowBlank="1" showInputMessage="1" showErrorMessage="1" prompt="El valor Bajo de la escala de glucosa se encuentra en esta celda" sqref="H3" xr:uid="{00000000-0002-0000-0000-000013000000}"/>
    <dataValidation allowBlank="1" showInputMessage="1" showErrorMessage="1" prompt="El valor normal de la escala de glucosa está en esta celda" sqref="I3" xr:uid="{00000000-0002-0000-0000-000014000000}"/>
  </dataValidations>
  <printOptions horizontalCentered="1"/>
  <pageMargins left="0.25" right="0.25" top="0.75" bottom="0.75" header="0.3" footer="0.3"/>
  <pageSetup paperSize="9" scale="57" fitToHeight="0" orientation="landscape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D8848C9-C23F-4391-92F4-6AC80D8BCDF3}">
            <x14:dataBar minLength="0" maxLength="100" gradient="0">
              <x14:cfvo type="num">
                <xm:f>0</xm:f>
              </x14:cfvo>
              <x14:cfvo type="num">
                <xm:f>GAlta</xm:f>
              </x14:cfvo>
              <x14:negativeFillColor rgb="FFFF0000"/>
              <x14:axisColor rgb="FF000000"/>
            </x14:dataBar>
          </x14:cfRule>
          <xm:sqref>I7:I12</xm:sqref>
        </x14:conditionalFormatting>
      </x14:conditionalFormattings>
    </ext>
  </extLst>
</worksheet>
</file>

<file path=customXml/_rels/item3.xml.rels>&#65279;<?xml version="1.0" encoding="utf-8"?><Relationships xmlns="http://schemas.openxmlformats.org/package/2006/relationships"><Relationship Type="http://schemas.openxmlformats.org/officeDocument/2006/relationships/customXmlProps" Target="/customXml/itemProps31.xml" Id="rId1" /></Relationships>
</file>

<file path=customXml/_rels/item13.xml.rels>&#65279;<?xml version="1.0" encoding="utf-8"?><Relationships xmlns="http://schemas.openxmlformats.org/package/2006/relationships"><Relationship Type="http://schemas.openxmlformats.org/officeDocument/2006/relationships/customXmlProps" Target="/customXml/itemProps13.xml" Id="rId1" /></Relationships>
</file>

<file path=customXml/_rels/item22.xml.rels>&#65279;<?xml version="1.0" encoding="utf-8"?><Relationships xmlns="http://schemas.openxmlformats.org/package/2006/relationships"><Relationship Type="http://schemas.openxmlformats.org/officeDocument/2006/relationships/customXmlProps" Target="/customXml/itemProps22.xml" Id="rId1" /></Relationship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1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4" ma:contentTypeDescription="Create a new document." ma:contentTypeScope="" ma:versionID="2d714a3296df14eba7a100bb665443ca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49549bf45bfbbfb6cffed527380e77e1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3.xml><?xml version="1.0" encoding="utf-8"?>
<ds:datastoreItem xmlns:ds="http://schemas.openxmlformats.org/officeDocument/2006/customXml" ds:itemID="{F6ECA5C1-FBFB-43C9-893A-88CAEE5B568A}">
  <ds:schemaRefs>
    <ds:schemaRef ds:uri="http://schemas.microsoft.com/sharepoint/v3/contenttype/forms"/>
  </ds:schemaRefs>
</ds:datastoreItem>
</file>

<file path=customXml/itemProps22.xml><?xml version="1.0" encoding="utf-8"?>
<ds:datastoreItem xmlns:ds="http://schemas.openxmlformats.org/officeDocument/2006/customXml" ds:itemID="{0F0D4B1F-EE13-4145-A0E2-6D0C16A146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1.xml><?xml version="1.0" encoding="utf-8"?>
<ds:datastoreItem xmlns:ds="http://schemas.openxmlformats.org/officeDocument/2006/customXml" ds:itemID="{D64A5441-F103-41D5-9D8D-C0DE6A8FAF71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docProps/app.xml><?xml version="1.0" encoding="utf-8"?>
<ap:Properties xmlns:vt="http://schemas.openxmlformats.org/officeDocument/2006/docPropsVTypes" xmlns:ap="http://schemas.openxmlformats.org/officeDocument/2006/extended-properties">
  <ap:Template>TM03107635</ap:Template>
  <ap:DocSecurity>0</ap:DocSecurity>
  <ap:ScaleCrop>false</ap:ScaleCrop>
  <ap:HeadingPairs>
    <vt:vector baseType="variant" size="4">
      <vt:variant>
        <vt:lpstr>Hojas de cálculo</vt:lpstr>
      </vt:variant>
      <vt:variant>
        <vt:i4>1</vt:i4>
      </vt:variant>
      <vt:variant>
        <vt:lpstr>Rangos con nombre</vt:lpstr>
      </vt:variant>
      <vt:variant>
        <vt:i4>9</vt:i4>
      </vt:variant>
    </vt:vector>
  </ap:HeadingPairs>
  <ap:TitlesOfParts>
    <vt:vector baseType="lpstr" size="10">
      <vt:lpstr>Presión arterial y glucosa</vt:lpstr>
      <vt:lpstr>DAlta</vt:lpstr>
      <vt:lpstr>DÓptima</vt:lpstr>
      <vt:lpstr>GAlta</vt:lpstr>
      <vt:lpstr>GBaja</vt:lpstr>
      <vt:lpstr>GNormal</vt:lpstr>
      <vt:lpstr>SAlta</vt:lpstr>
      <vt:lpstr>SÓptima</vt:lpstr>
      <vt:lpstr>Title1</vt:lpstr>
      <vt:lpstr>'Presión arterial y glucosa'!Títulos_a_imprimir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2022-06-14T04:34:35Z</dcterms:created>
  <dcterms:modified xsi:type="dcterms:W3CDTF">2022-08-03T03:11:56Z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